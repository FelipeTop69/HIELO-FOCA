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11465CBC-AC53-47E0-9602-C0E3CF9D1DEA}" xr6:coauthVersionLast="47" xr6:coauthVersionMax="47" xr10:uidLastSave="{00000000-0000-0000-0000-000000000000}"/>
  <bookViews>
    <workbookView xWindow="-110" yWindow="-110" windowWidth="19420" windowHeight="10420" xr2:uid="{4805379F-F50A-43B7-A75C-D75510F007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1" l="1"/>
  <c r="G14" i="1"/>
  <c r="G15" i="1"/>
  <c r="G13" i="1"/>
  <c r="G12" i="1"/>
  <c r="G6" i="1"/>
  <c r="G10" i="1"/>
  <c r="G7" i="1"/>
  <c r="G5" i="1"/>
  <c r="G2" i="1"/>
  <c r="G1" i="1"/>
  <c r="F23" i="1"/>
  <c r="F22" i="1"/>
  <c r="F18" i="1"/>
  <c r="F17" i="1"/>
  <c r="F16" i="1"/>
  <c r="F15" i="1"/>
  <c r="F14" i="1"/>
  <c r="F13" i="1"/>
  <c r="F12" i="1"/>
  <c r="F2" i="1"/>
  <c r="F1" i="1"/>
  <c r="F26" i="1"/>
  <c r="F25" i="1"/>
  <c r="F10" i="1"/>
  <c r="F5" i="1"/>
  <c r="F6" i="1"/>
  <c r="F7" i="1"/>
  <c r="L14" i="1"/>
  <c r="L7" i="1"/>
</calcChain>
</file>

<file path=xl/sharedStrings.xml><?xml version="1.0" encoding="utf-8"?>
<sst xmlns="http://schemas.openxmlformats.org/spreadsheetml/2006/main" count="28" uniqueCount="28">
  <si>
    <t xml:space="preserve">H PEQ BLOQUE COMPACTO                             </t>
  </si>
  <si>
    <t xml:space="preserve">H GRAN BLOQUE                                     </t>
  </si>
  <si>
    <t xml:space="preserve">BULTO BLOQUE                                      </t>
  </si>
  <si>
    <t xml:space="preserve">B. TUB 7 KILOS                                    </t>
  </si>
  <si>
    <t xml:space="preserve">B. TUB 3 KILOS                                    </t>
  </si>
  <si>
    <t xml:space="preserve">B. TUB 1.5 KILO                                   </t>
  </si>
  <si>
    <t xml:space="preserve">B. TUB 12.5 KILO          </t>
  </si>
  <si>
    <t xml:space="preserve">B. TUB 25 KILO                  </t>
  </si>
  <si>
    <t xml:space="preserve">B. TUB 15 KILOS                                   </t>
  </si>
  <si>
    <t xml:space="preserve">AGUA X 6 LITROS                                   </t>
  </si>
  <si>
    <t xml:space="preserve">AGUA X 24 U 350 ML                                </t>
  </si>
  <si>
    <t xml:space="preserve">AGUA X 15 U 350 ML                                </t>
  </si>
  <si>
    <t xml:space="preserve">BOTELLON DE AGUA 18.9 L                           </t>
  </si>
  <si>
    <t xml:space="preserve">PET 300 X 24 UNID                                 </t>
  </si>
  <si>
    <t xml:space="preserve">PET 500 X 12 UNIDADES                             </t>
  </si>
  <si>
    <t xml:space="preserve">PET 600 X 12 UNID BOTELLA                         </t>
  </si>
  <si>
    <t xml:space="preserve">PET GAS 500ML X 12 UNID                           </t>
  </si>
  <si>
    <t xml:space="preserve">PET GAS 600X12 UNID BOTELLA                       </t>
  </si>
  <si>
    <t>BOTELLON NUEVO 18.9 L</t>
  </si>
  <si>
    <t>GARRAFA DE AGUA 5 LITROS</t>
  </si>
  <si>
    <t>PET LITRO X 6 UNIDADES</t>
  </si>
  <si>
    <t xml:space="preserve">BTO ESCARCHA GRUESO                               </t>
  </si>
  <si>
    <t xml:space="preserve">BOLSA H. ESCARCHADO 10 KILOS                      </t>
  </si>
  <si>
    <t xml:space="preserve">K.HIEL ESCARCHADO                                 </t>
  </si>
  <si>
    <t xml:space="preserve">BOLSA 15 K ESCARCHA                               </t>
  </si>
  <si>
    <t xml:space="preserve">BTO ESCAR FINO                                    </t>
  </si>
  <si>
    <t>ABRIL</t>
  </si>
  <si>
    <t>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</si>
</sst>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0_);[Red]\(##,##0\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1">
    <xf numFmtId="0" fontId="0" fillId="0" borderId="0" xfId="0"/>
    <xf numFmtId="0" fontId="0" fillId="0" borderId="1" xfId="0" applyBorder="1"/>
    <xf numFmtId="164" fontId="3" fillId="0" borderId="2" xfId="2" applyNumberFormat="1" applyFont="1" applyBorder="1"/>
    <xf numFmtId="164" fontId="3" fillId="0" borderId="3" xfId="2" applyNumberFormat="1" applyFont="1" applyBorder="1"/>
    <xf numFmtId="0" fontId="0" fillId="0" borderId="4" xfId="0" applyBorder="1"/>
    <xf numFmtId="164" fontId="3" fillId="0" borderId="5" xfId="2" applyNumberFormat="1" applyFont="1" applyBorder="1"/>
    <xf numFmtId="0" fontId="0" fillId="2" borderId="0" xfId="0" applyFill="1"/>
    <xf numFmtId="0" fontId="0" fillId="3" borderId="0" xfId="0" applyFill="1"/>
    <xf numFmtId="9" fontId="0" fillId="0" borderId="0" xfId="1" applyFont="1" applyFill="1" applyBorder="1"/>
    <xf numFmtId="9" fontId="0" fillId="0" borderId="0" xfId="1" applyFont="1"/>
    <xf numFmtId="9" fontId="0" fillId="3" borderId="0" xfId="1" applyFont="1" applyFill="1"/>
  </cellXfs>
  <cellStyles count="3">
    <cellStyle name="Normal" xfId="0" builtinId="0"/>
    <cellStyle name="Normal 27" xfId="2" xr:uid="{2AD6BBA8-E69D-4E03-82A1-132CFBE8BC7C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727F1-6A29-40F9-8FAB-1CEDA13BD41A}">
  <dimension ref="A1:L29"/>
  <sheetViews>
    <sheetView tabSelected="1" workbookViewId="0">
      <selection activeCell="G17" sqref="G17"/>
    </sheetView>
  </sheetViews>
  <sheetFormatPr baseColWidth="10" defaultRowHeight="14.5" x14ac:dyDescent="0.35"/>
  <cols>
    <col min="1" max="1" width="32.7265625" customWidth="1"/>
    <col min="2" max="2" width="16.08984375" customWidth="1"/>
    <col min="6" max="6" width="10.54296875" customWidth="1"/>
  </cols>
  <sheetData>
    <row r="1" spans="1:12" x14ac:dyDescent="0.35">
      <c r="A1" s="1" t="s">
        <v>0</v>
      </c>
      <c r="B1" s="2">
        <v>492</v>
      </c>
      <c r="C1">
        <v>830</v>
      </c>
      <c r="F1" s="6">
        <f>SUM(C1:E1)</f>
        <v>830</v>
      </c>
      <c r="G1" s="8">
        <f>B1/$F$1</f>
        <v>0.59277108433734937</v>
      </c>
    </row>
    <row r="2" spans="1:12" x14ac:dyDescent="0.35">
      <c r="A2" t="s">
        <v>1</v>
      </c>
      <c r="B2" s="3">
        <v>115</v>
      </c>
      <c r="C2">
        <v>155</v>
      </c>
      <c r="F2" s="6">
        <f>SUM(C2:E2)</f>
        <v>155</v>
      </c>
      <c r="G2" s="8">
        <f>B2/$F$2</f>
        <v>0.74193548387096775</v>
      </c>
      <c r="L2" t="s">
        <v>26</v>
      </c>
    </row>
    <row r="3" spans="1:12" x14ac:dyDescent="0.35">
      <c r="A3" t="s">
        <v>2</v>
      </c>
      <c r="B3" s="3">
        <v>9</v>
      </c>
      <c r="L3">
        <v>47931</v>
      </c>
    </row>
    <row r="4" spans="1:12" x14ac:dyDescent="0.35">
      <c r="A4" s="4"/>
      <c r="B4" s="5">
        <v>616</v>
      </c>
      <c r="L4">
        <v>48717</v>
      </c>
    </row>
    <row r="5" spans="1:12" x14ac:dyDescent="0.35">
      <c r="A5" s="1" t="s">
        <v>3</v>
      </c>
      <c r="B5" s="2">
        <v>3637</v>
      </c>
      <c r="C5">
        <v>1601</v>
      </c>
      <c r="D5">
        <v>1355</v>
      </c>
      <c r="E5">
        <v>948</v>
      </c>
      <c r="F5" s="6">
        <f>SUM(C5:E5)</f>
        <v>3904</v>
      </c>
      <c r="G5" s="9">
        <f>B5/$F$5</f>
        <v>0.93160860655737709</v>
      </c>
      <c r="L5">
        <v>310495</v>
      </c>
    </row>
    <row r="6" spans="1:12" x14ac:dyDescent="0.35">
      <c r="A6" t="s">
        <v>4</v>
      </c>
      <c r="B6" s="3">
        <v>8763</v>
      </c>
      <c r="C6">
        <v>5032</v>
      </c>
      <c r="D6">
        <v>3891</v>
      </c>
      <c r="E6">
        <v>1257</v>
      </c>
      <c r="F6" s="6">
        <f>SUM(C6:E6)</f>
        <v>10180</v>
      </c>
      <c r="G6" s="9">
        <f>F6/$B$6</f>
        <v>1.161702613260299</v>
      </c>
      <c r="L6">
        <v>268645</v>
      </c>
    </row>
    <row r="7" spans="1:12" x14ac:dyDescent="0.35">
      <c r="A7" t="s">
        <v>5</v>
      </c>
      <c r="B7" s="3">
        <v>1157</v>
      </c>
      <c r="C7">
        <v>553</v>
      </c>
      <c r="D7">
        <v>505</v>
      </c>
      <c r="E7">
        <v>207</v>
      </c>
      <c r="F7" s="6">
        <f>SUM(C7:E7)</f>
        <v>1265</v>
      </c>
      <c r="G7" s="10">
        <f>B7/$F$7</f>
        <v>0.9146245059288538</v>
      </c>
      <c r="L7" s="6">
        <f>SUM(L3:L6)</f>
        <v>675788</v>
      </c>
    </row>
    <row r="8" spans="1:12" x14ac:dyDescent="0.35">
      <c r="A8" t="s">
        <v>6</v>
      </c>
      <c r="B8" s="3">
        <v>60</v>
      </c>
    </row>
    <row r="9" spans="1:12" x14ac:dyDescent="0.35">
      <c r="A9" t="s">
        <v>7</v>
      </c>
      <c r="B9" s="3">
        <v>150</v>
      </c>
      <c r="F9" s="7"/>
      <c r="L9" t="s">
        <v>27</v>
      </c>
    </row>
    <row r="10" spans="1:12" x14ac:dyDescent="0.35">
      <c r="A10" t="s">
        <v>8</v>
      </c>
      <c r="B10" s="3">
        <v>8074</v>
      </c>
      <c r="C10">
        <v>2382</v>
      </c>
      <c r="D10">
        <v>1811</v>
      </c>
      <c r="E10">
        <v>5138</v>
      </c>
      <c r="F10" s="6">
        <f>SUM(C10:E10)</f>
        <v>9331</v>
      </c>
      <c r="G10" s="9">
        <f>F10/$B$10</f>
        <v>1.1556849145405004</v>
      </c>
      <c r="L10">
        <v>64645</v>
      </c>
    </row>
    <row r="11" spans="1:12" x14ac:dyDescent="0.35">
      <c r="A11" s="4"/>
      <c r="B11" s="5">
        <v>21631</v>
      </c>
      <c r="L11">
        <v>41159</v>
      </c>
    </row>
    <row r="12" spans="1:12" x14ac:dyDescent="0.35">
      <c r="A12" t="s">
        <v>9</v>
      </c>
      <c r="B12" s="2">
        <v>2548</v>
      </c>
      <c r="C12">
        <v>2788</v>
      </c>
      <c r="F12" s="6">
        <f>SUM(C12:E12)</f>
        <v>2788</v>
      </c>
      <c r="G12" s="9">
        <f>B12/$F$12</f>
        <v>0.91391678622668582</v>
      </c>
      <c r="L12">
        <v>254936</v>
      </c>
    </row>
    <row r="13" spans="1:12" x14ac:dyDescent="0.35">
      <c r="A13" t="s">
        <v>10</v>
      </c>
      <c r="B13" s="3">
        <v>2776</v>
      </c>
      <c r="C13">
        <v>2528</v>
      </c>
      <c r="F13" s="6">
        <f>SUM(C13:E13)</f>
        <v>2528</v>
      </c>
      <c r="G13" s="9">
        <f>F13/$B$13</f>
        <v>0.91066282420749278</v>
      </c>
      <c r="L13">
        <v>200780</v>
      </c>
    </row>
    <row r="14" spans="1:12" x14ac:dyDescent="0.35">
      <c r="A14" t="s">
        <v>11</v>
      </c>
      <c r="B14" s="3">
        <v>4937</v>
      </c>
      <c r="C14">
        <v>3262</v>
      </c>
      <c r="F14" s="6">
        <f>SUM(C14:E14)</f>
        <v>3262</v>
      </c>
      <c r="G14" s="10">
        <f>F14/$B$14</f>
        <v>0.66072513672270605</v>
      </c>
      <c r="L14" s="6">
        <f>SUM(L10:L13)</f>
        <v>561520</v>
      </c>
    </row>
    <row r="15" spans="1:12" x14ac:dyDescent="0.35">
      <c r="A15" t="s">
        <v>12</v>
      </c>
      <c r="B15" s="3">
        <v>5546</v>
      </c>
      <c r="C15">
        <v>3682</v>
      </c>
      <c r="F15" s="6">
        <f>SUM(C15:E15)</f>
        <v>3682</v>
      </c>
      <c r="G15" s="9">
        <f>F15/$B$15</f>
        <v>0.66390191128741438</v>
      </c>
    </row>
    <row r="16" spans="1:12" x14ac:dyDescent="0.35">
      <c r="A16" t="s">
        <v>13</v>
      </c>
      <c r="B16" s="3">
        <v>153</v>
      </c>
      <c r="C16">
        <v>144</v>
      </c>
      <c r="F16" s="6">
        <f>SUM(C16:E16)</f>
        <v>144</v>
      </c>
      <c r="G16" s="9">
        <f>F16/$B$16</f>
        <v>0.94117647058823528</v>
      </c>
    </row>
    <row r="17" spans="1:6" x14ac:dyDescent="0.35">
      <c r="A17" t="s">
        <v>14</v>
      </c>
      <c r="B17" s="3">
        <v>38</v>
      </c>
      <c r="C17">
        <v>16</v>
      </c>
      <c r="F17" s="6">
        <f>SUM(C17:E17)</f>
        <v>16</v>
      </c>
    </row>
    <row r="18" spans="1:6" x14ac:dyDescent="0.35">
      <c r="A18" t="s">
        <v>15</v>
      </c>
      <c r="B18" s="3">
        <v>211</v>
      </c>
      <c r="C18">
        <v>96</v>
      </c>
      <c r="F18" s="6">
        <f>SUM(C18:E18)</f>
        <v>96</v>
      </c>
    </row>
    <row r="19" spans="1:6" x14ac:dyDescent="0.35">
      <c r="A19" t="s">
        <v>16</v>
      </c>
      <c r="B19" s="3"/>
      <c r="F19" s="6"/>
    </row>
    <row r="20" spans="1:6" x14ac:dyDescent="0.35">
      <c r="A20" t="s">
        <v>17</v>
      </c>
      <c r="B20" s="3"/>
      <c r="F20" s="6"/>
    </row>
    <row r="21" spans="1:6" x14ac:dyDescent="0.35">
      <c r="A21" t="s">
        <v>18</v>
      </c>
      <c r="B21" s="3">
        <v>10</v>
      </c>
      <c r="F21" s="6"/>
    </row>
    <row r="22" spans="1:6" x14ac:dyDescent="0.35">
      <c r="A22" t="s">
        <v>19</v>
      </c>
      <c r="B22" s="3">
        <v>772</v>
      </c>
      <c r="C22">
        <v>1836</v>
      </c>
      <c r="F22" s="6">
        <f>SUM(C22:E22)</f>
        <v>1836</v>
      </c>
    </row>
    <row r="23" spans="1:6" x14ac:dyDescent="0.35">
      <c r="A23" t="s">
        <v>20</v>
      </c>
      <c r="B23" s="3">
        <v>15</v>
      </c>
      <c r="C23">
        <v>20</v>
      </c>
      <c r="F23" s="6">
        <f>SUM(C23:E23)</f>
        <v>20</v>
      </c>
    </row>
    <row r="24" spans="1:6" x14ac:dyDescent="0.35">
      <c r="A24" s="4"/>
      <c r="B24" s="5">
        <v>17006</v>
      </c>
    </row>
    <row r="25" spans="1:6" x14ac:dyDescent="0.35">
      <c r="A25" s="1" t="s">
        <v>21</v>
      </c>
      <c r="B25" s="2">
        <v>17009</v>
      </c>
      <c r="C25">
        <v>12298</v>
      </c>
      <c r="D25">
        <v>6892</v>
      </c>
      <c r="F25" s="6">
        <f>SUM(C25:E25)</f>
        <v>19190</v>
      </c>
    </row>
    <row r="26" spans="1:6" x14ac:dyDescent="0.35">
      <c r="A26" t="s">
        <v>22</v>
      </c>
      <c r="B26" s="3">
        <v>635</v>
      </c>
      <c r="C26">
        <v>578</v>
      </c>
      <c r="F26" s="6">
        <f>SUM(C26:E26)</f>
        <v>578</v>
      </c>
    </row>
    <row r="27" spans="1:6" x14ac:dyDescent="0.35">
      <c r="A27" t="s">
        <v>23</v>
      </c>
      <c r="B27" s="3">
        <v>155375</v>
      </c>
    </row>
    <row r="28" spans="1:6" x14ac:dyDescent="0.35">
      <c r="A28" t="s">
        <v>24</v>
      </c>
      <c r="B28" s="3">
        <v>216</v>
      </c>
      <c r="C28">
        <v>203</v>
      </c>
      <c r="F28" s="6">
        <v>203</v>
      </c>
    </row>
    <row r="29" spans="1:6" x14ac:dyDescent="0.35">
      <c r="A29" t="s">
        <v>25</v>
      </c>
      <c r="B29" s="3">
        <v>1154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2026-05-25T15:01:08Z</dcterms:created>
  <dcterms:modified xsi:type="dcterms:W3CDTF">2026-05-25T17:28:27Z</dcterms:modified>
</cp:coreProperties>
</file>