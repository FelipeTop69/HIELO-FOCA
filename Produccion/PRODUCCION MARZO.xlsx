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2026\Produccion Mes Marzo\"/>
    </mc:Choice>
  </mc:AlternateContent>
  <xr:revisionPtr revIDLastSave="0" documentId="13_ncr:1_{1E2360F5-C5CB-4D22-A5FC-1178B615C68B}" xr6:coauthVersionLast="47" xr6:coauthVersionMax="47" xr10:uidLastSave="{00000000-0000-0000-0000-000000000000}"/>
  <bookViews>
    <workbookView xWindow="-80" yWindow="-80" windowWidth="19360" windowHeight="10360" tabRatio="916" activeTab="2" xr2:uid="{00000000-000D-0000-FFFF-FFFF00000000}"/>
  </bookViews>
  <sheets>
    <sheet name="TUBULAR VERDE" sheetId="12" r:id="rId1"/>
    <sheet name="TUBULAR AZUL" sheetId="33" r:id="rId2"/>
    <sheet name="MAQUINA DE BOTELLONES" sheetId="27" r:id="rId3"/>
    <sheet name="MAQUINA DE AGUA 350" sheetId="26" r:id="rId4"/>
    <sheet name="GRIS" sheetId="29" r:id="rId5"/>
    <sheet name="MAQUINA DE ESCARCHA GRUESA" sheetId="15" r:id="rId6"/>
    <sheet name="MAQUINA FINA" sheetId="28" r:id="rId7"/>
    <sheet name="COMPACTADORA" sheetId="25" r:id="rId8"/>
    <sheet name="Hoja1" sheetId="30" r:id="rId9"/>
    <sheet name="Hoja2" sheetId="31" r:id="rId10"/>
  </sheets>
  <definedNames>
    <definedName name="_xlnm._FilterDatabase" localSheetId="5" hidden="1">'MAQUINA DE ESCARCHA GRUESA'!$U$1:$U$284</definedName>
    <definedName name="_xlnm._FilterDatabase" localSheetId="1" hidden="1">'TUBULAR AZUL'!$P$1:$P$304</definedName>
    <definedName name="_xlnm._FilterDatabase" localSheetId="0" hidden="1">'TUBULAR VERDE'!$O$1:$O$148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2" l="1"/>
  <c r="G7" i="12"/>
  <c r="D7" i="12"/>
  <c r="N6" i="30"/>
  <c r="K50" i="12"/>
  <c r="M43" i="29"/>
  <c r="M39" i="29"/>
  <c r="M36" i="29"/>
  <c r="H28" i="15"/>
  <c r="M25" i="29"/>
  <c r="M20" i="29"/>
  <c r="M16" i="29"/>
  <c r="M15" i="33"/>
  <c r="E12" i="29"/>
  <c r="E90" i="29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E21" i="33"/>
  <c r="G21" i="33" s="1"/>
  <c r="E60" i="33"/>
  <c r="E88" i="33"/>
  <c r="E89" i="33"/>
  <c r="E90" i="33"/>
  <c r="D99" i="12"/>
  <c r="E101" i="15"/>
  <c r="N84" i="29"/>
  <c r="R73" i="15"/>
  <c r="E25" i="27"/>
  <c r="E7" i="26" l="1"/>
  <c r="E12" i="33" l="1"/>
  <c r="G12" i="33" s="1"/>
  <c r="E8" i="29"/>
  <c r="E9" i="29"/>
  <c r="E10" i="29"/>
  <c r="E11" i="29"/>
  <c r="E13" i="29"/>
  <c r="E14" i="29"/>
  <c r="E15" i="29"/>
  <c r="E16" i="29"/>
  <c r="E17" i="29"/>
  <c r="E18" i="29"/>
  <c r="E19" i="29"/>
  <c r="E20" i="29"/>
  <c r="E21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4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8" i="33"/>
  <c r="G8" i="33" s="1"/>
  <c r="E9" i="33"/>
  <c r="G9" i="33" s="1"/>
  <c r="E10" i="33"/>
  <c r="G10" i="33" s="1"/>
  <c r="E11" i="33"/>
  <c r="G11" i="33" s="1"/>
  <c r="E13" i="33"/>
  <c r="G13" i="33" s="1"/>
  <c r="E14" i="33"/>
  <c r="G14" i="33" s="1"/>
  <c r="E15" i="33"/>
  <c r="G15" i="33" s="1"/>
  <c r="E16" i="33"/>
  <c r="G16" i="33" s="1"/>
  <c r="E17" i="33"/>
  <c r="G17" i="33" s="1"/>
  <c r="E18" i="33"/>
  <c r="G18" i="33" s="1"/>
  <c r="E19" i="33"/>
  <c r="G19" i="33" s="1"/>
  <c r="E20" i="33"/>
  <c r="G20" i="33" s="1"/>
  <c r="E22" i="33"/>
  <c r="G22" i="33" s="1"/>
  <c r="E23" i="33"/>
  <c r="G23" i="33" s="1"/>
  <c r="E24" i="33"/>
  <c r="G24" i="33" s="1"/>
  <c r="E25" i="33"/>
  <c r="G25" i="33" s="1"/>
  <c r="E26" i="33"/>
  <c r="G26" i="33" s="1"/>
  <c r="E27" i="33"/>
  <c r="G27" i="33" s="1"/>
  <c r="E28" i="33"/>
  <c r="G28" i="33" s="1"/>
  <c r="E29" i="33"/>
  <c r="G29" i="33" s="1"/>
  <c r="E30" i="33"/>
  <c r="G30" i="33" s="1"/>
  <c r="E31" i="33"/>
  <c r="G31" i="33" s="1"/>
  <c r="E32" i="33"/>
  <c r="G32" i="33" s="1"/>
  <c r="E33" i="33"/>
  <c r="G33" i="33" s="1"/>
  <c r="E34" i="33"/>
  <c r="G34" i="33" s="1"/>
  <c r="E35" i="33"/>
  <c r="G35" i="33" s="1"/>
  <c r="G36" i="33"/>
  <c r="E37" i="33"/>
  <c r="G37" i="33" s="1"/>
  <c r="G38" i="33"/>
  <c r="E39" i="33"/>
  <c r="G39" i="33" s="1"/>
  <c r="E40" i="33"/>
  <c r="G40" i="33" s="1"/>
  <c r="E41" i="33"/>
  <c r="E42" i="33"/>
  <c r="G42" i="33" s="1"/>
  <c r="E43" i="33"/>
  <c r="G43" i="33" s="1"/>
  <c r="E44" i="33"/>
  <c r="G44" i="33" s="1"/>
  <c r="E45" i="33"/>
  <c r="G45" i="33" s="1"/>
  <c r="E46" i="33"/>
  <c r="G46" i="33" s="1"/>
  <c r="E47" i="33"/>
  <c r="G47" i="33" s="1"/>
  <c r="E48" i="33"/>
  <c r="G48" i="33" s="1"/>
  <c r="E49" i="33"/>
  <c r="E50" i="33"/>
  <c r="E51" i="33"/>
  <c r="E52" i="33"/>
  <c r="G52" i="33" s="1"/>
  <c r="E53" i="33"/>
  <c r="E54" i="33"/>
  <c r="E55" i="33"/>
  <c r="E56" i="33"/>
  <c r="E57" i="33"/>
  <c r="E58" i="33"/>
  <c r="E59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M66" i="33"/>
  <c r="M70" i="33"/>
  <c r="D29" i="15" l="1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M44" i="12"/>
  <c r="Q21" i="25" l="1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Q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69" i="25"/>
  <c r="Q70" i="25"/>
  <c r="Q71" i="25"/>
  <c r="Q72" i="25"/>
  <c r="Q73" i="25"/>
  <c r="Q74" i="25"/>
  <c r="Q75" i="25"/>
  <c r="Q76" i="25"/>
  <c r="Q77" i="25"/>
  <c r="Q78" i="25"/>
  <c r="Q79" i="25"/>
  <c r="Q80" i="25"/>
  <c r="Q81" i="25"/>
  <c r="Q82" i="25"/>
  <c r="Q83" i="25"/>
  <c r="Q84" i="25"/>
  <c r="Q85" i="25"/>
  <c r="Q86" i="25"/>
  <c r="Q87" i="25"/>
  <c r="Q88" i="25"/>
  <c r="Q89" i="25"/>
  <c r="Q90" i="25"/>
  <c r="Q91" i="25"/>
  <c r="Q92" i="25"/>
  <c r="Q93" i="25"/>
  <c r="Q94" i="25"/>
  <c r="Q95" i="25"/>
  <c r="Q96" i="25"/>
  <c r="Q97" i="25"/>
  <c r="Q98" i="25"/>
  <c r="Q99" i="25"/>
  <c r="Q100" i="25"/>
  <c r="Q101" i="25"/>
  <c r="Q102" i="25"/>
  <c r="Q103" i="25"/>
  <c r="Q104" i="25"/>
  <c r="Q20" i="25"/>
  <c r="Q19" i="25"/>
  <c r="D14" i="27"/>
  <c r="D15" i="27"/>
  <c r="D16" i="27"/>
  <c r="M13" i="33"/>
  <c r="M12" i="12"/>
  <c r="M13" i="12"/>
  <c r="S107" i="15"/>
  <c r="S122" i="15"/>
  <c r="R7" i="15"/>
  <c r="M101" i="33"/>
  <c r="M95" i="12"/>
  <c r="D29" i="26"/>
  <c r="D30" i="26"/>
  <c r="D31" i="26"/>
  <c r="D32" i="26"/>
  <c r="D33" i="26"/>
  <c r="D34" i="26"/>
  <c r="D35" i="26"/>
  <c r="S30" i="25" l="1"/>
  <c r="M78" i="33"/>
  <c r="M71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M60" i="12"/>
  <c r="M56" i="33"/>
  <c r="T14" i="25"/>
  <c r="V14" i="25" s="1"/>
  <c r="Q14" i="25"/>
  <c r="S14" i="25" s="1"/>
  <c r="M14" i="25"/>
  <c r="E14" i="25"/>
  <c r="G14" i="25" s="1"/>
  <c r="D14" i="25"/>
  <c r="D43" i="29"/>
  <c r="G43" i="29"/>
  <c r="N43" i="29"/>
  <c r="O43" i="29"/>
  <c r="D44" i="29"/>
  <c r="G44" i="29"/>
  <c r="N44" i="29"/>
  <c r="O44" i="29"/>
  <c r="D45" i="29"/>
  <c r="G45" i="29"/>
  <c r="N45" i="29"/>
  <c r="O45" i="29"/>
  <c r="D46" i="29"/>
  <c r="G46" i="29"/>
  <c r="N46" i="29"/>
  <c r="O46" i="29"/>
  <c r="D47" i="29"/>
  <c r="G47" i="29"/>
  <c r="N47" i="29"/>
  <c r="O47" i="29"/>
  <c r="D48" i="29"/>
  <c r="G48" i="29"/>
  <c r="N48" i="29"/>
  <c r="O48" i="29"/>
  <c r="D49" i="29"/>
  <c r="G49" i="29"/>
  <c r="N49" i="29"/>
  <c r="O49" i="29"/>
  <c r="D50" i="29"/>
  <c r="G50" i="29"/>
  <c r="N50" i="29"/>
  <c r="O50" i="29"/>
  <c r="D51" i="29"/>
  <c r="G51" i="29"/>
  <c r="N51" i="29"/>
  <c r="O51" i="29"/>
  <c r="D52" i="29"/>
  <c r="N52" i="29"/>
  <c r="O52" i="29"/>
  <c r="D17" i="27"/>
  <c r="G17" i="27"/>
  <c r="I17" i="27"/>
  <c r="J17" i="27"/>
  <c r="D18" i="27"/>
  <c r="I18" i="27"/>
  <c r="J18" i="27"/>
  <c r="D21" i="26"/>
  <c r="E21" i="26"/>
  <c r="K21" i="26"/>
  <c r="L21" i="26"/>
  <c r="N21" i="26"/>
  <c r="O21" i="26"/>
  <c r="P21" i="26"/>
  <c r="D22" i="26"/>
  <c r="E22" i="26"/>
  <c r="K22" i="26"/>
  <c r="L22" i="26"/>
  <c r="N22" i="26"/>
  <c r="O22" i="26"/>
  <c r="P22" i="26"/>
  <c r="G40" i="15"/>
  <c r="L40" i="15"/>
  <c r="M40" i="15"/>
  <c r="N40" i="15"/>
  <c r="O40" i="15"/>
  <c r="P40" i="15"/>
  <c r="R40" i="15"/>
  <c r="S40" i="15" s="1"/>
  <c r="G41" i="15"/>
  <c r="L41" i="15"/>
  <c r="M41" i="15"/>
  <c r="N41" i="15"/>
  <c r="O41" i="15"/>
  <c r="P41" i="15"/>
  <c r="R41" i="15"/>
  <c r="S41" i="15" s="1"/>
  <c r="G42" i="15"/>
  <c r="L42" i="15"/>
  <c r="M42" i="15"/>
  <c r="N42" i="15"/>
  <c r="O42" i="15"/>
  <c r="P42" i="15"/>
  <c r="R42" i="15"/>
  <c r="S42" i="15" s="1"/>
  <c r="G43" i="15"/>
  <c r="L43" i="15"/>
  <c r="M43" i="15"/>
  <c r="N43" i="15"/>
  <c r="O43" i="15"/>
  <c r="P43" i="15"/>
  <c r="R43" i="15"/>
  <c r="S43" i="15" s="1"/>
  <c r="G44" i="15"/>
  <c r="L44" i="15"/>
  <c r="M44" i="15"/>
  <c r="N44" i="15"/>
  <c r="O44" i="15"/>
  <c r="P44" i="15"/>
  <c r="R44" i="15"/>
  <c r="S44" i="15" s="1"/>
  <c r="G45" i="15"/>
  <c r="L45" i="15"/>
  <c r="M45" i="15"/>
  <c r="N45" i="15"/>
  <c r="O45" i="15"/>
  <c r="P45" i="15"/>
  <c r="R45" i="15"/>
  <c r="S45" i="15" s="1"/>
  <c r="G46" i="15"/>
  <c r="L46" i="15"/>
  <c r="M46" i="15"/>
  <c r="N46" i="15"/>
  <c r="O46" i="15"/>
  <c r="P46" i="15"/>
  <c r="R46" i="15"/>
  <c r="S46" i="15" s="1"/>
  <c r="G47" i="15"/>
  <c r="L47" i="15"/>
  <c r="M47" i="15"/>
  <c r="N47" i="15"/>
  <c r="O47" i="15"/>
  <c r="P47" i="15"/>
  <c r="R47" i="15"/>
  <c r="S47" i="15" s="1"/>
  <c r="G48" i="15"/>
  <c r="L48" i="15"/>
  <c r="M48" i="15"/>
  <c r="N48" i="15"/>
  <c r="O48" i="15"/>
  <c r="P48" i="15"/>
  <c r="R48" i="15"/>
  <c r="S48" i="15" s="1"/>
  <c r="G49" i="15"/>
  <c r="L49" i="15"/>
  <c r="M49" i="15"/>
  <c r="N49" i="15"/>
  <c r="O49" i="15"/>
  <c r="P49" i="15"/>
  <c r="R49" i="15"/>
  <c r="S49" i="15" s="1"/>
  <c r="M43" i="33"/>
  <c r="D45" i="33"/>
  <c r="M45" i="33"/>
  <c r="N45" i="33"/>
  <c r="O45" i="33"/>
  <c r="W45" i="33"/>
  <c r="X45" i="33"/>
  <c r="D46" i="33"/>
  <c r="M46" i="33"/>
  <c r="N46" i="33"/>
  <c r="O46" i="33"/>
  <c r="W46" i="33"/>
  <c r="X46" i="33"/>
  <c r="D47" i="33"/>
  <c r="M47" i="33"/>
  <c r="N47" i="33"/>
  <c r="O47" i="33"/>
  <c r="W47" i="33"/>
  <c r="X47" i="33"/>
  <c r="D48" i="33"/>
  <c r="M48" i="33"/>
  <c r="N48" i="33"/>
  <c r="O48" i="33"/>
  <c r="W48" i="33"/>
  <c r="X48" i="33"/>
  <c r="D49" i="33"/>
  <c r="M49" i="33"/>
  <c r="N49" i="33"/>
  <c r="O49" i="33"/>
  <c r="D50" i="33"/>
  <c r="M50" i="33"/>
  <c r="N50" i="33"/>
  <c r="O50" i="33"/>
  <c r="D51" i="33"/>
  <c r="M51" i="33"/>
  <c r="N51" i="33"/>
  <c r="O51" i="33"/>
  <c r="W51" i="33"/>
  <c r="X51" i="33"/>
  <c r="D52" i="33"/>
  <c r="M52" i="33"/>
  <c r="N52" i="33"/>
  <c r="O52" i="33"/>
  <c r="W52" i="33"/>
  <c r="X52" i="33"/>
  <c r="D53" i="33"/>
  <c r="M53" i="33"/>
  <c r="N53" i="33"/>
  <c r="O53" i="33"/>
  <c r="W53" i="33"/>
  <c r="X53" i="33"/>
  <c r="D54" i="33"/>
  <c r="M54" i="33"/>
  <c r="N54" i="33"/>
  <c r="O54" i="33"/>
  <c r="W54" i="33"/>
  <c r="X54" i="33"/>
  <c r="M38" i="12"/>
  <c r="D40" i="12"/>
  <c r="G40" i="12"/>
  <c r="M40" i="12"/>
  <c r="N40" i="12"/>
  <c r="D41" i="12"/>
  <c r="G41" i="12"/>
  <c r="M41" i="12"/>
  <c r="N41" i="12"/>
  <c r="D42" i="12"/>
  <c r="G42" i="12"/>
  <c r="M42" i="12"/>
  <c r="N42" i="12"/>
  <c r="D43" i="12"/>
  <c r="G43" i="12"/>
  <c r="M43" i="12"/>
  <c r="N43" i="12"/>
  <c r="D44" i="12"/>
  <c r="G44" i="12"/>
  <c r="N44" i="12"/>
  <c r="D45" i="12"/>
  <c r="G45" i="12"/>
  <c r="M45" i="12"/>
  <c r="N45" i="12"/>
  <c r="D46" i="12"/>
  <c r="M46" i="12"/>
  <c r="N46" i="12"/>
  <c r="D47" i="12"/>
  <c r="G47" i="12"/>
  <c r="M47" i="12"/>
  <c r="N47" i="12"/>
  <c r="D48" i="12"/>
  <c r="G48" i="12"/>
  <c r="M48" i="12"/>
  <c r="N48" i="12"/>
  <c r="D49" i="12"/>
  <c r="G49" i="12"/>
  <c r="M49" i="12"/>
  <c r="N49" i="12"/>
  <c r="G22" i="15"/>
  <c r="G11" i="15"/>
  <c r="G12" i="15"/>
  <c r="G19" i="15"/>
  <c r="G20" i="15"/>
  <c r="G21" i="15"/>
  <c r="G23" i="15"/>
  <c r="G24" i="15"/>
  <c r="R24" i="15"/>
  <c r="S24" i="15" s="1"/>
  <c r="N24" i="15"/>
  <c r="M24" i="15"/>
  <c r="L24" i="15"/>
  <c r="O24" i="15" s="1"/>
  <c r="P24" i="15" s="1"/>
  <c r="D24" i="15"/>
  <c r="R23" i="15"/>
  <c r="S23" i="15" s="1"/>
  <c r="N23" i="15"/>
  <c r="M23" i="15"/>
  <c r="L23" i="15"/>
  <c r="O23" i="15" s="1"/>
  <c r="P23" i="15" s="1"/>
  <c r="D23" i="15"/>
  <c r="N14" i="25" l="1"/>
  <c r="R12" i="15"/>
  <c r="S12" i="15" s="1"/>
  <c r="N12" i="15"/>
  <c r="M12" i="15"/>
  <c r="L12" i="15"/>
  <c r="O12" i="15" s="1"/>
  <c r="D12" i="15"/>
  <c r="N12" i="29"/>
  <c r="G8" i="15"/>
  <c r="G10" i="29"/>
  <c r="G11" i="29"/>
  <c r="G13" i="29"/>
  <c r="G16" i="29"/>
  <c r="G17" i="29"/>
  <c r="G18" i="29"/>
  <c r="G19" i="29"/>
  <c r="G20" i="29"/>
  <c r="G21" i="29"/>
  <c r="G22" i="29"/>
  <c r="G23" i="29"/>
  <c r="G24" i="29"/>
  <c r="G25" i="29"/>
  <c r="G39" i="29"/>
  <c r="G4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E73" i="29"/>
  <c r="G73" i="29" s="1"/>
  <c r="E74" i="29"/>
  <c r="G74" i="29" s="1"/>
  <c r="E75" i="29"/>
  <c r="G75" i="29" s="1"/>
  <c r="E76" i="29"/>
  <c r="G76" i="29" s="1"/>
  <c r="E77" i="29"/>
  <c r="G77" i="29" s="1"/>
  <c r="E78" i="29"/>
  <c r="G78" i="29" s="1"/>
  <c r="E79" i="29"/>
  <c r="G79" i="29" s="1"/>
  <c r="E80" i="29"/>
  <c r="G80" i="29" s="1"/>
  <c r="E81" i="29"/>
  <c r="G81" i="29" s="1"/>
  <c r="E82" i="29"/>
  <c r="G82" i="29" s="1"/>
  <c r="E83" i="29"/>
  <c r="G83" i="29" s="1"/>
  <c r="E84" i="29"/>
  <c r="G84" i="29" s="1"/>
  <c r="O84" i="29" s="1"/>
  <c r="E85" i="29"/>
  <c r="G85" i="29" s="1"/>
  <c r="E86" i="29"/>
  <c r="G86" i="29" s="1"/>
  <c r="E87" i="29"/>
  <c r="G87" i="29" s="1"/>
  <c r="E88" i="29"/>
  <c r="G88" i="29" s="1"/>
  <c r="E89" i="29"/>
  <c r="G89" i="29" s="1"/>
  <c r="G90" i="29"/>
  <c r="E91" i="29"/>
  <c r="G91" i="29" s="1"/>
  <c r="E92" i="29"/>
  <c r="G92" i="29" s="1"/>
  <c r="E93" i="29"/>
  <c r="G93" i="29" s="1"/>
  <c r="E94" i="29"/>
  <c r="G94" i="29" s="1"/>
  <c r="E95" i="29"/>
  <c r="G95" i="29" s="1"/>
  <c r="E96" i="29"/>
  <c r="G96" i="29" s="1"/>
  <c r="E97" i="29"/>
  <c r="G97" i="29" s="1"/>
  <c r="E98" i="29"/>
  <c r="G98" i="29" s="1"/>
  <c r="E99" i="29"/>
  <c r="G99" i="29" s="1"/>
  <c r="E100" i="29"/>
  <c r="G100" i="29" s="1"/>
  <c r="E101" i="29"/>
  <c r="G101" i="29" s="1"/>
  <c r="E102" i="29"/>
  <c r="G102" i="29" s="1"/>
  <c r="G103" i="29"/>
  <c r="E104" i="29"/>
  <c r="G104" i="29" s="1"/>
  <c r="E105" i="29"/>
  <c r="G105" i="29" s="1"/>
  <c r="E106" i="29"/>
  <c r="G106" i="29" s="1"/>
  <c r="E107" i="29"/>
  <c r="G107" i="29" s="1"/>
  <c r="E108" i="29"/>
  <c r="G108" i="29" s="1"/>
  <c r="E109" i="29"/>
  <c r="G109" i="29" s="1"/>
  <c r="E110" i="29"/>
  <c r="G110" i="29" s="1"/>
  <c r="E111" i="29"/>
  <c r="G111" i="29" s="1"/>
  <c r="E112" i="29"/>
  <c r="G112" i="29" s="1"/>
  <c r="E113" i="29"/>
  <c r="G113" i="29" s="1"/>
  <c r="E114" i="29"/>
  <c r="G114" i="29" s="1"/>
  <c r="E115" i="29"/>
  <c r="G115" i="29" s="1"/>
  <c r="G77" i="33"/>
  <c r="G78" i="33"/>
  <c r="G79" i="33"/>
  <c r="G80" i="33"/>
  <c r="G81" i="33"/>
  <c r="G82" i="33"/>
  <c r="G83" i="33"/>
  <c r="E84" i="33"/>
  <c r="E85" i="33"/>
  <c r="G85" i="33" s="1"/>
  <c r="E86" i="33"/>
  <c r="G86" i="33" s="1"/>
  <c r="E87" i="33"/>
  <c r="G87" i="33" s="1"/>
  <c r="G88" i="33"/>
  <c r="E91" i="33"/>
  <c r="G91" i="33" s="1"/>
  <c r="E92" i="33"/>
  <c r="G92" i="33" s="1"/>
  <c r="E93" i="33"/>
  <c r="G93" i="33" s="1"/>
  <c r="E94" i="33"/>
  <c r="G94" i="33" s="1"/>
  <c r="E95" i="33"/>
  <c r="G95" i="33" s="1"/>
  <c r="E96" i="33"/>
  <c r="G96" i="33" s="1"/>
  <c r="E97" i="33"/>
  <c r="G97" i="33" s="1"/>
  <c r="E98" i="33"/>
  <c r="G98" i="33" s="1"/>
  <c r="E99" i="33"/>
  <c r="G99" i="33" s="1"/>
  <c r="E100" i="33"/>
  <c r="G100" i="33" s="1"/>
  <c r="E101" i="33"/>
  <c r="G101" i="33" s="1"/>
  <c r="E102" i="33"/>
  <c r="G102" i="33" s="1"/>
  <c r="E103" i="33"/>
  <c r="G103" i="33" s="1"/>
  <c r="E104" i="33"/>
  <c r="G104" i="33" s="1"/>
  <c r="E105" i="33"/>
  <c r="G105" i="33" s="1"/>
  <c r="E106" i="33"/>
  <c r="G106" i="33" s="1"/>
  <c r="E107" i="33"/>
  <c r="G107" i="33" s="1"/>
  <c r="E108" i="33"/>
  <c r="G108" i="33" s="1"/>
  <c r="E109" i="33"/>
  <c r="G109" i="33" s="1"/>
  <c r="G110" i="33"/>
  <c r="E111" i="33"/>
  <c r="G111" i="33" s="1"/>
  <c r="E112" i="33"/>
  <c r="G112" i="33" s="1"/>
  <c r="E113" i="33"/>
  <c r="G113" i="33" s="1"/>
  <c r="E114" i="33"/>
  <c r="E115" i="33"/>
  <c r="E116" i="33"/>
  <c r="G12" i="27"/>
  <c r="G14" i="27"/>
  <c r="G15" i="27"/>
  <c r="G16" i="27"/>
  <c r="G22" i="27"/>
  <c r="G23" i="27"/>
  <c r="E26" i="27"/>
  <c r="E27" i="27"/>
  <c r="E28" i="27"/>
  <c r="E29" i="27"/>
  <c r="E30" i="27"/>
  <c r="E31" i="27"/>
  <c r="E32" i="27"/>
  <c r="E33" i="27"/>
  <c r="G24" i="12"/>
  <c r="G25" i="12"/>
  <c r="G26" i="12"/>
  <c r="G58" i="12"/>
  <c r="G59" i="12"/>
  <c r="G60" i="12"/>
  <c r="G61" i="12"/>
  <c r="G62" i="12"/>
  <c r="G63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G13" i="15"/>
  <c r="G14" i="15"/>
  <c r="G15" i="15"/>
  <c r="G16" i="15"/>
  <c r="G17" i="15"/>
  <c r="G25" i="15"/>
  <c r="G26" i="15"/>
  <c r="G27" i="15"/>
  <c r="G28" i="15"/>
  <c r="G31" i="15"/>
  <c r="G32" i="15"/>
  <c r="G36" i="15"/>
  <c r="G37" i="15"/>
  <c r="G38" i="15"/>
  <c r="G50" i="15"/>
  <c r="G51" i="15"/>
  <c r="G52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E83" i="15"/>
  <c r="G83" i="15" s="1"/>
  <c r="E84" i="15"/>
  <c r="G84" i="15" s="1"/>
  <c r="E85" i="15"/>
  <c r="E86" i="15"/>
  <c r="G86" i="15" s="1"/>
  <c r="E87" i="15"/>
  <c r="G87" i="15" s="1"/>
  <c r="E88" i="15"/>
  <c r="G88" i="15" s="1"/>
  <c r="E89" i="15"/>
  <c r="G89" i="15" s="1"/>
  <c r="E90" i="15"/>
  <c r="G90" i="15" s="1"/>
  <c r="E91" i="15"/>
  <c r="G91" i="15" s="1"/>
  <c r="E92" i="15"/>
  <c r="G92" i="15" s="1"/>
  <c r="E93" i="15"/>
  <c r="G93" i="15" s="1"/>
  <c r="E94" i="15"/>
  <c r="G94" i="15" s="1"/>
  <c r="E95" i="15"/>
  <c r="G95" i="15" s="1"/>
  <c r="E96" i="15"/>
  <c r="G96" i="15" s="1"/>
  <c r="E97" i="15"/>
  <c r="G97" i="15" s="1"/>
  <c r="E98" i="15"/>
  <c r="E99" i="15"/>
  <c r="G99" i="15" s="1"/>
  <c r="G100" i="15"/>
  <c r="E102" i="15"/>
  <c r="G102" i="15" s="1"/>
  <c r="E103" i="15"/>
  <c r="G103" i="15" s="1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R8" i="15"/>
  <c r="P7" i="26"/>
  <c r="N7" i="26"/>
  <c r="N8" i="26"/>
  <c r="N9" i="26"/>
  <c r="N10" i="26"/>
  <c r="N11" i="26"/>
  <c r="N12" i="26"/>
  <c r="E117" i="33"/>
  <c r="E118" i="33"/>
  <c r="E119" i="33"/>
  <c r="E120" i="33"/>
  <c r="E121" i="33"/>
  <c r="E122" i="33"/>
  <c r="P12" i="15" l="1"/>
  <c r="M51" i="12"/>
  <c r="M40" i="33"/>
  <c r="E29" i="25"/>
  <c r="T24" i="25" l="1"/>
  <c r="S25" i="25"/>
  <c r="S24" i="25"/>
  <c r="E24" i="25"/>
  <c r="T22" i="25"/>
  <c r="S22" i="25"/>
  <c r="E22" i="25"/>
  <c r="D58" i="15"/>
  <c r="D59" i="15"/>
  <c r="D60" i="15"/>
  <c r="M39" i="33"/>
  <c r="D35" i="29"/>
  <c r="G35" i="29"/>
  <c r="N35" i="29"/>
  <c r="D36" i="29"/>
  <c r="G36" i="29"/>
  <c r="N36" i="29"/>
  <c r="D37" i="29"/>
  <c r="G37" i="29"/>
  <c r="N37" i="29"/>
  <c r="M30" i="33"/>
  <c r="N30" i="33" s="1"/>
  <c r="D32" i="33"/>
  <c r="M32" i="33"/>
  <c r="N32" i="33" s="1"/>
  <c r="D33" i="33"/>
  <c r="M33" i="33"/>
  <c r="N33" i="33" s="1"/>
  <c r="D34" i="33"/>
  <c r="M34" i="33"/>
  <c r="N34" i="33" s="1"/>
  <c r="D37" i="12"/>
  <c r="G37" i="12"/>
  <c r="M37" i="12"/>
  <c r="D38" i="12"/>
  <c r="G38" i="12"/>
  <c r="D39" i="12"/>
  <c r="G39" i="12"/>
  <c r="M39" i="12"/>
  <c r="M28" i="33"/>
  <c r="N28" i="33" s="1"/>
  <c r="N29" i="29"/>
  <c r="M23" i="33"/>
  <c r="N23" i="33" s="1"/>
  <c r="M20" i="12"/>
  <c r="M114" i="33"/>
  <c r="M113" i="33"/>
  <c r="M109" i="33"/>
  <c r="M100" i="33"/>
  <c r="M96" i="33"/>
  <c r="D7" i="33"/>
  <c r="G7" i="33"/>
  <c r="M7" i="33"/>
  <c r="O7" i="33" s="1"/>
  <c r="N7" i="33"/>
  <c r="D8" i="33"/>
  <c r="M8" i="33"/>
  <c r="N8" i="33" s="1"/>
  <c r="D9" i="33"/>
  <c r="M9" i="33"/>
  <c r="D10" i="33"/>
  <c r="M10" i="33"/>
  <c r="N10" i="33" s="1"/>
  <c r="D11" i="33"/>
  <c r="M11" i="33"/>
  <c r="N11" i="33" s="1"/>
  <c r="D12" i="33"/>
  <c r="M12" i="33"/>
  <c r="N12" i="33" s="1"/>
  <c r="D13" i="33"/>
  <c r="N13" i="33"/>
  <c r="D14" i="33"/>
  <c r="M14" i="33"/>
  <c r="N14" i="33" s="1"/>
  <c r="D15" i="33"/>
  <c r="D16" i="33"/>
  <c r="M16" i="33"/>
  <c r="N16" i="33" s="1"/>
  <c r="D17" i="33"/>
  <c r="M17" i="33"/>
  <c r="O17" i="33" s="1"/>
  <c r="D18" i="33"/>
  <c r="M18" i="33"/>
  <c r="N18" i="33" s="1"/>
  <c r="D19" i="33"/>
  <c r="M19" i="33"/>
  <c r="N19" i="33"/>
  <c r="D20" i="33"/>
  <c r="M20" i="33"/>
  <c r="N20" i="33" s="1"/>
  <c r="D21" i="33"/>
  <c r="M21" i="33"/>
  <c r="D22" i="33"/>
  <c r="M22" i="33"/>
  <c r="N22" i="33" s="1"/>
  <c r="D23" i="33"/>
  <c r="D24" i="33"/>
  <c r="M24" i="33"/>
  <c r="N24" i="33" s="1"/>
  <c r="D25" i="33"/>
  <c r="M25" i="33"/>
  <c r="O25" i="33" s="1"/>
  <c r="D26" i="33"/>
  <c r="M26" i="33"/>
  <c r="N26" i="33" s="1"/>
  <c r="D27" i="33"/>
  <c r="M27" i="33"/>
  <c r="N27" i="33" s="1"/>
  <c r="D28" i="33"/>
  <c r="D29" i="33"/>
  <c r="M29" i="33"/>
  <c r="N29" i="33"/>
  <c r="D30" i="33"/>
  <c r="D31" i="33"/>
  <c r="M31" i="33"/>
  <c r="D35" i="33"/>
  <c r="M35" i="33"/>
  <c r="N35" i="33" s="1"/>
  <c r="W35" i="33"/>
  <c r="X35" i="33"/>
  <c r="D36" i="33"/>
  <c r="M36" i="33"/>
  <c r="O36" i="33" s="1"/>
  <c r="D37" i="33"/>
  <c r="M37" i="33"/>
  <c r="N37" i="33" s="1"/>
  <c r="D38" i="33"/>
  <c r="M38" i="33"/>
  <c r="O38" i="33" s="1"/>
  <c r="W38" i="33"/>
  <c r="X38" i="33"/>
  <c r="D39" i="33"/>
  <c r="D40" i="33"/>
  <c r="N40" i="33"/>
  <c r="W40" i="33"/>
  <c r="X40" i="33" s="1"/>
  <c r="D41" i="33"/>
  <c r="M41" i="33"/>
  <c r="N41" i="33" s="1"/>
  <c r="W41" i="33"/>
  <c r="X41" i="33" s="1"/>
  <c r="D42" i="33"/>
  <c r="M42" i="33"/>
  <c r="N42" i="33" s="1"/>
  <c r="W42" i="33"/>
  <c r="X42" i="33" s="1"/>
  <c r="D43" i="33"/>
  <c r="N43" i="33"/>
  <c r="W43" i="33"/>
  <c r="X43" i="33" s="1"/>
  <c r="D44" i="33"/>
  <c r="M44" i="33"/>
  <c r="N44" i="33" s="1"/>
  <c r="W44" i="33"/>
  <c r="X44" i="33" s="1"/>
  <c r="D55" i="33"/>
  <c r="M55" i="33"/>
  <c r="N55" i="33" s="1"/>
  <c r="D56" i="33"/>
  <c r="N56" i="33"/>
  <c r="D57" i="33"/>
  <c r="M57" i="33"/>
  <c r="N57" i="33"/>
  <c r="D58" i="33"/>
  <c r="M58" i="33"/>
  <c r="N58" i="33" s="1"/>
  <c r="D59" i="33"/>
  <c r="M59" i="33"/>
  <c r="O59" i="33" s="1"/>
  <c r="D60" i="33"/>
  <c r="M60" i="33"/>
  <c r="N60" i="33" s="1"/>
  <c r="D61" i="33"/>
  <c r="M61" i="33"/>
  <c r="O61" i="33" s="1"/>
  <c r="D62" i="33"/>
  <c r="M62" i="33"/>
  <c r="N62" i="33" s="1"/>
  <c r="D63" i="33"/>
  <c r="M63" i="33"/>
  <c r="N63" i="33" s="1"/>
  <c r="D64" i="33"/>
  <c r="M64" i="33"/>
  <c r="N64" i="33" s="1"/>
  <c r="W64" i="33"/>
  <c r="X64" i="33" s="1"/>
  <c r="D65" i="33"/>
  <c r="M65" i="33"/>
  <c r="N65" i="33" s="1"/>
  <c r="D66" i="33"/>
  <c r="O66" i="33"/>
  <c r="W66" i="33"/>
  <c r="X66" i="33"/>
  <c r="D67" i="33"/>
  <c r="M67" i="33"/>
  <c r="N67" i="33"/>
  <c r="W67" i="33"/>
  <c r="X67" i="33"/>
  <c r="D68" i="33"/>
  <c r="M68" i="33"/>
  <c r="O68" i="33" s="1"/>
  <c r="W68" i="33"/>
  <c r="X68" i="33"/>
  <c r="D69" i="33"/>
  <c r="M69" i="33"/>
  <c r="N69" i="33" s="1"/>
  <c r="D70" i="33"/>
  <c r="N70" i="33"/>
  <c r="D71" i="33"/>
  <c r="M71" i="33"/>
  <c r="O71" i="33" s="1"/>
  <c r="N71" i="33"/>
  <c r="W71" i="33"/>
  <c r="X71" i="33"/>
  <c r="D72" i="33"/>
  <c r="M72" i="33"/>
  <c r="N72" i="33" s="1"/>
  <c r="W72" i="33"/>
  <c r="X72" i="33"/>
  <c r="D73" i="33"/>
  <c r="M73" i="33"/>
  <c r="N73" i="33" s="1"/>
  <c r="W73" i="33"/>
  <c r="X73" i="33"/>
  <c r="D74" i="33"/>
  <c r="M74" i="33"/>
  <c r="N74" i="33" s="1"/>
  <c r="W74" i="33"/>
  <c r="X74" i="33"/>
  <c r="D75" i="33"/>
  <c r="M75" i="33"/>
  <c r="N75" i="33" s="1"/>
  <c r="W75" i="33"/>
  <c r="X75" i="33"/>
  <c r="D76" i="33"/>
  <c r="M76" i="33"/>
  <c r="N76" i="33" s="1"/>
  <c r="D77" i="33"/>
  <c r="M77" i="33"/>
  <c r="N77" i="33" s="1"/>
  <c r="D78" i="33"/>
  <c r="N78" i="33"/>
  <c r="W78" i="33"/>
  <c r="X78" i="33"/>
  <c r="D79" i="33"/>
  <c r="M79" i="33"/>
  <c r="W79" i="33"/>
  <c r="X79" i="33"/>
  <c r="D80" i="33"/>
  <c r="M80" i="33"/>
  <c r="N80" i="33" s="1"/>
  <c r="W80" i="33"/>
  <c r="X80" i="33"/>
  <c r="D81" i="33"/>
  <c r="M81" i="33"/>
  <c r="O81" i="33" s="1"/>
  <c r="W81" i="33"/>
  <c r="X81" i="33"/>
  <c r="D82" i="33"/>
  <c r="M82" i="33"/>
  <c r="N82" i="33" s="1"/>
  <c r="W82" i="33"/>
  <c r="X82" i="33"/>
  <c r="D83" i="33"/>
  <c r="M83" i="33"/>
  <c r="W83" i="33"/>
  <c r="X83" i="33"/>
  <c r="D84" i="33"/>
  <c r="M84" i="33"/>
  <c r="N84" i="33"/>
  <c r="W84" i="33"/>
  <c r="X84" i="33"/>
  <c r="D85" i="33"/>
  <c r="M85" i="33"/>
  <c r="W85" i="33"/>
  <c r="X85" i="33"/>
  <c r="D86" i="33"/>
  <c r="M86" i="33"/>
  <c r="N86" i="33" s="1"/>
  <c r="W86" i="33"/>
  <c r="X86" i="33"/>
  <c r="D87" i="33"/>
  <c r="M87" i="33"/>
  <c r="O87" i="33" s="1"/>
  <c r="W87" i="33"/>
  <c r="X87" i="33"/>
  <c r="D88" i="33"/>
  <c r="M88" i="33"/>
  <c r="N88" i="33" s="1"/>
  <c r="W88" i="33"/>
  <c r="X88" i="33"/>
  <c r="D91" i="33"/>
  <c r="M91" i="33"/>
  <c r="W91" i="33"/>
  <c r="X91" i="33"/>
  <c r="D92" i="33"/>
  <c r="M92" i="33"/>
  <c r="W92" i="33"/>
  <c r="X92" i="33"/>
  <c r="D93" i="33"/>
  <c r="M93" i="33"/>
  <c r="N93" i="33" s="1"/>
  <c r="W93" i="33"/>
  <c r="X93" i="33"/>
  <c r="D94" i="33"/>
  <c r="M94" i="33"/>
  <c r="N94" i="33" s="1"/>
  <c r="D95" i="33"/>
  <c r="M95" i="33"/>
  <c r="N95" i="33" s="1"/>
  <c r="D96" i="33"/>
  <c r="O96" i="33"/>
  <c r="W96" i="33"/>
  <c r="X96" i="33"/>
  <c r="D97" i="33"/>
  <c r="M97" i="33"/>
  <c r="O97" i="33" s="1"/>
  <c r="W97" i="33"/>
  <c r="X97" i="33"/>
  <c r="D98" i="33"/>
  <c r="M98" i="33"/>
  <c r="O98" i="33" s="1"/>
  <c r="N98" i="33"/>
  <c r="W98" i="33"/>
  <c r="X98" i="33"/>
  <c r="D99" i="33"/>
  <c r="M99" i="33"/>
  <c r="O99" i="33" s="1"/>
  <c r="N99" i="33"/>
  <c r="W99" i="33"/>
  <c r="X99" i="33"/>
  <c r="D100" i="33"/>
  <c r="O100" i="33"/>
  <c r="W100" i="33"/>
  <c r="X100" i="33"/>
  <c r="D101" i="33"/>
  <c r="O101" i="33"/>
  <c r="W101" i="33"/>
  <c r="X101" i="33"/>
  <c r="D102" i="33"/>
  <c r="M102" i="33"/>
  <c r="O102" i="33" s="1"/>
  <c r="N102" i="33"/>
  <c r="W102" i="33"/>
  <c r="X102" i="33"/>
  <c r="D103" i="33"/>
  <c r="M103" i="33"/>
  <c r="O103" i="33" s="1"/>
  <c r="N103" i="33"/>
  <c r="W103" i="33"/>
  <c r="X103" i="33"/>
  <c r="D104" i="33"/>
  <c r="M104" i="33"/>
  <c r="N104" i="33"/>
  <c r="O104" i="33"/>
  <c r="W104" i="33"/>
  <c r="X104" i="33"/>
  <c r="D105" i="33"/>
  <c r="M105" i="33"/>
  <c r="N105" i="33"/>
  <c r="O105" i="33"/>
  <c r="W105" i="33"/>
  <c r="X105" i="33"/>
  <c r="D106" i="33"/>
  <c r="M106" i="33"/>
  <c r="N106" i="33"/>
  <c r="O106" i="33"/>
  <c r="W106" i="33"/>
  <c r="X106" i="33"/>
  <c r="D107" i="33"/>
  <c r="M107" i="33"/>
  <c r="N107" i="33"/>
  <c r="W107" i="33"/>
  <c r="X107" i="33"/>
  <c r="D108" i="33"/>
  <c r="M108" i="33"/>
  <c r="N108" i="33"/>
  <c r="W108" i="33"/>
  <c r="X108" i="33"/>
  <c r="D109" i="33"/>
  <c r="N109" i="33"/>
  <c r="O109" i="33"/>
  <c r="W109" i="33"/>
  <c r="X109" i="33"/>
  <c r="D110" i="33"/>
  <c r="M110" i="33"/>
  <c r="N110" i="33"/>
  <c r="O110" i="33"/>
  <c r="W110" i="33"/>
  <c r="X110" i="33"/>
  <c r="D111" i="33"/>
  <c r="M111" i="33"/>
  <c r="N111" i="33"/>
  <c r="W111" i="33"/>
  <c r="X111" i="33"/>
  <c r="D112" i="33"/>
  <c r="M112" i="33"/>
  <c r="N112" i="33"/>
  <c r="W112" i="33"/>
  <c r="X112" i="33"/>
  <c r="D113" i="33"/>
  <c r="N113" i="33"/>
  <c r="O113" i="33"/>
  <c r="W113" i="33"/>
  <c r="X113" i="33"/>
  <c r="D114" i="33"/>
  <c r="G114" i="33"/>
  <c r="N114" i="33"/>
  <c r="O114" i="33"/>
  <c r="W114" i="33"/>
  <c r="X114" i="33"/>
  <c r="D115" i="33"/>
  <c r="G115" i="33"/>
  <c r="M115" i="33"/>
  <c r="N115" i="33" s="1"/>
  <c r="W115" i="33"/>
  <c r="X115" i="33"/>
  <c r="D116" i="33"/>
  <c r="G116" i="33"/>
  <c r="M116" i="33"/>
  <c r="N116" i="33" s="1"/>
  <c r="W116" i="33"/>
  <c r="X116" i="33"/>
  <c r="D117" i="33"/>
  <c r="G117" i="33"/>
  <c r="M117" i="33"/>
  <c r="O117" i="33" s="1"/>
  <c r="N117" i="33"/>
  <c r="W117" i="33"/>
  <c r="X117" i="33"/>
  <c r="D118" i="33"/>
  <c r="G118" i="33"/>
  <c r="M118" i="33"/>
  <c r="N118" i="33"/>
  <c r="O118" i="33"/>
  <c r="W118" i="33"/>
  <c r="X118" i="33" s="1"/>
  <c r="D119" i="33"/>
  <c r="G119" i="33"/>
  <c r="M119" i="33"/>
  <c r="N119" i="33"/>
  <c r="W119" i="33"/>
  <c r="X119" i="33" s="1"/>
  <c r="D120" i="33"/>
  <c r="G120" i="33"/>
  <c r="M120" i="33"/>
  <c r="N120" i="33"/>
  <c r="W120" i="33"/>
  <c r="X120" i="33" s="1"/>
  <c r="D121" i="33"/>
  <c r="G121" i="33"/>
  <c r="M121" i="33"/>
  <c r="N121" i="33"/>
  <c r="W121" i="33"/>
  <c r="X121" i="33" s="1"/>
  <c r="D122" i="33"/>
  <c r="G122" i="33"/>
  <c r="M122" i="33"/>
  <c r="N122" i="33"/>
  <c r="W122" i="33"/>
  <c r="X122" i="33" s="1"/>
  <c r="D123" i="33"/>
  <c r="G123" i="33"/>
  <c r="M123" i="33"/>
  <c r="N123" i="33"/>
  <c r="W123" i="33"/>
  <c r="X123" i="33" s="1"/>
  <c r="D124" i="33"/>
  <c r="G124" i="33"/>
  <c r="M124" i="33"/>
  <c r="N124" i="33"/>
  <c r="W124" i="33"/>
  <c r="X124" i="33" s="1"/>
  <c r="D125" i="33"/>
  <c r="E125" i="33"/>
  <c r="G125" i="33" s="1"/>
  <c r="M125" i="33"/>
  <c r="N125" i="33"/>
  <c r="W125" i="33"/>
  <c r="X125" i="33" s="1"/>
  <c r="D126" i="33"/>
  <c r="E126" i="33"/>
  <c r="G126" i="33" s="1"/>
  <c r="M126" i="33"/>
  <c r="N126" i="33"/>
  <c r="W126" i="33"/>
  <c r="X126" i="33" s="1"/>
  <c r="D127" i="33"/>
  <c r="E127" i="33"/>
  <c r="G127" i="33" s="1"/>
  <c r="M127" i="33"/>
  <c r="N127" i="33"/>
  <c r="W127" i="33"/>
  <c r="X127" i="33" s="1"/>
  <c r="D128" i="33"/>
  <c r="E128" i="33"/>
  <c r="G128" i="33" s="1"/>
  <c r="M128" i="33"/>
  <c r="N128" i="33"/>
  <c r="W128" i="33"/>
  <c r="X128" i="33" s="1"/>
  <c r="D129" i="33"/>
  <c r="E129" i="33"/>
  <c r="G129" i="33" s="1"/>
  <c r="M129" i="33"/>
  <c r="N129" i="33"/>
  <c r="W129" i="33"/>
  <c r="X129" i="33" s="1"/>
  <c r="D130" i="33"/>
  <c r="E130" i="33"/>
  <c r="G130" i="33" s="1"/>
  <c r="M130" i="33"/>
  <c r="N130" i="33"/>
  <c r="W130" i="33"/>
  <c r="X130" i="33" s="1"/>
  <c r="D131" i="33"/>
  <c r="E131" i="33"/>
  <c r="M131" i="33"/>
  <c r="N131" i="33" s="1"/>
  <c r="O131" i="33"/>
  <c r="W131" i="33"/>
  <c r="X131" i="33" s="1"/>
  <c r="G7" i="15"/>
  <c r="E23" i="25"/>
  <c r="G91" i="12"/>
  <c r="G109" i="12"/>
  <c r="N82" i="29"/>
  <c r="T12" i="25"/>
  <c r="T13" i="25"/>
  <c r="T15" i="25"/>
  <c r="T16" i="25"/>
  <c r="T17" i="25"/>
  <c r="T18" i="25"/>
  <c r="T19" i="25"/>
  <c r="T20" i="25"/>
  <c r="T21" i="25"/>
  <c r="T23" i="25"/>
  <c r="T25" i="25"/>
  <c r="T26" i="25"/>
  <c r="T27" i="25"/>
  <c r="T28" i="25"/>
  <c r="T29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43" i="25"/>
  <c r="T44" i="25"/>
  <c r="T45" i="25"/>
  <c r="T46" i="25"/>
  <c r="T47" i="25"/>
  <c r="T48" i="25"/>
  <c r="T49" i="25"/>
  <c r="T50" i="25"/>
  <c r="T51" i="25"/>
  <c r="T52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65" i="25"/>
  <c r="T66" i="25"/>
  <c r="T67" i="25"/>
  <c r="T68" i="25"/>
  <c r="T69" i="25"/>
  <c r="T70" i="25"/>
  <c r="T71" i="25"/>
  <c r="T72" i="25"/>
  <c r="T73" i="25"/>
  <c r="T74" i="25"/>
  <c r="T75" i="25"/>
  <c r="T76" i="25"/>
  <c r="T77" i="25"/>
  <c r="T78" i="25"/>
  <c r="T79" i="25"/>
  <c r="T80" i="25"/>
  <c r="T81" i="25"/>
  <c r="T82" i="25"/>
  <c r="T83" i="25"/>
  <c r="T84" i="25"/>
  <c r="T85" i="25"/>
  <c r="T86" i="25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100" i="25"/>
  <c r="T101" i="25"/>
  <c r="T102" i="25"/>
  <c r="T103" i="25"/>
  <c r="T104" i="25"/>
  <c r="T105" i="25"/>
  <c r="T106" i="25"/>
  <c r="T107" i="25"/>
  <c r="T108" i="25"/>
  <c r="T109" i="25"/>
  <c r="T110" i="25"/>
  <c r="T111" i="25"/>
  <c r="T112" i="25"/>
  <c r="T113" i="25"/>
  <c r="T114" i="25"/>
  <c r="T115" i="25"/>
  <c r="T116" i="25"/>
  <c r="T117" i="25"/>
  <c r="T118" i="25"/>
  <c r="T119" i="25"/>
  <c r="T120" i="25"/>
  <c r="T121" i="25"/>
  <c r="T122" i="25"/>
  <c r="T123" i="25"/>
  <c r="Q12" i="25"/>
  <c r="Q13" i="25"/>
  <c r="Q15" i="25"/>
  <c r="Q16" i="25"/>
  <c r="Q17" i="25"/>
  <c r="Q18" i="25"/>
  <c r="S21" i="25"/>
  <c r="S23" i="25"/>
  <c r="S26" i="25"/>
  <c r="S27" i="25"/>
  <c r="S28" i="25"/>
  <c r="S29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63" i="25"/>
  <c r="S64" i="25"/>
  <c r="S65" i="25"/>
  <c r="S66" i="25"/>
  <c r="S67" i="25"/>
  <c r="S68" i="25"/>
  <c r="S69" i="25"/>
  <c r="S70" i="25"/>
  <c r="S71" i="25"/>
  <c r="S72" i="25"/>
  <c r="S73" i="25"/>
  <c r="S74" i="25"/>
  <c r="S75" i="25"/>
  <c r="S76" i="25"/>
  <c r="S77" i="25"/>
  <c r="S78" i="25"/>
  <c r="S79" i="25"/>
  <c r="S80" i="25"/>
  <c r="S81" i="25"/>
  <c r="S82" i="25"/>
  <c r="S83" i="25"/>
  <c r="S84" i="25"/>
  <c r="S85" i="25"/>
  <c r="S86" i="25"/>
  <c r="S87" i="25"/>
  <c r="S88" i="25"/>
  <c r="S89" i="25"/>
  <c r="S90" i="25"/>
  <c r="S91" i="25"/>
  <c r="S92" i="25"/>
  <c r="S93" i="25"/>
  <c r="S94" i="25"/>
  <c r="S95" i="25"/>
  <c r="S96" i="25"/>
  <c r="S97" i="25"/>
  <c r="S98" i="25"/>
  <c r="S99" i="25"/>
  <c r="S100" i="25"/>
  <c r="S101" i="25"/>
  <c r="S102" i="25"/>
  <c r="S103" i="25"/>
  <c r="S104" i="25"/>
  <c r="Q105" i="25"/>
  <c r="S105" i="25" s="1"/>
  <c r="Q106" i="25"/>
  <c r="S106" i="25" s="1"/>
  <c r="Q107" i="25"/>
  <c r="S107" i="25" s="1"/>
  <c r="Q108" i="25"/>
  <c r="S108" i="25" s="1"/>
  <c r="Q109" i="25"/>
  <c r="S109" i="25" s="1"/>
  <c r="Q110" i="25"/>
  <c r="S110" i="25" s="1"/>
  <c r="Q111" i="25"/>
  <c r="S111" i="25" s="1"/>
  <c r="Q112" i="25"/>
  <c r="S112" i="25" s="1"/>
  <c r="Q113" i="25"/>
  <c r="S113" i="25" s="1"/>
  <c r="Q114" i="25"/>
  <c r="S114" i="25" s="1"/>
  <c r="Q115" i="25"/>
  <c r="S115" i="25" s="1"/>
  <c r="Q116" i="25"/>
  <c r="S116" i="25" s="1"/>
  <c r="Q117" i="25"/>
  <c r="S117" i="25" s="1"/>
  <c r="Q118" i="25"/>
  <c r="S118" i="25" s="1"/>
  <c r="Q119" i="25"/>
  <c r="S119" i="25" s="1"/>
  <c r="Q120" i="25"/>
  <c r="S120" i="25" s="1"/>
  <c r="Q121" i="25"/>
  <c r="S121" i="25" s="1"/>
  <c r="Q122" i="25"/>
  <c r="Q123" i="25"/>
  <c r="G83" i="12"/>
  <c r="M73" i="12"/>
  <c r="S73" i="15"/>
  <c r="M66" i="12"/>
  <c r="M65" i="12"/>
  <c r="M64" i="12"/>
  <c r="D11" i="26"/>
  <c r="D12" i="26"/>
  <c r="D13" i="26"/>
  <c r="D14" i="26"/>
  <c r="D15" i="26"/>
  <c r="D16" i="26"/>
  <c r="D17" i="26"/>
  <c r="D18" i="26"/>
  <c r="D19" i="26"/>
  <c r="D20" i="26"/>
  <c r="R9" i="15"/>
  <c r="R10" i="15"/>
  <c r="R11" i="15"/>
  <c r="S11" i="15" s="1"/>
  <c r="R13" i="15"/>
  <c r="S13" i="15" s="1"/>
  <c r="R14" i="15"/>
  <c r="S14" i="15" s="1"/>
  <c r="R15" i="15"/>
  <c r="S15" i="15" s="1"/>
  <c r="R16" i="15"/>
  <c r="S16" i="15" s="1"/>
  <c r="R17" i="15"/>
  <c r="S17" i="15" s="1"/>
  <c r="R18" i="15"/>
  <c r="S18" i="15" s="1"/>
  <c r="R19" i="15"/>
  <c r="S19" i="15" s="1"/>
  <c r="R20" i="15"/>
  <c r="S20" i="15" s="1"/>
  <c r="R21" i="15"/>
  <c r="S21" i="15" s="1"/>
  <c r="R22" i="15"/>
  <c r="S22" i="15" s="1"/>
  <c r="R25" i="15"/>
  <c r="S25" i="15" s="1"/>
  <c r="D21" i="25"/>
  <c r="N87" i="15"/>
  <c r="E20" i="25"/>
  <c r="E19" i="25"/>
  <c r="M30" i="12"/>
  <c r="M29" i="12"/>
  <c r="D13" i="12"/>
  <c r="E9" i="28"/>
  <c r="O30" i="33" l="1"/>
  <c r="O31" i="33"/>
  <c r="O22" i="33"/>
  <c r="O34" i="33"/>
  <c r="O32" i="33"/>
  <c r="O35" i="29"/>
  <c r="O39" i="33"/>
  <c r="N39" i="33"/>
  <c r="O29" i="33"/>
  <c r="O23" i="33"/>
  <c r="O21" i="33"/>
  <c r="O15" i="33"/>
  <c r="O13" i="33"/>
  <c r="O9" i="33"/>
  <c r="N39" i="12"/>
  <c r="N38" i="12"/>
  <c r="N37" i="12"/>
  <c r="N59" i="33"/>
  <c r="N36" i="33"/>
  <c r="N21" i="33"/>
  <c r="N31" i="33"/>
  <c r="O33" i="33"/>
  <c r="N15" i="33"/>
  <c r="O14" i="33"/>
  <c r="O37" i="29"/>
  <c r="O36" i="29"/>
  <c r="O94" i="33"/>
  <c r="O93" i="33"/>
  <c r="O92" i="33"/>
  <c r="O91" i="33"/>
  <c r="O85" i="33"/>
  <c r="O83" i="33"/>
  <c r="O75" i="33"/>
  <c r="O73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5" i="33"/>
  <c r="O112" i="33"/>
  <c r="O111" i="33"/>
  <c r="O108" i="33"/>
  <c r="O107" i="33"/>
  <c r="O95" i="33"/>
  <c r="O70" i="33"/>
  <c r="O65" i="33"/>
  <c r="O64" i="33"/>
  <c r="O62" i="33"/>
  <c r="O60" i="33"/>
  <c r="O58" i="33"/>
  <c r="O56" i="33"/>
  <c r="O44" i="33"/>
  <c r="O43" i="33"/>
  <c r="O42" i="33"/>
  <c r="O41" i="33"/>
  <c r="O40" i="33"/>
  <c r="O37" i="33"/>
  <c r="O28" i="33"/>
  <c r="O26" i="33"/>
  <c r="O24" i="33"/>
  <c r="O20" i="33"/>
  <c r="O18" i="33"/>
  <c r="O16" i="33"/>
  <c r="O12" i="33"/>
  <c r="O10" i="33"/>
  <c r="O8" i="33"/>
  <c r="O79" i="33"/>
  <c r="O77" i="33"/>
  <c r="L132" i="33"/>
  <c r="L133" i="33" s="1"/>
  <c r="G132" i="33"/>
  <c r="G133" i="33" s="1"/>
  <c r="O116" i="33"/>
  <c r="N100" i="33"/>
  <c r="N96" i="33"/>
  <c r="N91" i="33"/>
  <c r="O88" i="33"/>
  <c r="O86" i="33"/>
  <c r="O84" i="33"/>
  <c r="O82" i="33"/>
  <c r="O80" i="33"/>
  <c r="O78" i="33"/>
  <c r="O69" i="33"/>
  <c r="O67" i="33"/>
  <c r="O57" i="33"/>
  <c r="N101" i="33"/>
  <c r="N97" i="33"/>
  <c r="N92" i="33"/>
  <c r="N87" i="33"/>
  <c r="N85" i="33"/>
  <c r="N83" i="33"/>
  <c r="N81" i="33"/>
  <c r="N79" i="33"/>
  <c r="O76" i="33"/>
  <c r="O74" i="33"/>
  <c r="O72" i="33"/>
  <c r="N68" i="33"/>
  <c r="N66" i="33"/>
  <c r="O63" i="33"/>
  <c r="N61" i="33"/>
  <c r="O55" i="33"/>
  <c r="N38" i="33"/>
  <c r="O35" i="33"/>
  <c r="O27" i="33"/>
  <c r="N25" i="33"/>
  <c r="O19" i="33"/>
  <c r="N17" i="33"/>
  <c r="O11" i="33"/>
  <c r="N9" i="33"/>
  <c r="N73" i="12"/>
  <c r="G95" i="12"/>
  <c r="D11" i="29" l="1"/>
  <c r="D12" i="29"/>
  <c r="E34" i="27"/>
  <c r="E35" i="27"/>
  <c r="E36" i="27"/>
  <c r="E10" i="28" l="1"/>
  <c r="E11" i="28"/>
  <c r="E8" i="28"/>
  <c r="E12" i="28" l="1"/>
  <c r="E13" i="28"/>
  <c r="E14" i="28"/>
  <c r="L37" i="15"/>
  <c r="L38" i="15"/>
  <c r="L39" i="15"/>
  <c r="G31" i="29"/>
  <c r="G104" i="15"/>
  <c r="G105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V32" i="25"/>
  <c r="V38" i="25"/>
  <c r="V51" i="25"/>
  <c r="V59" i="25"/>
  <c r="V7" i="25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F53" i="26" s="1"/>
  <c r="E54" i="26"/>
  <c r="F54" i="26" s="1"/>
  <c r="E55" i="26"/>
  <c r="F55" i="26" s="1"/>
  <c r="E56" i="26"/>
  <c r="F56" i="26" s="1"/>
  <c r="E57" i="26"/>
  <c r="F57" i="26" s="1"/>
  <c r="E58" i="26"/>
  <c r="F58" i="26" s="1"/>
  <c r="E59" i="26"/>
  <c r="F59" i="26" s="1"/>
  <c r="E60" i="26"/>
  <c r="F60" i="26" s="1"/>
  <c r="D58" i="26"/>
  <c r="E61" i="26"/>
  <c r="E62" i="26"/>
  <c r="E63" i="26"/>
  <c r="D57" i="26"/>
  <c r="D56" i="26"/>
  <c r="D55" i="26"/>
  <c r="D54" i="26"/>
  <c r="D53" i="26"/>
  <c r="D52" i="26"/>
  <c r="N67" i="26"/>
  <c r="O67" i="26"/>
  <c r="P67" i="26"/>
  <c r="K53" i="26"/>
  <c r="L53" i="26"/>
  <c r="K54" i="26"/>
  <c r="L54" i="26"/>
  <c r="K55" i="26"/>
  <c r="L55" i="26"/>
  <c r="K56" i="26"/>
  <c r="L56" i="26"/>
  <c r="K57" i="26"/>
  <c r="L57" i="26"/>
  <c r="K58" i="26"/>
  <c r="L58" i="26"/>
  <c r="K59" i="26"/>
  <c r="L59" i="26"/>
  <c r="K60" i="26"/>
  <c r="L60" i="26"/>
  <c r="K61" i="26"/>
  <c r="L61" i="26"/>
  <c r="K62" i="26"/>
  <c r="L62" i="26"/>
  <c r="K63" i="26"/>
  <c r="L63" i="26"/>
  <c r="K64" i="26"/>
  <c r="L64" i="26"/>
  <c r="K65" i="26"/>
  <c r="L65" i="26"/>
  <c r="K66" i="26"/>
  <c r="L66" i="26"/>
  <c r="K67" i="26"/>
  <c r="L67" i="26"/>
  <c r="N52" i="26"/>
  <c r="O52" i="26"/>
  <c r="N53" i="26"/>
  <c r="O53" i="26"/>
  <c r="N54" i="26"/>
  <c r="O54" i="26"/>
  <c r="N55" i="26"/>
  <c r="O55" i="26"/>
  <c r="P55" i="26"/>
  <c r="N56" i="26"/>
  <c r="O56" i="26"/>
  <c r="P56" i="26"/>
  <c r="N57" i="26"/>
  <c r="O57" i="26"/>
  <c r="P57" i="26"/>
  <c r="N58" i="26"/>
  <c r="O58" i="26"/>
  <c r="P58" i="26"/>
  <c r="N59" i="26"/>
  <c r="O59" i="26"/>
  <c r="P59" i="26"/>
  <c r="N60" i="26"/>
  <c r="O60" i="26"/>
  <c r="P60" i="26"/>
  <c r="N61" i="26"/>
  <c r="O61" i="26"/>
  <c r="P61" i="26"/>
  <c r="N62" i="26"/>
  <c r="O62" i="26"/>
  <c r="P62" i="26"/>
  <c r="N63" i="26"/>
  <c r="O63" i="26"/>
  <c r="P63" i="26"/>
  <c r="N64" i="26"/>
  <c r="O64" i="26"/>
  <c r="P64" i="26"/>
  <c r="N65" i="26"/>
  <c r="O65" i="26"/>
  <c r="P65" i="26"/>
  <c r="N66" i="26"/>
  <c r="O66" i="26"/>
  <c r="P66" i="26"/>
  <c r="P51" i="26"/>
  <c r="N51" i="26"/>
  <c r="O51" i="26" s="1"/>
  <c r="D51" i="26"/>
  <c r="D36" i="12"/>
  <c r="G29" i="29"/>
  <c r="G30" i="29"/>
  <c r="G32" i="29"/>
  <c r="G33" i="29"/>
  <c r="E116" i="29"/>
  <c r="G116" i="29" s="1"/>
  <c r="E117" i="29"/>
  <c r="G117" i="29" s="1"/>
  <c r="E118" i="29"/>
  <c r="E119" i="29"/>
  <c r="E120" i="29"/>
  <c r="E121" i="29"/>
  <c r="E122" i="29"/>
  <c r="E123" i="29"/>
  <c r="E124" i="29"/>
  <c r="E125" i="29"/>
  <c r="E126" i="29"/>
  <c r="E127" i="29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G149" i="15" s="1"/>
  <c r="E150" i="15"/>
  <c r="G150" i="15" s="1"/>
  <c r="G13" i="27"/>
  <c r="G25" i="27"/>
  <c r="G26" i="27"/>
  <c r="G27" i="27"/>
  <c r="G28" i="27"/>
  <c r="G29" i="27"/>
  <c r="G30" i="27"/>
  <c r="G31" i="27"/>
  <c r="G32" i="27"/>
  <c r="G33" i="27"/>
  <c r="G34" i="27"/>
  <c r="G35" i="27"/>
  <c r="E37" i="27"/>
  <c r="G37" i="27" s="1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G8" i="27"/>
  <c r="G92" i="12"/>
  <c r="G93" i="12"/>
  <c r="G94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10" i="12"/>
  <c r="G111" i="12"/>
  <c r="G112" i="12"/>
  <c r="G113" i="12"/>
  <c r="G114" i="12"/>
  <c r="G115" i="12"/>
  <c r="G116" i="12"/>
  <c r="G82" i="12"/>
  <c r="G84" i="12"/>
  <c r="G85" i="12"/>
  <c r="G86" i="12"/>
  <c r="G87" i="12"/>
  <c r="G88" i="12"/>
  <c r="G89" i="12"/>
  <c r="G90" i="12"/>
  <c r="N27" i="29"/>
  <c r="D8" i="26"/>
  <c r="V21" i="25" l="1"/>
  <c r="E21" i="25"/>
  <c r="P8" i="26" l="1"/>
  <c r="V15" i="25"/>
  <c r="S15" i="25"/>
  <c r="M15" i="25"/>
  <c r="E15" i="25"/>
  <c r="G15" i="25" s="1"/>
  <c r="D15" i="25"/>
  <c r="N42" i="29"/>
  <c r="D42" i="29"/>
  <c r="N41" i="29"/>
  <c r="G41" i="29"/>
  <c r="D41" i="29"/>
  <c r="N40" i="29"/>
  <c r="G40" i="29"/>
  <c r="D40" i="29"/>
  <c r="V16" i="25"/>
  <c r="S16" i="25"/>
  <c r="M16" i="25"/>
  <c r="E16" i="25"/>
  <c r="G16" i="25" s="1"/>
  <c r="D16" i="25"/>
  <c r="R29" i="15"/>
  <c r="S29" i="15" s="1"/>
  <c r="N29" i="15"/>
  <c r="M29" i="15"/>
  <c r="L29" i="15"/>
  <c r="R28" i="15"/>
  <c r="S28" i="15" s="1"/>
  <c r="N28" i="15"/>
  <c r="M28" i="15"/>
  <c r="L28" i="15"/>
  <c r="D28" i="15"/>
  <c r="R27" i="15"/>
  <c r="S27" i="15" s="1"/>
  <c r="N27" i="15"/>
  <c r="M27" i="15"/>
  <c r="L27" i="15"/>
  <c r="D27" i="15"/>
  <c r="R26" i="15"/>
  <c r="S26" i="15" s="1"/>
  <c r="N26" i="15"/>
  <c r="M26" i="15"/>
  <c r="L26" i="15"/>
  <c r="D26" i="15"/>
  <c r="R39" i="15"/>
  <c r="S39" i="15" s="1"/>
  <c r="N39" i="15"/>
  <c r="M39" i="15"/>
  <c r="R38" i="15"/>
  <c r="S38" i="15" s="1"/>
  <c r="N38" i="15"/>
  <c r="M38" i="15"/>
  <c r="O38" i="15" s="1"/>
  <c r="R37" i="15"/>
  <c r="S37" i="15" s="1"/>
  <c r="N37" i="15"/>
  <c r="M37" i="15"/>
  <c r="I15" i="27"/>
  <c r="J15" i="27"/>
  <c r="N15" i="26"/>
  <c r="O15" i="26" s="1"/>
  <c r="L15" i="26"/>
  <c r="K15" i="26"/>
  <c r="E15" i="26"/>
  <c r="D18" i="12"/>
  <c r="G18" i="12"/>
  <c r="M18" i="12"/>
  <c r="D19" i="12"/>
  <c r="G19" i="12"/>
  <c r="M19" i="12"/>
  <c r="D20" i="12"/>
  <c r="G20" i="12"/>
  <c r="D21" i="12"/>
  <c r="G21" i="12"/>
  <c r="M21" i="12"/>
  <c r="M17" i="12"/>
  <c r="G17" i="12"/>
  <c r="D17" i="12"/>
  <c r="M16" i="12"/>
  <c r="G16" i="12"/>
  <c r="D16" i="12"/>
  <c r="N20" i="29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9" i="27"/>
  <c r="G60" i="27"/>
  <c r="G62" i="27"/>
  <c r="G63" i="27"/>
  <c r="G64" i="27"/>
  <c r="G65" i="27"/>
  <c r="G66" i="27"/>
  <c r="G67" i="27"/>
  <c r="G68" i="27"/>
  <c r="N8" i="29"/>
  <c r="N9" i="29"/>
  <c r="N10" i="29"/>
  <c r="N11" i="29"/>
  <c r="N13" i="29"/>
  <c r="N14" i="29"/>
  <c r="N15" i="29"/>
  <c r="N16" i="29"/>
  <c r="N17" i="29"/>
  <c r="N18" i="29"/>
  <c r="N19" i="29"/>
  <c r="N21" i="29"/>
  <c r="N22" i="29"/>
  <c r="N23" i="29"/>
  <c r="N24" i="29"/>
  <c r="N25" i="29"/>
  <c r="N26" i="29"/>
  <c r="N28" i="29"/>
  <c r="N30" i="29"/>
  <c r="N31" i="29"/>
  <c r="N32" i="29"/>
  <c r="N33" i="29"/>
  <c r="N34" i="29"/>
  <c r="N38" i="29"/>
  <c r="N39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3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18" i="29"/>
  <c r="N119" i="29"/>
  <c r="N120" i="29"/>
  <c r="N121" i="29"/>
  <c r="N122" i="29"/>
  <c r="N123" i="29"/>
  <c r="N124" i="29"/>
  <c r="N125" i="29"/>
  <c r="N126" i="29"/>
  <c r="N127" i="29"/>
  <c r="N7" i="29"/>
  <c r="E18" i="25"/>
  <c r="P15" i="26" l="1"/>
  <c r="O27" i="15"/>
  <c r="O29" i="15"/>
  <c r="P29" i="15" s="1"/>
  <c r="O37" i="15"/>
  <c r="O39" i="15"/>
  <c r="P39" i="15" s="1"/>
  <c r="N21" i="12"/>
  <c r="O26" i="15"/>
  <c r="P26" i="15" s="1"/>
  <c r="O28" i="15"/>
  <c r="P28" i="15" s="1"/>
  <c r="N20" i="12"/>
  <c r="N18" i="12"/>
  <c r="N19" i="12"/>
  <c r="N15" i="25"/>
  <c r="O40" i="29"/>
  <c r="O41" i="29"/>
  <c r="O42" i="29"/>
  <c r="N16" i="25"/>
  <c r="P27" i="15"/>
  <c r="P37" i="15"/>
  <c r="P38" i="15"/>
  <c r="N16" i="12"/>
  <c r="N17" i="12"/>
  <c r="G119" i="15" l="1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M35" i="12" l="1"/>
  <c r="M36" i="12"/>
  <c r="M26" i="12"/>
  <c r="M27" i="12"/>
  <c r="M28" i="12"/>
  <c r="V18" i="25"/>
  <c r="V19" i="25"/>
  <c r="V20" i="25"/>
  <c r="D39" i="27"/>
  <c r="D40" i="27"/>
  <c r="D41" i="27"/>
  <c r="I35" i="28" l="1"/>
  <c r="I36" i="28"/>
  <c r="I37" i="28"/>
  <c r="D34" i="28"/>
  <c r="D35" i="28"/>
  <c r="D36" i="28"/>
  <c r="D37" i="28"/>
  <c r="D38" i="28"/>
  <c r="D28" i="29"/>
  <c r="D29" i="29"/>
  <c r="D30" i="29"/>
  <c r="G118" i="29"/>
  <c r="G119" i="29"/>
  <c r="G120" i="29"/>
  <c r="G121" i="29"/>
  <c r="G123" i="29"/>
  <c r="G124" i="29"/>
  <c r="G125" i="29"/>
  <c r="G126" i="29"/>
  <c r="D19" i="29"/>
  <c r="D20" i="29"/>
  <c r="D21" i="29"/>
  <c r="D22" i="29"/>
  <c r="D23" i="29"/>
  <c r="D24" i="29"/>
  <c r="D25" i="29"/>
  <c r="D26" i="29"/>
  <c r="D27" i="29"/>
  <c r="D31" i="29"/>
  <c r="D32" i="29"/>
  <c r="D33" i="29"/>
  <c r="D34" i="29"/>
  <c r="D38" i="29"/>
  <c r="D39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O27" i="29"/>
  <c r="G28" i="29"/>
  <c r="O28" i="29" s="1"/>
  <c r="G34" i="29"/>
  <c r="G38" i="29"/>
  <c r="O77" i="29"/>
  <c r="G122" i="29"/>
  <c r="D121" i="15"/>
  <c r="D122" i="15"/>
  <c r="D123" i="15"/>
  <c r="D124" i="15"/>
  <c r="G109" i="15"/>
  <c r="G110" i="15"/>
  <c r="G111" i="15"/>
  <c r="G112" i="15"/>
  <c r="G113" i="15"/>
  <c r="G114" i="15"/>
  <c r="G116" i="15"/>
  <c r="G117" i="15"/>
  <c r="G118" i="15"/>
  <c r="D25" i="15"/>
  <c r="D51" i="15"/>
  <c r="D52" i="15"/>
  <c r="D53" i="15"/>
  <c r="D63" i="15"/>
  <c r="D64" i="15"/>
  <c r="D65" i="15"/>
  <c r="D66" i="15"/>
  <c r="D67" i="15"/>
  <c r="D68" i="15"/>
  <c r="D74" i="15"/>
  <c r="D75" i="15"/>
  <c r="D76" i="15"/>
  <c r="D77" i="15"/>
  <c r="D78" i="15"/>
  <c r="D79" i="15"/>
  <c r="D52" i="12"/>
  <c r="D53" i="12"/>
  <c r="G51" i="12"/>
  <c r="G52" i="12"/>
  <c r="G53" i="12"/>
  <c r="G54" i="12"/>
  <c r="G55" i="12"/>
  <c r="G27" i="12"/>
  <c r="G30" i="12"/>
  <c r="G31" i="12"/>
  <c r="G32" i="12"/>
  <c r="D25" i="12"/>
  <c r="D26" i="12"/>
  <c r="D27" i="12"/>
  <c r="D28" i="12"/>
  <c r="D29" i="12"/>
  <c r="D30" i="12"/>
  <c r="D31" i="12"/>
  <c r="V31" i="25"/>
  <c r="E31" i="25"/>
  <c r="E29" i="28"/>
  <c r="O92" i="29" l="1"/>
  <c r="G115" i="15"/>
  <c r="O89" i="29"/>
  <c r="O90" i="29"/>
  <c r="O91" i="29"/>
  <c r="O93" i="29"/>
  <c r="O94" i="29"/>
  <c r="O95" i="29"/>
  <c r="O96" i="29"/>
  <c r="O97" i="29"/>
  <c r="O98" i="29"/>
  <c r="O99" i="29"/>
  <c r="L8" i="26" l="1"/>
  <c r="L9" i="26"/>
  <c r="L10" i="26"/>
  <c r="L11" i="26"/>
  <c r="L12" i="26"/>
  <c r="L13" i="26"/>
  <c r="L14" i="26"/>
  <c r="L16" i="26"/>
  <c r="L17" i="26"/>
  <c r="L18" i="26"/>
  <c r="L19" i="26"/>
  <c r="L20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K8" i="26"/>
  <c r="K9" i="26"/>
  <c r="K10" i="26"/>
  <c r="K11" i="26"/>
  <c r="K12" i="26"/>
  <c r="K13" i="26"/>
  <c r="K14" i="26"/>
  <c r="K16" i="26"/>
  <c r="K17" i="26"/>
  <c r="K18" i="26"/>
  <c r="K19" i="26"/>
  <c r="K20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L7" i="26"/>
  <c r="K7" i="26"/>
  <c r="E17" i="28" l="1"/>
  <c r="E18" i="28"/>
  <c r="E19" i="28"/>
  <c r="E20" i="28"/>
  <c r="E22" i="28"/>
  <c r="E23" i="28"/>
  <c r="M117" i="15"/>
  <c r="M118" i="15"/>
  <c r="M119" i="15"/>
  <c r="M120" i="15"/>
  <c r="M121" i="15"/>
  <c r="M122" i="15"/>
  <c r="M123" i="15"/>
  <c r="M101" i="12"/>
  <c r="M102" i="12"/>
  <c r="M103" i="12"/>
  <c r="D101" i="12"/>
  <c r="N103" i="12" l="1"/>
  <c r="N102" i="12"/>
  <c r="N101" i="12"/>
  <c r="D9" i="26" l="1"/>
  <c r="D10" i="26"/>
  <c r="D23" i="26"/>
  <c r="D7" i="26"/>
  <c r="S7" i="15"/>
  <c r="D8" i="27"/>
  <c r="D9" i="27"/>
  <c r="D10" i="27"/>
  <c r="D11" i="27"/>
  <c r="D12" i="27"/>
  <c r="D13" i="27"/>
  <c r="D7" i="27"/>
  <c r="E9" i="26"/>
  <c r="E10" i="26"/>
  <c r="E11" i="26"/>
  <c r="E12" i="26"/>
  <c r="E13" i="26"/>
  <c r="E14" i="26"/>
  <c r="E16" i="26"/>
  <c r="E17" i="26"/>
  <c r="E18" i="26"/>
  <c r="E19" i="26"/>
  <c r="E20" i="26"/>
  <c r="E23" i="26"/>
  <c r="E24" i="26"/>
  <c r="E25" i="26"/>
  <c r="E26" i="26"/>
  <c r="E27" i="26"/>
  <c r="E28" i="26"/>
  <c r="E29" i="26"/>
  <c r="E30" i="26"/>
  <c r="S9" i="15"/>
  <c r="S10" i="15"/>
  <c r="R30" i="15"/>
  <c r="S30" i="15" s="1"/>
  <c r="R31" i="15"/>
  <c r="S31" i="15" s="1"/>
  <c r="R32" i="15"/>
  <c r="S32" i="15" s="1"/>
  <c r="R33" i="15"/>
  <c r="S33" i="15" s="1"/>
  <c r="R34" i="15"/>
  <c r="S34" i="15" s="1"/>
  <c r="R35" i="15"/>
  <c r="S35" i="15" s="1"/>
  <c r="R36" i="15"/>
  <c r="S36" i="15" s="1"/>
  <c r="S8" i="1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15" i="28"/>
  <c r="G15" i="28" s="1"/>
  <c r="E16" i="28"/>
  <c r="G16" i="28" s="1"/>
  <c r="E24" i="28"/>
  <c r="E25" i="28"/>
  <c r="E26" i="28"/>
  <c r="E27" i="28"/>
  <c r="E28" i="28"/>
  <c r="E30" i="28"/>
  <c r="E31" i="28"/>
  <c r="E32" i="28"/>
  <c r="E33" i="28"/>
  <c r="E34" i="28"/>
  <c r="E35" i="28"/>
  <c r="G35" i="28" s="1"/>
  <c r="J35" i="28" s="1"/>
  <c r="E36" i="28"/>
  <c r="G36" i="28" s="1"/>
  <c r="J36" i="28" s="1"/>
  <c r="E37" i="28"/>
  <c r="G37" i="28" s="1"/>
  <c r="J37" i="28" s="1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G106" i="15"/>
  <c r="G107" i="15"/>
  <c r="G108" i="15"/>
  <c r="G56" i="12"/>
  <c r="G57" i="12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7" i="28"/>
  <c r="G8" i="28"/>
  <c r="G9" i="28"/>
  <c r="G10" i="28"/>
  <c r="J10" i="28" s="1"/>
  <c r="G11" i="28"/>
  <c r="G12" i="28"/>
  <c r="G13" i="28"/>
  <c r="J13" i="28" s="1"/>
  <c r="G14" i="28"/>
  <c r="J14" i="28" s="1"/>
  <c r="G17" i="28"/>
  <c r="J17" i="28" s="1"/>
  <c r="G18" i="28"/>
  <c r="J18" i="28" s="1"/>
  <c r="G19" i="28"/>
  <c r="J19" i="28" s="1"/>
  <c r="G20" i="28"/>
  <c r="G21" i="28"/>
  <c r="J21" i="28" s="1"/>
  <c r="G22" i="28"/>
  <c r="J22" i="28" s="1"/>
  <c r="G24" i="28"/>
  <c r="J24" i="28" s="1"/>
  <c r="G25" i="28"/>
  <c r="J25" i="28" s="1"/>
  <c r="G26" i="28"/>
  <c r="J26" i="28" s="1"/>
  <c r="G27" i="28"/>
  <c r="J27" i="28" s="1"/>
  <c r="G28" i="28"/>
  <c r="J28" i="28" s="1"/>
  <c r="G29" i="28"/>
  <c r="J29" i="28" s="1"/>
  <c r="G30" i="28"/>
  <c r="J30" i="28" s="1"/>
  <c r="G31" i="28"/>
  <c r="J31" i="28" s="1"/>
  <c r="G32" i="28"/>
  <c r="J32" i="28" s="1"/>
  <c r="G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7" i="28"/>
  <c r="G7" i="29"/>
  <c r="G9" i="29"/>
  <c r="O9" i="29" s="1"/>
  <c r="O10" i="29"/>
  <c r="O11" i="29"/>
  <c r="O12" i="29"/>
  <c r="G26" i="29"/>
  <c r="O29" i="29"/>
  <c r="O30" i="29"/>
  <c r="O31" i="29"/>
  <c r="O32" i="29"/>
  <c r="O33" i="29"/>
  <c r="O34" i="29"/>
  <c r="O38" i="29"/>
  <c r="G8" i="29"/>
  <c r="O8" i="29" s="1"/>
  <c r="O39" i="29"/>
  <c r="D8" i="29"/>
  <c r="D9" i="29"/>
  <c r="D10" i="29"/>
  <c r="D13" i="29"/>
  <c r="D14" i="29"/>
  <c r="D15" i="29"/>
  <c r="D16" i="29"/>
  <c r="D17" i="29"/>
  <c r="D18" i="29"/>
  <c r="D7" i="29"/>
  <c r="N8" i="15"/>
  <c r="N9" i="15"/>
  <c r="N10" i="15"/>
  <c r="N11" i="15"/>
  <c r="N13" i="15"/>
  <c r="N14" i="15"/>
  <c r="N15" i="15"/>
  <c r="N16" i="15"/>
  <c r="N17" i="15"/>
  <c r="N18" i="15"/>
  <c r="N19" i="15"/>
  <c r="N20" i="15"/>
  <c r="N21" i="15"/>
  <c r="N22" i="15"/>
  <c r="N25" i="15"/>
  <c r="N30" i="15"/>
  <c r="N31" i="15"/>
  <c r="N32" i="15"/>
  <c r="N33" i="15"/>
  <c r="N34" i="15"/>
  <c r="N35" i="15"/>
  <c r="N36" i="15"/>
  <c r="N7" i="15"/>
  <c r="M8" i="15"/>
  <c r="M9" i="15"/>
  <c r="M10" i="15"/>
  <c r="M11" i="15"/>
  <c r="M13" i="15"/>
  <c r="M14" i="15"/>
  <c r="M15" i="15"/>
  <c r="M16" i="15"/>
  <c r="M17" i="15"/>
  <c r="M18" i="15"/>
  <c r="M19" i="15"/>
  <c r="M20" i="15"/>
  <c r="M21" i="15"/>
  <c r="M22" i="15"/>
  <c r="M25" i="15"/>
  <c r="M30" i="15"/>
  <c r="M31" i="15"/>
  <c r="M32" i="15"/>
  <c r="M33" i="15"/>
  <c r="M34" i="15"/>
  <c r="M35" i="15"/>
  <c r="M36" i="15"/>
  <c r="M7" i="15"/>
  <c r="L8" i="15"/>
  <c r="L9" i="15"/>
  <c r="L10" i="15"/>
  <c r="O10" i="15" s="1"/>
  <c r="L11" i="15"/>
  <c r="L13" i="15"/>
  <c r="L14" i="15"/>
  <c r="L15" i="15"/>
  <c r="L16" i="15"/>
  <c r="L17" i="15"/>
  <c r="L18" i="15"/>
  <c r="L19" i="15"/>
  <c r="L20" i="15"/>
  <c r="L21" i="15"/>
  <c r="L22" i="15"/>
  <c r="O22" i="15" s="1"/>
  <c r="L25" i="15"/>
  <c r="L30" i="15"/>
  <c r="O30" i="15" s="1"/>
  <c r="L31" i="15"/>
  <c r="L32" i="15"/>
  <c r="L33" i="15"/>
  <c r="L34" i="15"/>
  <c r="O34" i="15" s="1"/>
  <c r="L35" i="15"/>
  <c r="L36" i="15"/>
  <c r="L50" i="15"/>
  <c r="L51" i="15"/>
  <c r="L52" i="15"/>
  <c r="L53" i="15"/>
  <c r="L54" i="15"/>
  <c r="L55" i="15"/>
  <c r="L56" i="15"/>
  <c r="L7" i="15"/>
  <c r="D8" i="15"/>
  <c r="D9" i="15"/>
  <c r="D10" i="15"/>
  <c r="D11" i="15"/>
  <c r="D13" i="15"/>
  <c r="D14" i="15"/>
  <c r="D15" i="15"/>
  <c r="D16" i="15"/>
  <c r="D17" i="15"/>
  <c r="D18" i="15"/>
  <c r="D19" i="15"/>
  <c r="D20" i="15"/>
  <c r="D21" i="15"/>
  <c r="D22" i="15"/>
  <c r="D7" i="15"/>
  <c r="I8" i="27"/>
  <c r="I9" i="27"/>
  <c r="I10" i="27"/>
  <c r="I11" i="27"/>
  <c r="I12" i="27"/>
  <c r="I13" i="27"/>
  <c r="I14" i="27"/>
  <c r="I16" i="27"/>
  <c r="I19" i="27"/>
  <c r="I7" i="27"/>
  <c r="J8" i="27"/>
  <c r="J9" i="27"/>
  <c r="J10" i="27"/>
  <c r="J11" i="27"/>
  <c r="J12" i="27"/>
  <c r="J13" i="27"/>
  <c r="G7" i="27"/>
  <c r="J7" i="27" s="1"/>
  <c r="M81" i="25"/>
  <c r="G81" i="25"/>
  <c r="D81" i="25"/>
  <c r="M80" i="25"/>
  <c r="G80" i="25"/>
  <c r="D80" i="25"/>
  <c r="M79" i="25"/>
  <c r="G79" i="25"/>
  <c r="D79" i="25"/>
  <c r="M78" i="25"/>
  <c r="G78" i="25"/>
  <c r="D78" i="25"/>
  <c r="M77" i="25"/>
  <c r="G77" i="25"/>
  <c r="D77" i="25"/>
  <c r="M76" i="25"/>
  <c r="G76" i="25"/>
  <c r="D76" i="25"/>
  <c r="M75" i="25"/>
  <c r="G75" i="25"/>
  <c r="D75" i="25"/>
  <c r="M74" i="25"/>
  <c r="G74" i="25"/>
  <c r="D74" i="25"/>
  <c r="M73" i="25"/>
  <c r="G73" i="25"/>
  <c r="D73" i="25"/>
  <c r="M72" i="25"/>
  <c r="G72" i="25"/>
  <c r="D72" i="25"/>
  <c r="M71" i="25"/>
  <c r="G71" i="25"/>
  <c r="D71" i="25"/>
  <c r="M70" i="25"/>
  <c r="G70" i="25"/>
  <c r="D70" i="25"/>
  <c r="M69" i="25"/>
  <c r="G69" i="25"/>
  <c r="D69" i="25"/>
  <c r="M68" i="25"/>
  <c r="G68" i="25"/>
  <c r="D68" i="25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8" i="29"/>
  <c r="O79" i="29"/>
  <c r="O80" i="29"/>
  <c r="O81" i="29"/>
  <c r="O82" i="29"/>
  <c r="O83" i="29"/>
  <c r="O85" i="29"/>
  <c r="O86" i="29"/>
  <c r="O87" i="29"/>
  <c r="O88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D57" i="15"/>
  <c r="L57" i="15"/>
  <c r="M57" i="15"/>
  <c r="N57" i="15"/>
  <c r="R57" i="15"/>
  <c r="S57" i="15" s="1"/>
  <c r="L58" i="15"/>
  <c r="M58" i="15"/>
  <c r="N58" i="15"/>
  <c r="R58" i="15"/>
  <c r="S58" i="15" s="1"/>
  <c r="L59" i="15"/>
  <c r="M59" i="15"/>
  <c r="N59" i="15"/>
  <c r="R59" i="15"/>
  <c r="S59" i="15" s="1"/>
  <c r="L60" i="15"/>
  <c r="M60" i="15"/>
  <c r="N60" i="15"/>
  <c r="R60" i="15"/>
  <c r="S60" i="15" s="1"/>
  <c r="D61" i="15"/>
  <c r="L61" i="15"/>
  <c r="M61" i="15"/>
  <c r="N61" i="15"/>
  <c r="R61" i="15"/>
  <c r="S61" i="15" s="1"/>
  <c r="D62" i="15"/>
  <c r="L62" i="15"/>
  <c r="M62" i="15"/>
  <c r="N62" i="15"/>
  <c r="R62" i="15"/>
  <c r="S62" i="15" s="1"/>
  <c r="L63" i="15"/>
  <c r="M63" i="15"/>
  <c r="N63" i="15"/>
  <c r="R63" i="15"/>
  <c r="S63" i="15" s="1"/>
  <c r="L64" i="15"/>
  <c r="M64" i="15"/>
  <c r="N64" i="15"/>
  <c r="R64" i="15"/>
  <c r="S64" i="15" s="1"/>
  <c r="L65" i="15"/>
  <c r="M65" i="15"/>
  <c r="N65" i="15"/>
  <c r="R65" i="15"/>
  <c r="S65" i="15" s="1"/>
  <c r="L66" i="15"/>
  <c r="M66" i="15"/>
  <c r="N66" i="15"/>
  <c r="R66" i="15"/>
  <c r="S66" i="15" s="1"/>
  <c r="L67" i="15"/>
  <c r="M67" i="15"/>
  <c r="N67" i="15"/>
  <c r="R67" i="15"/>
  <c r="S67" i="15" s="1"/>
  <c r="L68" i="15"/>
  <c r="M68" i="15"/>
  <c r="N68" i="15"/>
  <c r="R68" i="15"/>
  <c r="S68" i="15" s="1"/>
  <c r="D69" i="15"/>
  <c r="L69" i="15"/>
  <c r="M69" i="15"/>
  <c r="N69" i="15"/>
  <c r="R69" i="15"/>
  <c r="S69" i="15" s="1"/>
  <c r="D70" i="15"/>
  <c r="L70" i="15"/>
  <c r="M70" i="15"/>
  <c r="N70" i="15"/>
  <c r="R70" i="15"/>
  <c r="S70" i="15" s="1"/>
  <c r="D71" i="15"/>
  <c r="L71" i="15"/>
  <c r="M71" i="15"/>
  <c r="N71" i="15"/>
  <c r="R71" i="15"/>
  <c r="S71" i="15" s="1"/>
  <c r="D72" i="15"/>
  <c r="L72" i="15"/>
  <c r="M72" i="15"/>
  <c r="N72" i="15"/>
  <c r="R72" i="15"/>
  <c r="S72" i="15" s="1"/>
  <c r="D73" i="15"/>
  <c r="L73" i="15"/>
  <c r="M73" i="15"/>
  <c r="N73" i="15"/>
  <c r="L74" i="15"/>
  <c r="M74" i="15"/>
  <c r="N74" i="15"/>
  <c r="R74" i="15"/>
  <c r="S74" i="15" s="1"/>
  <c r="L75" i="15"/>
  <c r="M75" i="15"/>
  <c r="N75" i="15"/>
  <c r="R75" i="15"/>
  <c r="S75" i="15" s="1"/>
  <c r="L76" i="15"/>
  <c r="M76" i="15"/>
  <c r="N76" i="15"/>
  <c r="R76" i="15"/>
  <c r="S76" i="15" s="1"/>
  <c r="L77" i="15"/>
  <c r="M77" i="15"/>
  <c r="N77" i="15"/>
  <c r="R77" i="15"/>
  <c r="S77" i="15" s="1"/>
  <c r="L78" i="15"/>
  <c r="M78" i="15"/>
  <c r="N78" i="15"/>
  <c r="R78" i="15"/>
  <c r="S78" i="15" s="1"/>
  <c r="L79" i="15"/>
  <c r="M79" i="15"/>
  <c r="N79" i="15"/>
  <c r="R79" i="15"/>
  <c r="S79" i="15" s="1"/>
  <c r="D80" i="15"/>
  <c r="L80" i="15"/>
  <c r="M80" i="15"/>
  <c r="N80" i="15"/>
  <c r="R80" i="15"/>
  <c r="S80" i="15" s="1"/>
  <c r="D81" i="15"/>
  <c r="L81" i="15"/>
  <c r="M81" i="15"/>
  <c r="N81" i="15"/>
  <c r="R81" i="15"/>
  <c r="S81" i="15" s="1"/>
  <c r="D82" i="15"/>
  <c r="L82" i="15"/>
  <c r="M82" i="15"/>
  <c r="N82" i="15"/>
  <c r="R82" i="15"/>
  <c r="S82" i="15" s="1"/>
  <c r="D83" i="15"/>
  <c r="L83" i="15"/>
  <c r="M83" i="15"/>
  <c r="N83" i="15"/>
  <c r="R83" i="15"/>
  <c r="S83" i="15" s="1"/>
  <c r="D84" i="15"/>
  <c r="L84" i="15"/>
  <c r="M84" i="15"/>
  <c r="N84" i="15"/>
  <c r="R84" i="15"/>
  <c r="S84" i="15" s="1"/>
  <c r="D85" i="15"/>
  <c r="L85" i="15"/>
  <c r="M85" i="15"/>
  <c r="N85" i="15"/>
  <c r="R85" i="15"/>
  <c r="S85" i="15" s="1"/>
  <c r="D86" i="15"/>
  <c r="L86" i="15"/>
  <c r="M86" i="15"/>
  <c r="N86" i="15"/>
  <c r="R86" i="15"/>
  <c r="S86" i="15" s="1"/>
  <c r="D87" i="15"/>
  <c r="L87" i="15"/>
  <c r="M87" i="15"/>
  <c r="R87" i="15"/>
  <c r="S87" i="15" s="1"/>
  <c r="D88" i="15"/>
  <c r="L88" i="15"/>
  <c r="M88" i="15"/>
  <c r="N88" i="15"/>
  <c r="R88" i="15"/>
  <c r="S88" i="15" s="1"/>
  <c r="D89" i="15"/>
  <c r="L89" i="15"/>
  <c r="M89" i="15"/>
  <c r="N89" i="15"/>
  <c r="R89" i="15"/>
  <c r="S89" i="15" s="1"/>
  <c r="D90" i="15"/>
  <c r="L90" i="15"/>
  <c r="M90" i="15"/>
  <c r="N90" i="15"/>
  <c r="R90" i="15"/>
  <c r="S90" i="15" s="1"/>
  <c r="D91" i="15"/>
  <c r="L91" i="15"/>
  <c r="M91" i="15"/>
  <c r="N91" i="15"/>
  <c r="R91" i="15"/>
  <c r="S91" i="15" s="1"/>
  <c r="D92" i="15"/>
  <c r="L92" i="15"/>
  <c r="M92" i="15"/>
  <c r="N92" i="15"/>
  <c r="R92" i="15"/>
  <c r="S92" i="15" s="1"/>
  <c r="D93" i="15"/>
  <c r="L93" i="15"/>
  <c r="M93" i="15"/>
  <c r="N93" i="15"/>
  <c r="R93" i="15"/>
  <c r="S93" i="15" s="1"/>
  <c r="D94" i="15"/>
  <c r="L94" i="15"/>
  <c r="M94" i="15"/>
  <c r="N94" i="15"/>
  <c r="R94" i="15"/>
  <c r="S94" i="15" s="1"/>
  <c r="D95" i="15"/>
  <c r="L95" i="15"/>
  <c r="M95" i="15"/>
  <c r="N95" i="15"/>
  <c r="R95" i="15"/>
  <c r="S95" i="15" s="1"/>
  <c r="D96" i="15"/>
  <c r="L96" i="15"/>
  <c r="M96" i="15"/>
  <c r="N96" i="15"/>
  <c r="R96" i="15"/>
  <c r="S96" i="15" s="1"/>
  <c r="D97" i="15"/>
  <c r="L97" i="15"/>
  <c r="M97" i="15"/>
  <c r="N97" i="15"/>
  <c r="R97" i="15"/>
  <c r="S97" i="15" s="1"/>
  <c r="D98" i="15"/>
  <c r="L98" i="15"/>
  <c r="M98" i="15"/>
  <c r="N98" i="15"/>
  <c r="R98" i="15"/>
  <c r="S98" i="15" s="1"/>
  <c r="D99" i="15"/>
  <c r="L99" i="15"/>
  <c r="M99" i="15"/>
  <c r="N99" i="15"/>
  <c r="R99" i="15"/>
  <c r="S99" i="15" s="1"/>
  <c r="D100" i="15"/>
  <c r="L100" i="15"/>
  <c r="M100" i="15"/>
  <c r="N100" i="15"/>
  <c r="R100" i="15"/>
  <c r="S100" i="15" s="1"/>
  <c r="D101" i="15"/>
  <c r="L101" i="15"/>
  <c r="M101" i="15"/>
  <c r="N101" i="15"/>
  <c r="R101" i="15"/>
  <c r="S101" i="15" s="1"/>
  <c r="D102" i="15"/>
  <c r="L102" i="15"/>
  <c r="M102" i="15"/>
  <c r="N102" i="15"/>
  <c r="R102" i="15"/>
  <c r="S102" i="15" s="1"/>
  <c r="D103" i="15"/>
  <c r="L103" i="15"/>
  <c r="M103" i="15"/>
  <c r="N103" i="15"/>
  <c r="R103" i="15"/>
  <c r="S103" i="15" s="1"/>
  <c r="D104" i="15"/>
  <c r="L104" i="15"/>
  <c r="M104" i="15"/>
  <c r="N104" i="15"/>
  <c r="R104" i="15"/>
  <c r="S104" i="15" s="1"/>
  <c r="D105" i="15"/>
  <c r="L105" i="15"/>
  <c r="M105" i="15"/>
  <c r="N105" i="15"/>
  <c r="R105" i="15"/>
  <c r="S105" i="15" s="1"/>
  <c r="D106" i="15"/>
  <c r="L106" i="15"/>
  <c r="M106" i="15"/>
  <c r="N106" i="15"/>
  <c r="R106" i="15"/>
  <c r="S106" i="15" s="1"/>
  <c r="D107" i="15"/>
  <c r="L107" i="15"/>
  <c r="M107" i="15"/>
  <c r="N107" i="15"/>
  <c r="D108" i="15"/>
  <c r="L108" i="15"/>
  <c r="M108" i="15"/>
  <c r="N108" i="15"/>
  <c r="R108" i="15"/>
  <c r="S108" i="15" s="1"/>
  <c r="N50" i="26"/>
  <c r="O50" i="26" s="1"/>
  <c r="P50" i="26"/>
  <c r="D50" i="26"/>
  <c r="N49" i="26"/>
  <c r="O49" i="26" s="1"/>
  <c r="P49" i="26"/>
  <c r="D49" i="26"/>
  <c r="N48" i="26"/>
  <c r="O48" i="26" s="1"/>
  <c r="P48" i="26"/>
  <c r="D48" i="26"/>
  <c r="N47" i="26"/>
  <c r="O47" i="26" s="1"/>
  <c r="P47" i="26"/>
  <c r="D47" i="26"/>
  <c r="N46" i="26"/>
  <c r="O46" i="26" s="1"/>
  <c r="P46" i="26"/>
  <c r="D46" i="26"/>
  <c r="N45" i="26"/>
  <c r="O45" i="26" s="1"/>
  <c r="D45" i="26"/>
  <c r="N44" i="26"/>
  <c r="O44" i="26" s="1"/>
  <c r="D44" i="26"/>
  <c r="N43" i="26"/>
  <c r="O43" i="26" s="1"/>
  <c r="D43" i="26"/>
  <c r="N42" i="26"/>
  <c r="O42" i="26" s="1"/>
  <c r="P42" i="26"/>
  <c r="D42" i="26"/>
  <c r="N41" i="26"/>
  <c r="O41" i="26" s="1"/>
  <c r="P41" i="26"/>
  <c r="D41" i="26"/>
  <c r="N40" i="26"/>
  <c r="O40" i="26" s="1"/>
  <c r="P40" i="26"/>
  <c r="D40" i="26"/>
  <c r="N39" i="26"/>
  <c r="O39" i="26" s="1"/>
  <c r="P39" i="26"/>
  <c r="D39" i="26"/>
  <c r="N38" i="26"/>
  <c r="O38" i="26" s="1"/>
  <c r="P38" i="26"/>
  <c r="D38" i="26"/>
  <c r="N37" i="26"/>
  <c r="O37" i="26" s="1"/>
  <c r="P37" i="26"/>
  <c r="D37" i="26"/>
  <c r="N36" i="26"/>
  <c r="O36" i="26" s="1"/>
  <c r="P36" i="26"/>
  <c r="D36" i="26"/>
  <c r="N35" i="26"/>
  <c r="O35" i="26" s="1"/>
  <c r="P35" i="26"/>
  <c r="N34" i="26"/>
  <c r="O34" i="26" s="1"/>
  <c r="P34" i="26"/>
  <c r="I45" i="27"/>
  <c r="J45" i="27"/>
  <c r="D45" i="27"/>
  <c r="I44" i="27"/>
  <c r="J44" i="27"/>
  <c r="D44" i="27"/>
  <c r="I43" i="27"/>
  <c r="J43" i="27"/>
  <c r="D43" i="27"/>
  <c r="I42" i="27"/>
  <c r="J42" i="27"/>
  <c r="D42" i="27"/>
  <c r="I41" i="27"/>
  <c r="J41" i="27"/>
  <c r="I40" i="27"/>
  <c r="J40" i="27"/>
  <c r="I39" i="27"/>
  <c r="J39" i="27"/>
  <c r="I38" i="27"/>
  <c r="J38" i="27"/>
  <c r="D38" i="27"/>
  <c r="I37" i="27"/>
  <c r="J37" i="27"/>
  <c r="D37" i="27"/>
  <c r="I36" i="27"/>
  <c r="J36" i="27"/>
  <c r="D36" i="27"/>
  <c r="I35" i="27"/>
  <c r="J35" i="27"/>
  <c r="D35" i="27"/>
  <c r="I34" i="27"/>
  <c r="J34" i="27"/>
  <c r="D34" i="27"/>
  <c r="I33" i="27"/>
  <c r="J33" i="27"/>
  <c r="D33" i="27"/>
  <c r="I32" i="27"/>
  <c r="J32" i="27"/>
  <c r="D32" i="27"/>
  <c r="I31" i="27"/>
  <c r="J31" i="27"/>
  <c r="D31" i="27"/>
  <c r="I30" i="27"/>
  <c r="J30" i="27"/>
  <c r="D30" i="27"/>
  <c r="M50" i="12"/>
  <c r="N51" i="12"/>
  <c r="M52" i="12"/>
  <c r="N52" i="12" s="1"/>
  <c r="M53" i="12"/>
  <c r="N53" i="12" s="1"/>
  <c r="M8" i="12"/>
  <c r="M9" i="12"/>
  <c r="M10" i="12"/>
  <c r="M11" i="12"/>
  <c r="M14" i="12"/>
  <c r="M15" i="12"/>
  <c r="M22" i="12"/>
  <c r="M23" i="12"/>
  <c r="M24" i="12"/>
  <c r="M25" i="12"/>
  <c r="N29" i="12"/>
  <c r="N30" i="12"/>
  <c r="M31" i="12"/>
  <c r="N31" i="12" s="1"/>
  <c r="M32" i="12"/>
  <c r="N32" i="12" s="1"/>
  <c r="M33" i="12"/>
  <c r="M34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G117" i="12"/>
  <c r="G119" i="12"/>
  <c r="G121" i="12"/>
  <c r="G122" i="12"/>
  <c r="G123" i="12"/>
  <c r="E125" i="12"/>
  <c r="G125" i="12" s="1"/>
  <c r="E126" i="12"/>
  <c r="G126" i="12" s="1"/>
  <c r="E127" i="12"/>
  <c r="G127" i="12" s="1"/>
  <c r="E128" i="12"/>
  <c r="E129" i="12"/>
  <c r="G129" i="12" s="1"/>
  <c r="E130" i="12"/>
  <c r="G130" i="12" s="1"/>
  <c r="E131" i="12"/>
  <c r="G131" i="12" s="1"/>
  <c r="E132" i="12"/>
  <c r="E133" i="12"/>
  <c r="G133" i="12" s="1"/>
  <c r="E134" i="12"/>
  <c r="G134" i="12" s="1"/>
  <c r="E135" i="12"/>
  <c r="G135" i="12" s="1"/>
  <c r="E136" i="12"/>
  <c r="E137" i="12"/>
  <c r="G137" i="12" s="1"/>
  <c r="E138" i="12"/>
  <c r="G138" i="12" s="1"/>
  <c r="E139" i="12"/>
  <c r="G139" i="12" s="1"/>
  <c r="E140" i="12"/>
  <c r="G118" i="12"/>
  <c r="G120" i="12"/>
  <c r="G124" i="12"/>
  <c r="G128" i="12"/>
  <c r="G132" i="12"/>
  <c r="G136" i="12"/>
  <c r="G140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G10" i="12"/>
  <c r="G11" i="12"/>
  <c r="G12" i="12"/>
  <c r="G14" i="12"/>
  <c r="G15" i="12"/>
  <c r="G22" i="12"/>
  <c r="G23" i="12"/>
  <c r="N26" i="12"/>
  <c r="N27" i="12"/>
  <c r="N28" i="12"/>
  <c r="G33" i="12"/>
  <c r="G34" i="12"/>
  <c r="G50" i="12"/>
  <c r="G8" i="12"/>
  <c r="D50" i="12"/>
  <c r="D51" i="12"/>
  <c r="D22" i="12"/>
  <c r="D23" i="12"/>
  <c r="D24" i="12"/>
  <c r="D32" i="12"/>
  <c r="D33" i="12"/>
  <c r="D34" i="12"/>
  <c r="D35" i="12"/>
  <c r="D11" i="12"/>
  <c r="D12" i="12"/>
  <c r="D14" i="12"/>
  <c r="D15" i="12"/>
  <c r="D8" i="12"/>
  <c r="D9" i="12"/>
  <c r="D10" i="12"/>
  <c r="M57" i="12"/>
  <c r="M58" i="12"/>
  <c r="M59" i="12"/>
  <c r="M61" i="12"/>
  <c r="M62" i="12"/>
  <c r="M63" i="12"/>
  <c r="M67" i="12"/>
  <c r="M68" i="12"/>
  <c r="M69" i="12"/>
  <c r="N69" i="12" s="1"/>
  <c r="M70" i="12"/>
  <c r="N70" i="12" s="1"/>
  <c r="N71" i="12"/>
  <c r="M72" i="12"/>
  <c r="N72" i="12" s="1"/>
  <c r="M74" i="12"/>
  <c r="N74" i="12" s="1"/>
  <c r="M75" i="12"/>
  <c r="N75" i="12" s="1"/>
  <c r="M76" i="12"/>
  <c r="N76" i="12" s="1"/>
  <c r="M77" i="12"/>
  <c r="N77" i="12" s="1"/>
  <c r="M78" i="12"/>
  <c r="N78" i="12" s="1"/>
  <c r="M79" i="12"/>
  <c r="N79" i="12" s="1"/>
  <c r="M80" i="12"/>
  <c r="N80" i="12" s="1"/>
  <c r="M81" i="12"/>
  <c r="N81" i="12" s="1"/>
  <c r="M82" i="12"/>
  <c r="N82" i="12" s="1"/>
  <c r="M83" i="12"/>
  <c r="M84" i="12"/>
  <c r="M85" i="12"/>
  <c r="M86" i="12"/>
  <c r="M87" i="12"/>
  <c r="M88" i="12"/>
  <c r="M89" i="12"/>
  <c r="M90" i="12"/>
  <c r="M91" i="12"/>
  <c r="M92" i="12"/>
  <c r="M93" i="12"/>
  <c r="M94" i="12"/>
  <c r="M96" i="12"/>
  <c r="M97" i="12"/>
  <c r="M98" i="12"/>
  <c r="M99" i="12"/>
  <c r="D100" i="12"/>
  <c r="M100" i="12"/>
  <c r="D102" i="12"/>
  <c r="D103" i="12"/>
  <c r="D104" i="12"/>
  <c r="M104" i="12"/>
  <c r="N104" i="12" s="1"/>
  <c r="D105" i="12"/>
  <c r="M105" i="12"/>
  <c r="N105" i="12" s="1"/>
  <c r="D106" i="12"/>
  <c r="M106" i="12"/>
  <c r="D107" i="12"/>
  <c r="M107" i="12"/>
  <c r="D108" i="12"/>
  <c r="M108" i="12"/>
  <c r="D109" i="12"/>
  <c r="M109" i="12"/>
  <c r="G21" i="25"/>
  <c r="M21" i="25"/>
  <c r="D22" i="25"/>
  <c r="G22" i="25"/>
  <c r="M22" i="25"/>
  <c r="D23" i="25"/>
  <c r="G23" i="25"/>
  <c r="M23" i="25"/>
  <c r="D24" i="25"/>
  <c r="G24" i="25"/>
  <c r="M24" i="25"/>
  <c r="N24" i="25" s="1"/>
  <c r="D25" i="25"/>
  <c r="E25" i="25"/>
  <c r="G25" i="25" s="1"/>
  <c r="M25" i="25"/>
  <c r="D26" i="25"/>
  <c r="E26" i="25"/>
  <c r="G26" i="25" s="1"/>
  <c r="M26" i="25"/>
  <c r="D27" i="25"/>
  <c r="E27" i="25"/>
  <c r="G27" i="25"/>
  <c r="M27" i="25"/>
  <c r="D28" i="25"/>
  <c r="E28" i="25"/>
  <c r="G28" i="25" s="1"/>
  <c r="M28" i="25"/>
  <c r="D29" i="25"/>
  <c r="G29" i="25"/>
  <c r="M29" i="25"/>
  <c r="D30" i="25"/>
  <c r="G30" i="25"/>
  <c r="M30" i="25"/>
  <c r="D31" i="25"/>
  <c r="G31" i="25"/>
  <c r="M31" i="25"/>
  <c r="D32" i="25"/>
  <c r="G32" i="25"/>
  <c r="M32" i="25"/>
  <c r="D33" i="25"/>
  <c r="E33" i="25"/>
  <c r="G33" i="25" s="1"/>
  <c r="M33" i="25"/>
  <c r="D34" i="25"/>
  <c r="E34" i="25"/>
  <c r="G34" i="25" s="1"/>
  <c r="M34" i="25"/>
  <c r="D35" i="25"/>
  <c r="E35" i="25"/>
  <c r="G35" i="25" s="1"/>
  <c r="M35" i="25"/>
  <c r="D36" i="25"/>
  <c r="E36" i="25"/>
  <c r="G36" i="25"/>
  <c r="M36" i="25"/>
  <c r="D37" i="25"/>
  <c r="E37" i="25"/>
  <c r="G37" i="25" s="1"/>
  <c r="M37" i="25"/>
  <c r="D38" i="25"/>
  <c r="G38" i="25"/>
  <c r="M38" i="25"/>
  <c r="D39" i="25"/>
  <c r="E39" i="25"/>
  <c r="G39" i="25" s="1"/>
  <c r="M39" i="25"/>
  <c r="D40" i="25"/>
  <c r="E40" i="25"/>
  <c r="G40" i="25" s="1"/>
  <c r="M40" i="25"/>
  <c r="D41" i="25"/>
  <c r="E41" i="25"/>
  <c r="G41" i="25"/>
  <c r="M41" i="25"/>
  <c r="D42" i="25"/>
  <c r="E42" i="25"/>
  <c r="G42" i="25" s="1"/>
  <c r="M42" i="25"/>
  <c r="D43" i="25"/>
  <c r="E43" i="25"/>
  <c r="G43" i="25" s="1"/>
  <c r="M43" i="25"/>
  <c r="D44" i="25"/>
  <c r="E44" i="25"/>
  <c r="G44" i="25" s="1"/>
  <c r="M44" i="25"/>
  <c r="D45" i="25"/>
  <c r="E45" i="25"/>
  <c r="G45" i="25"/>
  <c r="M45" i="25"/>
  <c r="D46" i="25"/>
  <c r="E46" i="25"/>
  <c r="G46" i="25" s="1"/>
  <c r="M46" i="25"/>
  <c r="D47" i="25"/>
  <c r="E47" i="25"/>
  <c r="G47" i="25" s="1"/>
  <c r="M47" i="25"/>
  <c r="D48" i="25"/>
  <c r="E48" i="25"/>
  <c r="G48" i="25" s="1"/>
  <c r="M48" i="25"/>
  <c r="D49" i="25"/>
  <c r="E49" i="25"/>
  <c r="G49" i="25"/>
  <c r="M49" i="25"/>
  <c r="AK47" i="30"/>
  <c r="AH47" i="30"/>
  <c r="AM46" i="30"/>
  <c r="AJ46" i="30"/>
  <c r="AK45" i="30"/>
  <c r="AH45" i="30"/>
  <c r="AJ45" i="30" s="1"/>
  <c r="AK43" i="30"/>
  <c r="AM43" i="30" s="1"/>
  <c r="AH43" i="30"/>
  <c r="AJ43" i="30" s="1"/>
  <c r="AK42" i="30"/>
  <c r="AH42" i="30"/>
  <c r="AM38" i="30"/>
  <c r="AJ38" i="30"/>
  <c r="AM37" i="30"/>
  <c r="AJ37" i="30"/>
  <c r="AK36" i="30"/>
  <c r="AM36" i="30" s="1"/>
  <c r="AH36" i="30"/>
  <c r="AJ36" i="30" s="1"/>
  <c r="AK34" i="30"/>
  <c r="AM34" i="30" s="1"/>
  <c r="AH34" i="30"/>
  <c r="AJ34" i="30" s="1"/>
  <c r="AK33" i="30"/>
  <c r="AH33" i="30"/>
  <c r="AM29" i="30"/>
  <c r="AJ29" i="30"/>
  <c r="AK28" i="30"/>
  <c r="AH28" i="30"/>
  <c r="AJ28" i="30" s="1"/>
  <c r="AK27" i="30"/>
  <c r="AM27" i="30" s="1"/>
  <c r="AH27" i="30"/>
  <c r="AJ27" i="30" s="1"/>
  <c r="AK25" i="30"/>
  <c r="AM25" i="30" s="1"/>
  <c r="AH25" i="30"/>
  <c r="AJ25" i="30" s="1"/>
  <c r="AK24" i="30"/>
  <c r="AH24" i="30"/>
  <c r="AM20" i="30"/>
  <c r="AJ20" i="30"/>
  <c r="AM19" i="30"/>
  <c r="AJ19" i="30"/>
  <c r="AM18" i="30"/>
  <c r="AJ18" i="30"/>
  <c r="AM16" i="30"/>
  <c r="AJ16" i="30"/>
  <c r="AL12" i="30"/>
  <c r="AK11" i="30"/>
  <c r="AM11" i="30" s="1"/>
  <c r="AH11" i="30"/>
  <c r="AJ11" i="30" s="1"/>
  <c r="AM10" i="30"/>
  <c r="AM9" i="30"/>
  <c r="T8" i="15" l="1"/>
  <c r="P13" i="26"/>
  <c r="P12" i="26"/>
  <c r="P11" i="26"/>
  <c r="P10" i="26"/>
  <c r="P9" i="26"/>
  <c r="N47" i="25"/>
  <c r="N45" i="25"/>
  <c r="N44" i="25"/>
  <c r="N42" i="25"/>
  <c r="N39" i="25"/>
  <c r="N37" i="25"/>
  <c r="N34" i="25"/>
  <c r="N32" i="25"/>
  <c r="N30" i="25"/>
  <c r="N46" i="25"/>
  <c r="N41" i="25"/>
  <c r="N40" i="25"/>
  <c r="N36" i="25"/>
  <c r="N35" i="25"/>
  <c r="N31" i="25"/>
  <c r="N27" i="25"/>
  <c r="N26" i="25"/>
  <c r="N49" i="25"/>
  <c r="N48" i="25"/>
  <c r="N43" i="25"/>
  <c r="N38" i="25"/>
  <c r="N33" i="25"/>
  <c r="N29" i="25"/>
  <c r="O35" i="15"/>
  <c r="O19" i="15"/>
  <c r="O11" i="15"/>
  <c r="P11" i="15" s="1"/>
  <c r="N28" i="25"/>
  <c r="N25" i="25"/>
  <c r="O25" i="15"/>
  <c r="P25" i="15" s="1"/>
  <c r="O21" i="15"/>
  <c r="P21" i="15" s="1"/>
  <c r="O17" i="15"/>
  <c r="O13" i="15"/>
  <c r="P13" i="15" s="1"/>
  <c r="O9" i="15"/>
  <c r="O36" i="15"/>
  <c r="P36" i="15" s="1"/>
  <c r="O32" i="15"/>
  <c r="P32" i="15" s="1"/>
  <c r="O16" i="15"/>
  <c r="O8" i="15"/>
  <c r="P8" i="15" s="1"/>
  <c r="O33" i="15"/>
  <c r="P33" i="15" s="1"/>
  <c r="O103" i="15"/>
  <c r="P103" i="15" s="1"/>
  <c r="O97" i="15"/>
  <c r="O93" i="15"/>
  <c r="P93" i="15" s="1"/>
  <c r="O89" i="15"/>
  <c r="P89" i="15" s="1"/>
  <c r="O84" i="15"/>
  <c r="O80" i="15"/>
  <c r="P80" i="15" s="1"/>
  <c r="O79" i="15"/>
  <c r="P79" i="15" s="1"/>
  <c r="P10" i="15"/>
  <c r="O31" i="15"/>
  <c r="P31" i="15" s="1"/>
  <c r="P22" i="15"/>
  <c r="O18" i="15"/>
  <c r="P18" i="15" s="1"/>
  <c r="P17" i="15"/>
  <c r="O15" i="15"/>
  <c r="O14" i="15"/>
  <c r="P14" i="15" s="1"/>
  <c r="N9" i="12"/>
  <c r="N8" i="12"/>
  <c r="O106" i="15"/>
  <c r="P106" i="15" s="1"/>
  <c r="O70" i="15"/>
  <c r="P70" i="15" s="1"/>
  <c r="P15" i="15"/>
  <c r="N22" i="25"/>
  <c r="N23" i="25"/>
  <c r="N21" i="25"/>
  <c r="O85" i="15"/>
  <c r="P85" i="15" s="1"/>
  <c r="O83" i="15"/>
  <c r="P83" i="15" s="1"/>
  <c r="P84" i="15"/>
  <c r="O81" i="15"/>
  <c r="P81" i="15" s="1"/>
  <c r="N65" i="12"/>
  <c r="O60" i="15"/>
  <c r="N34" i="12"/>
  <c r="N83" i="12"/>
  <c r="J20" i="28"/>
  <c r="J16" i="28"/>
  <c r="J15" i="28"/>
  <c r="J12" i="28"/>
  <c r="N13" i="12"/>
  <c r="J11" i="28"/>
  <c r="N11" i="12"/>
  <c r="J9" i="28"/>
  <c r="T9" i="15"/>
  <c r="T10" i="15" s="1"/>
  <c r="T11" i="15" s="1"/>
  <c r="T12" i="15" s="1"/>
  <c r="T13" i="15" s="1"/>
  <c r="T14" i="15" s="1"/>
  <c r="T15" i="15" s="1"/>
  <c r="O99" i="15"/>
  <c r="P99" i="15" s="1"/>
  <c r="O96" i="15"/>
  <c r="P96" i="15" s="1"/>
  <c r="O92" i="15"/>
  <c r="P92" i="15" s="1"/>
  <c r="O88" i="15"/>
  <c r="P88" i="15" s="1"/>
  <c r="O73" i="15"/>
  <c r="P73" i="15" s="1"/>
  <c r="P9" i="15"/>
  <c r="O105" i="15"/>
  <c r="P105" i="15" s="1"/>
  <c r="O98" i="15"/>
  <c r="P98" i="15" s="1"/>
  <c r="O95" i="15"/>
  <c r="P95" i="15" s="1"/>
  <c r="O91" i="15"/>
  <c r="P91" i="15" s="1"/>
  <c r="O87" i="15"/>
  <c r="P87" i="15" s="1"/>
  <c r="O77" i="15"/>
  <c r="P77" i="15" s="1"/>
  <c r="O74" i="15"/>
  <c r="P74" i="15" s="1"/>
  <c r="O108" i="15"/>
  <c r="P108" i="15" s="1"/>
  <c r="O107" i="15"/>
  <c r="P107" i="15" s="1"/>
  <c r="O104" i="15"/>
  <c r="P104" i="15" s="1"/>
  <c r="O94" i="15"/>
  <c r="P94" i="15" s="1"/>
  <c r="O90" i="15"/>
  <c r="O86" i="15"/>
  <c r="P86" i="15" s="1"/>
  <c r="O82" i="15"/>
  <c r="P82" i="15" s="1"/>
  <c r="O71" i="15"/>
  <c r="P71" i="15" s="1"/>
  <c r="P90" i="15"/>
  <c r="N84" i="12"/>
  <c r="N10" i="12"/>
  <c r="N88" i="12"/>
  <c r="N98" i="12"/>
  <c r="J8" i="28"/>
  <c r="N108" i="12"/>
  <c r="N107" i="12"/>
  <c r="N106" i="12"/>
  <c r="N100" i="12"/>
  <c r="N99" i="12"/>
  <c r="P97" i="15"/>
  <c r="N97" i="12"/>
  <c r="N96" i="12"/>
  <c r="N95" i="12"/>
  <c r="N94" i="12"/>
  <c r="N93" i="12"/>
  <c r="N92" i="12"/>
  <c r="N91" i="12"/>
  <c r="N90" i="12"/>
  <c r="N89" i="12"/>
  <c r="N87" i="12"/>
  <c r="N86" i="12"/>
  <c r="N85" i="12"/>
  <c r="N64" i="12"/>
  <c r="N50" i="12"/>
  <c r="O78" i="15"/>
  <c r="P78" i="15" s="1"/>
  <c r="O76" i="15"/>
  <c r="P76" i="15" s="1"/>
  <c r="O75" i="15"/>
  <c r="P75" i="15" s="1"/>
  <c r="O72" i="15"/>
  <c r="P72" i="15" s="1"/>
  <c r="O69" i="15"/>
  <c r="P69" i="15" s="1"/>
  <c r="O68" i="15"/>
  <c r="P68" i="15" s="1"/>
  <c r="O66" i="15"/>
  <c r="P66" i="15" s="1"/>
  <c r="O65" i="15"/>
  <c r="P65" i="15" s="1"/>
  <c r="O64" i="15"/>
  <c r="P64" i="15" s="1"/>
  <c r="O63" i="15"/>
  <c r="P63" i="15" s="1"/>
  <c r="O62" i="15"/>
  <c r="P62" i="15" s="1"/>
  <c r="O61" i="15"/>
  <c r="P61" i="15" s="1"/>
  <c r="N66" i="12"/>
  <c r="P30" i="15"/>
  <c r="P16" i="15"/>
  <c r="O67" i="15"/>
  <c r="P67" i="15" s="1"/>
  <c r="N68" i="12"/>
  <c r="N63" i="12"/>
  <c r="N62" i="12"/>
  <c r="N61" i="12"/>
  <c r="P35" i="15"/>
  <c r="P34" i="15"/>
  <c r="N33" i="12"/>
  <c r="N25" i="12"/>
  <c r="N24" i="12"/>
  <c r="N23" i="12"/>
  <c r="N22" i="12"/>
  <c r="O20" i="15"/>
  <c r="P20" i="15" s="1"/>
  <c r="P19" i="15"/>
  <c r="N15" i="12"/>
  <c r="N14" i="12"/>
  <c r="N12" i="12"/>
  <c r="N7" i="12"/>
  <c r="N67" i="12"/>
  <c r="N36" i="12"/>
  <c r="G35" i="12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T7" i="15"/>
  <c r="O102" i="15"/>
  <c r="P102" i="15" s="1"/>
  <c r="O101" i="15"/>
  <c r="O100" i="15"/>
  <c r="P100" i="15" s="1"/>
  <c r="O58" i="15"/>
  <c r="P58" i="15" s="1"/>
  <c r="O57" i="15"/>
  <c r="P57" i="15" s="1"/>
  <c r="O59" i="15"/>
  <c r="P59" i="15" s="1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J7" i="28"/>
  <c r="O7" i="29"/>
  <c r="O7" i="15"/>
  <c r="P7" i="15" s="1"/>
  <c r="N109" i="12"/>
  <c r="N60" i="12"/>
  <c r="N59" i="12"/>
  <c r="N58" i="12"/>
  <c r="N57" i="12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AH51" i="30"/>
  <c r="AH12" i="30"/>
  <c r="AJ6" i="30"/>
  <c r="AK51" i="30"/>
  <c r="AK12" i="30"/>
  <c r="AM6" i="30"/>
  <c r="AH52" i="30"/>
  <c r="AJ52" i="30" s="1"/>
  <c r="AJ7" i="30"/>
  <c r="AK52" i="30"/>
  <c r="AM52" i="30" s="1"/>
  <c r="AM7" i="30"/>
  <c r="AH54" i="30"/>
  <c r="AJ54" i="30" s="1"/>
  <c r="AJ9" i="30"/>
  <c r="AH55" i="30"/>
  <c r="AJ55" i="30" s="1"/>
  <c r="AJ10" i="30"/>
  <c r="AH21" i="30"/>
  <c r="AJ15" i="30"/>
  <c r="AK21" i="30"/>
  <c r="AM15" i="30"/>
  <c r="AH30" i="30"/>
  <c r="AJ24" i="30"/>
  <c r="AK30" i="30"/>
  <c r="AM24" i="30"/>
  <c r="AK55" i="30"/>
  <c r="AM55" i="30" s="1"/>
  <c r="AM28" i="30"/>
  <c r="AH39" i="30"/>
  <c r="AJ33" i="30"/>
  <c r="AK39" i="30"/>
  <c r="AM33" i="30"/>
  <c r="AH48" i="30"/>
  <c r="AJ42" i="30"/>
  <c r="AK48" i="30"/>
  <c r="AM42" i="30"/>
  <c r="AK54" i="30"/>
  <c r="AM54" i="30" s="1"/>
  <c r="AM45" i="30"/>
  <c r="AH56" i="30"/>
  <c r="AJ56" i="30" s="1"/>
  <c r="AJ47" i="30"/>
  <c r="AK56" i="30"/>
  <c r="AM56" i="30" s="1"/>
  <c r="AM47" i="30"/>
  <c r="E10" i="25"/>
  <c r="E11" i="25"/>
  <c r="E12" i="25"/>
  <c r="E13" i="25"/>
  <c r="T16" i="15" l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O13" i="29"/>
  <c r="P60" i="15"/>
  <c r="F151" i="15"/>
  <c r="N35" i="12"/>
  <c r="G141" i="12"/>
  <c r="G142" i="12" s="1"/>
  <c r="AK57" i="30"/>
  <c r="AM51" i="30"/>
  <c r="AH57" i="30"/>
  <c r="AJ51" i="30"/>
  <c r="I33" i="28"/>
  <c r="I34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D33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G38" i="28"/>
  <c r="G39" i="28"/>
  <c r="G40" i="28"/>
  <c r="G41" i="28"/>
  <c r="G42" i="28"/>
  <c r="G43" i="28"/>
  <c r="G44" i="28"/>
  <c r="G45" i="28"/>
  <c r="G46" i="28"/>
  <c r="G47" i="28"/>
  <c r="G48" i="28"/>
  <c r="O9" i="30"/>
  <c r="O25" i="30"/>
  <c r="L25" i="30"/>
  <c r="R56" i="15"/>
  <c r="S56" i="15" s="1"/>
  <c r="N56" i="15"/>
  <c r="M56" i="15"/>
  <c r="D56" i="15"/>
  <c r="R55" i="15"/>
  <c r="S55" i="15" s="1"/>
  <c r="N55" i="15"/>
  <c r="M55" i="15"/>
  <c r="D55" i="15"/>
  <c r="R54" i="15"/>
  <c r="S54" i="15" s="1"/>
  <c r="N54" i="15"/>
  <c r="M54" i="15"/>
  <c r="O54" i="15" s="1"/>
  <c r="P54" i="15" s="1"/>
  <c r="R53" i="15"/>
  <c r="S53" i="15" s="1"/>
  <c r="N53" i="15"/>
  <c r="M53" i="15"/>
  <c r="R52" i="15"/>
  <c r="S52" i="15" s="1"/>
  <c r="N52" i="15"/>
  <c r="M52" i="15"/>
  <c r="R51" i="15"/>
  <c r="S51" i="15" s="1"/>
  <c r="N51" i="15"/>
  <c r="M51" i="15"/>
  <c r="R50" i="15"/>
  <c r="S50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75" i="15" s="1"/>
  <c r="T76" i="15" s="1"/>
  <c r="T77" i="15" s="1"/>
  <c r="T78" i="15" s="1"/>
  <c r="T79" i="15" s="1"/>
  <c r="T80" i="15" s="1"/>
  <c r="T81" i="15" s="1"/>
  <c r="T82" i="15" s="1"/>
  <c r="T83" i="15" s="1"/>
  <c r="T84" i="15" s="1"/>
  <c r="T85" i="15" s="1"/>
  <c r="T86" i="15" s="1"/>
  <c r="T87" i="15" s="1"/>
  <c r="T88" i="15" s="1"/>
  <c r="T89" i="15" s="1"/>
  <c r="T90" i="15" s="1"/>
  <c r="T91" i="15" s="1"/>
  <c r="T92" i="15" s="1"/>
  <c r="T93" i="15" s="1"/>
  <c r="T94" i="15" s="1"/>
  <c r="T95" i="15" s="1"/>
  <c r="T96" i="15" s="1"/>
  <c r="T97" i="15" s="1"/>
  <c r="T98" i="15" s="1"/>
  <c r="T99" i="15" s="1"/>
  <c r="T100" i="15" s="1"/>
  <c r="T101" i="15" s="1"/>
  <c r="T102" i="15" s="1"/>
  <c r="T103" i="15" s="1"/>
  <c r="T104" i="15" s="1"/>
  <c r="T105" i="15" s="1"/>
  <c r="T106" i="15" s="1"/>
  <c r="T107" i="15" s="1"/>
  <c r="T108" i="15" s="1"/>
  <c r="N50" i="15"/>
  <c r="M50" i="15"/>
  <c r="M54" i="12"/>
  <c r="M55" i="12"/>
  <c r="N55" i="12" s="1"/>
  <c r="M56" i="12"/>
  <c r="N56" i="12" s="1"/>
  <c r="O15" i="30"/>
  <c r="O55" i="15" l="1"/>
  <c r="P55" i="15" s="1"/>
  <c r="O50" i="15"/>
  <c r="O56" i="15"/>
  <c r="P56" i="15" s="1"/>
  <c r="O51" i="15"/>
  <c r="P51" i="15" s="1"/>
  <c r="O53" i="15"/>
  <c r="P53" i="15" s="1"/>
  <c r="O52" i="15"/>
  <c r="P52" i="15" s="1"/>
  <c r="J38" i="28"/>
  <c r="N54" i="12"/>
  <c r="M141" i="12"/>
  <c r="M142" i="12" s="1"/>
  <c r="O11" i="30"/>
  <c r="O19" i="30"/>
  <c r="L19" i="30"/>
  <c r="O16" i="30"/>
  <c r="L16" i="30"/>
  <c r="P50" i="15"/>
  <c r="O28" i="30" l="1"/>
  <c r="Q28" i="30" s="1"/>
  <c r="L28" i="30"/>
  <c r="N28" i="30" s="1"/>
  <c r="V36" i="25"/>
  <c r="V35" i="25"/>
  <c r="Q46" i="30"/>
  <c r="N46" i="30"/>
  <c r="Q38" i="30"/>
  <c r="N38" i="30"/>
  <c r="Q37" i="30"/>
  <c r="N37" i="30"/>
  <c r="Q29" i="30"/>
  <c r="N29" i="30"/>
  <c r="Q20" i="30"/>
  <c r="N20" i="30"/>
  <c r="Q19" i="30"/>
  <c r="N19" i="30"/>
  <c r="P12" i="30"/>
  <c r="Q11" i="30"/>
  <c r="Q9" i="30"/>
  <c r="L15" i="30" l="1"/>
  <c r="D10" i="25"/>
  <c r="D11" i="25"/>
  <c r="D12" i="25"/>
  <c r="D13" i="25"/>
  <c r="D17" i="25"/>
  <c r="D18" i="25"/>
  <c r="D19" i="25"/>
  <c r="D20" i="25"/>
  <c r="J39" i="28"/>
  <c r="J40" i="28"/>
  <c r="J41" i="28"/>
  <c r="E62" i="28"/>
  <c r="E63" i="28"/>
  <c r="E64" i="28"/>
  <c r="E65" i="28"/>
  <c r="E66" i="28"/>
  <c r="E67" i="28"/>
  <c r="E68" i="28"/>
  <c r="E69" i="28"/>
  <c r="E70" i="28"/>
  <c r="E71" i="28"/>
  <c r="V34" i="25"/>
  <c r="N15" i="30" l="1"/>
  <c r="Q15" i="30"/>
  <c r="N16" i="30"/>
  <c r="Q16" i="30"/>
  <c r="N25" i="30"/>
  <c r="Q25" i="30"/>
  <c r="R109" i="15"/>
  <c r="S109" i="15" s="1"/>
  <c r="T109" i="15" s="1"/>
  <c r="R110" i="15"/>
  <c r="S110" i="15" s="1"/>
  <c r="R111" i="15"/>
  <c r="S111" i="15" s="1"/>
  <c r="R112" i="15"/>
  <c r="S112" i="15" s="1"/>
  <c r="R113" i="15"/>
  <c r="S113" i="15" s="1"/>
  <c r="R114" i="15"/>
  <c r="S114" i="15" s="1"/>
  <c r="R115" i="15"/>
  <c r="S115" i="15" s="1"/>
  <c r="R116" i="15"/>
  <c r="S116" i="15" s="1"/>
  <c r="R117" i="15"/>
  <c r="S117" i="15" s="1"/>
  <c r="R118" i="15"/>
  <c r="S118" i="15" s="1"/>
  <c r="R119" i="15"/>
  <c r="S119" i="15" s="1"/>
  <c r="R120" i="15"/>
  <c r="S120" i="15" s="1"/>
  <c r="R121" i="15"/>
  <c r="S121" i="15" s="1"/>
  <c r="R123" i="15"/>
  <c r="S123" i="15" s="1"/>
  <c r="R124" i="15"/>
  <c r="S124" i="15" s="1"/>
  <c r="R125" i="15"/>
  <c r="S125" i="15" s="1"/>
  <c r="R126" i="15"/>
  <c r="S126" i="15" s="1"/>
  <c r="R127" i="15"/>
  <c r="S127" i="15" s="1"/>
  <c r="R128" i="15"/>
  <c r="S128" i="15" s="1"/>
  <c r="R129" i="15"/>
  <c r="S129" i="15" s="1"/>
  <c r="R130" i="15"/>
  <c r="S130" i="15" s="1"/>
  <c r="R131" i="15"/>
  <c r="S131" i="15" s="1"/>
  <c r="R132" i="15"/>
  <c r="S132" i="15" s="1"/>
  <c r="V12" i="25"/>
  <c r="V13" i="25"/>
  <c r="V17" i="25"/>
  <c r="V22" i="25"/>
  <c r="V23" i="25"/>
  <c r="V24" i="25"/>
  <c r="V25" i="25"/>
  <c r="Q10" i="25"/>
  <c r="S10" i="25" s="1"/>
  <c r="Q11" i="25"/>
  <c r="S11" i="25" s="1"/>
  <c r="S12" i="25"/>
  <c r="S13" i="25"/>
  <c r="S17" i="25"/>
  <c r="S18" i="25"/>
  <c r="S19" i="25"/>
  <c r="S20" i="25"/>
  <c r="E50" i="25"/>
  <c r="G50" i="25" s="1"/>
  <c r="G51" i="25"/>
  <c r="E52" i="25"/>
  <c r="G52" i="25" s="1"/>
  <c r="E53" i="25"/>
  <c r="G53" i="25" s="1"/>
  <c r="E54" i="25"/>
  <c r="G54" i="25" s="1"/>
  <c r="E55" i="25"/>
  <c r="G55" i="25" s="1"/>
  <c r="E56" i="25"/>
  <c r="G56" i="25" s="1"/>
  <c r="E57" i="25"/>
  <c r="G57" i="25" s="1"/>
  <c r="E58" i="25"/>
  <c r="G58" i="25" s="1"/>
  <c r="E59" i="25"/>
  <c r="G59" i="25" s="1"/>
  <c r="E60" i="25"/>
  <c r="G60" i="25" s="1"/>
  <c r="E61" i="25"/>
  <c r="G61" i="25" s="1"/>
  <c r="E62" i="25"/>
  <c r="G62" i="25" s="1"/>
  <c r="E63" i="25"/>
  <c r="G63" i="25" s="1"/>
  <c r="E64" i="25"/>
  <c r="G64" i="25" s="1"/>
  <c r="E65" i="25"/>
  <c r="G65" i="25" s="1"/>
  <c r="E66" i="25"/>
  <c r="G66" i="25" s="1"/>
  <c r="G67" i="25"/>
  <c r="G82" i="25"/>
  <c r="E83" i="25"/>
  <c r="G83" i="25" s="1"/>
  <c r="E84" i="25"/>
  <c r="G84" i="25" s="1"/>
  <c r="E85" i="25"/>
  <c r="G85" i="25" s="1"/>
  <c r="E86" i="25"/>
  <c r="G86" i="25" s="1"/>
  <c r="E87" i="25"/>
  <c r="G87" i="25" s="1"/>
  <c r="E88" i="25"/>
  <c r="G88" i="25" s="1"/>
  <c r="E89" i="25"/>
  <c r="G89" i="25" s="1"/>
  <c r="E90" i="25"/>
  <c r="G90" i="25" s="1"/>
  <c r="E91" i="25"/>
  <c r="G91" i="25" s="1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9" i="25"/>
  <c r="G9" i="25" s="1"/>
  <c r="G10" i="25"/>
  <c r="G11" i="25"/>
  <c r="G12" i="25"/>
  <c r="G13" i="25"/>
  <c r="E17" i="25"/>
  <c r="G17" i="25" s="1"/>
  <c r="G18" i="25"/>
  <c r="G19" i="25"/>
  <c r="G20" i="25"/>
  <c r="E8" i="25"/>
  <c r="J14" i="27"/>
  <c r="J16" i="27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7" i="25"/>
  <c r="V108" i="25"/>
  <c r="V109" i="25"/>
  <c r="V58" i="25"/>
  <c r="M58" i="25"/>
  <c r="D58" i="25"/>
  <c r="V57" i="25"/>
  <c r="M57" i="25"/>
  <c r="D57" i="25"/>
  <c r="V56" i="25"/>
  <c r="M56" i="25"/>
  <c r="D56" i="25"/>
  <c r="V55" i="25"/>
  <c r="M55" i="25"/>
  <c r="D55" i="25"/>
  <c r="V54" i="25"/>
  <c r="M54" i="25"/>
  <c r="D54" i="25"/>
  <c r="V53" i="25"/>
  <c r="M53" i="25"/>
  <c r="D53" i="25"/>
  <c r="V52" i="25"/>
  <c r="M52" i="25"/>
  <c r="D52" i="25"/>
  <c r="M51" i="25"/>
  <c r="D51" i="25"/>
  <c r="V50" i="25"/>
  <c r="M50" i="25"/>
  <c r="D50" i="25"/>
  <c r="V49" i="25"/>
  <c r="V48" i="25"/>
  <c r="V47" i="25"/>
  <c r="V46" i="25"/>
  <c r="V45" i="25"/>
  <c r="V44" i="25"/>
  <c r="V43" i="25"/>
  <c r="V42" i="25"/>
  <c r="V41" i="25"/>
  <c r="V40" i="25"/>
  <c r="V39" i="25"/>
  <c r="V37" i="25"/>
  <c r="V33" i="25"/>
  <c r="V30" i="25"/>
  <c r="V29" i="25"/>
  <c r="V28" i="25"/>
  <c r="V27" i="25"/>
  <c r="V26" i="25"/>
  <c r="M20" i="25"/>
  <c r="M19" i="25"/>
  <c r="M18" i="25"/>
  <c r="M17" i="25"/>
  <c r="M13" i="25"/>
  <c r="M12" i="25"/>
  <c r="N116" i="15"/>
  <c r="M116" i="15"/>
  <c r="L116" i="15"/>
  <c r="D116" i="15"/>
  <c r="N115" i="15"/>
  <c r="M115" i="15"/>
  <c r="L115" i="15"/>
  <c r="D115" i="15"/>
  <c r="N114" i="15"/>
  <c r="M114" i="15"/>
  <c r="L114" i="15"/>
  <c r="D114" i="15"/>
  <c r="N113" i="15"/>
  <c r="M113" i="15"/>
  <c r="L113" i="15"/>
  <c r="D113" i="15"/>
  <c r="N112" i="15"/>
  <c r="M112" i="15"/>
  <c r="L112" i="15"/>
  <c r="D112" i="15"/>
  <c r="N111" i="15"/>
  <c r="M111" i="15"/>
  <c r="L111" i="15"/>
  <c r="D111" i="15"/>
  <c r="N110" i="15"/>
  <c r="M110" i="15"/>
  <c r="L110" i="15"/>
  <c r="D110" i="15"/>
  <c r="N109" i="15"/>
  <c r="M109" i="15"/>
  <c r="L109" i="15"/>
  <c r="D109" i="15"/>
  <c r="D19" i="27"/>
  <c r="I29" i="27"/>
  <c r="J29" i="27"/>
  <c r="D29" i="27"/>
  <c r="I28" i="27"/>
  <c r="J28" i="27"/>
  <c r="D28" i="27"/>
  <c r="I27" i="27"/>
  <c r="D27" i="27"/>
  <c r="I26" i="27"/>
  <c r="J26" i="27"/>
  <c r="D26" i="27"/>
  <c r="I25" i="27"/>
  <c r="J25" i="27"/>
  <c r="D25" i="27"/>
  <c r="I24" i="27"/>
  <c r="J24" i="27"/>
  <c r="D24" i="27"/>
  <c r="I23" i="27"/>
  <c r="J23" i="27"/>
  <c r="D23" i="27"/>
  <c r="I22" i="27"/>
  <c r="J22" i="27"/>
  <c r="D22" i="27"/>
  <c r="I21" i="27"/>
  <c r="J21" i="27"/>
  <c r="D21" i="27"/>
  <c r="I20" i="27"/>
  <c r="J20" i="27"/>
  <c r="D20" i="27"/>
  <c r="J19" i="27"/>
  <c r="O53" i="29"/>
  <c r="O54" i="29"/>
  <c r="O55" i="29"/>
  <c r="O56" i="29"/>
  <c r="G23" i="28"/>
  <c r="J23" i="28" s="1"/>
  <c r="G33" i="28"/>
  <c r="J33" i="28"/>
  <c r="G34" i="28"/>
  <c r="J34" i="28"/>
  <c r="J42" i="28"/>
  <c r="J43" i="28"/>
  <c r="J44" i="28"/>
  <c r="J45" i="28"/>
  <c r="J46" i="28"/>
  <c r="J47" i="28"/>
  <c r="J48" i="28"/>
  <c r="G49" i="28"/>
  <c r="J49" i="28"/>
  <c r="G50" i="28"/>
  <c r="J50" i="28"/>
  <c r="G51" i="28"/>
  <c r="J51" i="28"/>
  <c r="G52" i="28"/>
  <c r="J52" i="28"/>
  <c r="G53" i="28"/>
  <c r="J53" i="28"/>
  <c r="D54" i="28"/>
  <c r="G54" i="28"/>
  <c r="J54" i="28"/>
  <c r="D55" i="28"/>
  <c r="G55" i="28"/>
  <c r="J55" i="28"/>
  <c r="D56" i="28"/>
  <c r="G56" i="28"/>
  <c r="J56" i="28"/>
  <c r="D57" i="28"/>
  <c r="G57" i="28"/>
  <c r="J57" i="28"/>
  <c r="D58" i="28"/>
  <c r="G58" i="28"/>
  <c r="J58" i="28"/>
  <c r="D59" i="28"/>
  <c r="G59" i="28"/>
  <c r="J59" i="28"/>
  <c r="D60" i="28"/>
  <c r="G60" i="28"/>
  <c r="J60" i="28"/>
  <c r="D61" i="28"/>
  <c r="E61" i="28"/>
  <c r="G61" i="28"/>
  <c r="J61" i="28"/>
  <c r="D62" i="28"/>
  <c r="G62" i="28"/>
  <c r="J62" i="28"/>
  <c r="D63" i="28"/>
  <c r="G63" i="28"/>
  <c r="J63" i="28"/>
  <c r="D64" i="28"/>
  <c r="G64" i="28"/>
  <c r="J64" i="28"/>
  <c r="D65" i="28"/>
  <c r="G65" i="28"/>
  <c r="J65" i="28"/>
  <c r="D66" i="28"/>
  <c r="G66" i="28"/>
  <c r="J66" i="28"/>
  <c r="D67" i="28"/>
  <c r="G67" i="28"/>
  <c r="J67" i="28"/>
  <c r="D68" i="28"/>
  <c r="G68" i="28"/>
  <c r="J68" i="28"/>
  <c r="D69" i="28"/>
  <c r="G69" i="28"/>
  <c r="J69" i="28"/>
  <c r="D70" i="28"/>
  <c r="G70" i="28"/>
  <c r="J70" i="28"/>
  <c r="D71" i="28"/>
  <c r="G71" i="28"/>
  <c r="J71" i="28"/>
  <c r="D72" i="28"/>
  <c r="E72" i="28"/>
  <c r="G72" i="28"/>
  <c r="J72" i="28"/>
  <c r="D73" i="28"/>
  <c r="E73" i="28"/>
  <c r="G73" i="28"/>
  <c r="J73" i="28"/>
  <c r="D74" i="28"/>
  <c r="E74" i="28"/>
  <c r="G74" i="28"/>
  <c r="J74" i="28"/>
  <c r="D75" i="28"/>
  <c r="E75" i="28"/>
  <c r="G75" i="28"/>
  <c r="J75" i="28"/>
  <c r="D76" i="28"/>
  <c r="E76" i="28"/>
  <c r="G76" i="28"/>
  <c r="I76" i="28"/>
  <c r="J76" i="28"/>
  <c r="D77" i="28"/>
  <c r="E77" i="28"/>
  <c r="G77" i="28"/>
  <c r="I77" i="28"/>
  <c r="J77" i="28"/>
  <c r="O42" i="30"/>
  <c r="L42" i="30"/>
  <c r="N42" i="30" s="1"/>
  <c r="T110" i="15" l="1"/>
  <c r="T111" i="15" s="1"/>
  <c r="T112" i="15" s="1"/>
  <c r="T113" i="15" s="1"/>
  <c r="T114" i="15" s="1"/>
  <c r="T115" i="15" s="1"/>
  <c r="T116" i="15" s="1"/>
  <c r="T117" i="15" s="1"/>
  <c r="T118" i="15" s="1"/>
  <c r="T119" i="15" s="1"/>
  <c r="T120" i="15" s="1"/>
  <c r="T121" i="15" s="1"/>
  <c r="T122" i="15" s="1"/>
  <c r="T123" i="15" s="1"/>
  <c r="T124" i="15" s="1"/>
  <c r="T125" i="15" s="1"/>
  <c r="T126" i="15" s="1"/>
  <c r="T127" i="15" s="1"/>
  <c r="T128" i="15" s="1"/>
  <c r="T129" i="15" s="1"/>
  <c r="T130" i="15" s="1"/>
  <c r="T131" i="15" s="1"/>
  <c r="T132" i="15" s="1"/>
  <c r="O109" i="15"/>
  <c r="P109" i="15" s="1"/>
  <c r="O110" i="15"/>
  <c r="P110" i="15" s="1"/>
  <c r="O112" i="15"/>
  <c r="O113" i="15"/>
  <c r="P113" i="15" s="1"/>
  <c r="O114" i="15"/>
  <c r="O115" i="15"/>
  <c r="O111" i="15"/>
  <c r="O116" i="15"/>
  <c r="P116" i="15" s="1"/>
  <c r="O27" i="30"/>
  <c r="O18" i="30"/>
  <c r="O24" i="30"/>
  <c r="Q24" i="30" s="1"/>
  <c r="L24" i="30"/>
  <c r="N24" i="30" s="1"/>
  <c r="Q42" i="30"/>
  <c r="L33" i="30"/>
  <c r="N33" i="30" s="1"/>
  <c r="O33" i="30"/>
  <c r="Q33" i="30" s="1"/>
  <c r="O36" i="30"/>
  <c r="O34" i="30"/>
  <c r="P111" i="15"/>
  <c r="P112" i="15"/>
  <c r="P114" i="15"/>
  <c r="P115" i="15"/>
  <c r="L34" i="30"/>
  <c r="J27" i="27"/>
  <c r="N12" i="25"/>
  <c r="N13" i="25"/>
  <c r="N17" i="25"/>
  <c r="N18" i="25"/>
  <c r="N19" i="25"/>
  <c r="N20" i="25"/>
  <c r="N50" i="25"/>
  <c r="N51" i="25"/>
  <c r="N52" i="25"/>
  <c r="N53" i="25"/>
  <c r="N54" i="25"/>
  <c r="N55" i="25"/>
  <c r="N56" i="25"/>
  <c r="N57" i="25"/>
  <c r="N58" i="25"/>
  <c r="L18" i="30" l="1"/>
  <c r="Q27" i="30"/>
  <c r="O30" i="30"/>
  <c r="Q36" i="30"/>
  <c r="O39" i="30"/>
  <c r="Q34" i="30"/>
  <c r="N34" i="30"/>
  <c r="N13" i="26"/>
  <c r="O13" i="26" s="1"/>
  <c r="N14" i="26"/>
  <c r="O14" i="26" s="1"/>
  <c r="P14" i="26"/>
  <c r="R133" i="15"/>
  <c r="S133" i="15" s="1"/>
  <c r="T133" i="15" s="1"/>
  <c r="R134" i="15"/>
  <c r="S134" i="15" s="1"/>
  <c r="R135" i="15"/>
  <c r="S135" i="15" s="1"/>
  <c r="R136" i="15"/>
  <c r="S136" i="15" s="1"/>
  <c r="R137" i="15"/>
  <c r="S137" i="15" s="1"/>
  <c r="R138" i="15"/>
  <c r="S138" i="15" s="1"/>
  <c r="R139" i="15"/>
  <c r="R140" i="15"/>
  <c r="R141" i="15"/>
  <c r="R142" i="15"/>
  <c r="R143" i="15"/>
  <c r="R144" i="15"/>
  <c r="R145" i="15"/>
  <c r="R146" i="15"/>
  <c r="R147" i="15"/>
  <c r="R148" i="15"/>
  <c r="R149" i="15"/>
  <c r="T134" i="15" l="1"/>
  <c r="T135" i="15" s="1"/>
  <c r="T136" i="15" s="1"/>
  <c r="T137" i="15" s="1"/>
  <c r="T138" i="15" s="1"/>
  <c r="L27" i="30"/>
  <c r="L36" i="30"/>
  <c r="O47" i="30"/>
  <c r="L47" i="30"/>
  <c r="S7" i="25"/>
  <c r="S139" i="15"/>
  <c r="T139" i="15" s="1"/>
  <c r="S140" i="15"/>
  <c r="S141" i="15"/>
  <c r="S142" i="15"/>
  <c r="S143" i="15"/>
  <c r="S144" i="15"/>
  <c r="S145" i="15"/>
  <c r="S146" i="15"/>
  <c r="S147" i="15"/>
  <c r="S148" i="15"/>
  <c r="S149" i="15"/>
  <c r="S150" i="15"/>
  <c r="G127" i="29"/>
  <c r="G128" i="29" s="1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T9" i="25"/>
  <c r="V9" i="25" s="1"/>
  <c r="T10" i="25"/>
  <c r="V10" i="25" s="1"/>
  <c r="T11" i="25"/>
  <c r="V11" i="25" s="1"/>
  <c r="V60" i="25"/>
  <c r="V61" i="25"/>
  <c r="V62" i="25"/>
  <c r="V63" i="25"/>
  <c r="V64" i="25"/>
  <c r="V65" i="25"/>
  <c r="V66" i="25"/>
  <c r="V67" i="25"/>
  <c r="V83" i="25"/>
  <c r="V84" i="25"/>
  <c r="V85" i="25"/>
  <c r="V86" i="25"/>
  <c r="V87" i="25"/>
  <c r="T124" i="25"/>
  <c r="T125" i="25"/>
  <c r="Q9" i="25"/>
  <c r="S9" i="25" s="1"/>
  <c r="T8" i="25"/>
  <c r="V8" i="25" s="1"/>
  <c r="Q8" i="25"/>
  <c r="S8" i="25" s="1"/>
  <c r="G58" i="27"/>
  <c r="G61" i="27"/>
  <c r="P52" i="26"/>
  <c r="P53" i="26"/>
  <c r="P54" i="26"/>
  <c r="N30" i="26"/>
  <c r="O30" i="26" s="1"/>
  <c r="T140" i="15" l="1"/>
  <c r="T141" i="15" s="1"/>
  <c r="T142" i="15" s="1"/>
  <c r="T143" i="15" s="1"/>
  <c r="T144" i="15" s="1"/>
  <c r="T145" i="15" s="1"/>
  <c r="T146" i="15" s="1"/>
  <c r="T147" i="15" s="1"/>
  <c r="T148" i="15" s="1"/>
  <c r="T149" i="15" s="1"/>
  <c r="T150" i="15" s="1"/>
  <c r="N128" i="29"/>
  <c r="N129" i="29" s="1"/>
  <c r="N36" i="30"/>
  <c r="L39" i="30"/>
  <c r="N27" i="30"/>
  <c r="L30" i="30"/>
  <c r="O56" i="30"/>
  <c r="Q56" i="30" s="1"/>
  <c r="Q47" i="30"/>
  <c r="N47" i="30"/>
  <c r="L45" i="30"/>
  <c r="N45" i="30" s="1"/>
  <c r="N18" i="30"/>
  <c r="L21" i="30"/>
  <c r="Q18" i="30"/>
  <c r="O21" i="30"/>
  <c r="O115" i="29"/>
  <c r="O123" i="29"/>
  <c r="O124" i="29"/>
  <c r="O125" i="29"/>
  <c r="O126" i="29"/>
  <c r="O127" i="29"/>
  <c r="N117" i="15"/>
  <c r="N118" i="15"/>
  <c r="N119" i="15"/>
  <c r="N120" i="15"/>
  <c r="N121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L9" i="30" l="1"/>
  <c r="O45" i="30"/>
  <c r="I94" i="28"/>
  <c r="G94" i="28"/>
  <c r="D94" i="28"/>
  <c r="O116" i="29" l="1"/>
  <c r="N9" i="30"/>
  <c r="L54" i="30"/>
  <c r="N54" i="30" s="1"/>
  <c r="Q45" i="30"/>
  <c r="O54" i="30"/>
  <c r="Q54" i="30" s="1"/>
  <c r="O122" i="29"/>
  <c r="O121" i="29"/>
  <c r="J94" i="28"/>
  <c r="G78" i="28"/>
  <c r="G81" i="28"/>
  <c r="D149" i="28"/>
  <c r="I148" i="28"/>
  <c r="E148" i="28"/>
  <c r="G148" i="28" s="1"/>
  <c r="D148" i="28"/>
  <c r="I147" i="28"/>
  <c r="E147" i="28"/>
  <c r="G147" i="28" s="1"/>
  <c r="J147" i="28" s="1"/>
  <c r="D147" i="28"/>
  <c r="I146" i="28"/>
  <c r="E146" i="28"/>
  <c r="G146" i="28" s="1"/>
  <c r="D146" i="28"/>
  <c r="I145" i="28"/>
  <c r="E145" i="28"/>
  <c r="G145" i="28" s="1"/>
  <c r="J145" i="28" s="1"/>
  <c r="D145" i="28"/>
  <c r="I144" i="28"/>
  <c r="E144" i="28"/>
  <c r="G144" i="28" s="1"/>
  <c r="D144" i="28"/>
  <c r="I143" i="28"/>
  <c r="E143" i="28"/>
  <c r="G143" i="28" s="1"/>
  <c r="J143" i="28" s="1"/>
  <c r="D143" i="28"/>
  <c r="I142" i="28"/>
  <c r="E142" i="28"/>
  <c r="G142" i="28" s="1"/>
  <c r="D142" i="28"/>
  <c r="I141" i="28"/>
  <c r="E141" i="28"/>
  <c r="G141" i="28" s="1"/>
  <c r="D141" i="28"/>
  <c r="I140" i="28"/>
  <c r="E140" i="28"/>
  <c r="G140" i="28" s="1"/>
  <c r="D140" i="28"/>
  <c r="I139" i="28"/>
  <c r="G139" i="28"/>
  <c r="D139" i="28"/>
  <c r="I138" i="28"/>
  <c r="G138" i="28"/>
  <c r="D138" i="28"/>
  <c r="I137" i="28"/>
  <c r="G137" i="28"/>
  <c r="D137" i="28"/>
  <c r="I136" i="28"/>
  <c r="G136" i="28"/>
  <c r="D136" i="28"/>
  <c r="I135" i="28"/>
  <c r="G135" i="28"/>
  <c r="D135" i="28"/>
  <c r="I134" i="28"/>
  <c r="G134" i="28"/>
  <c r="D134" i="28"/>
  <c r="I133" i="28"/>
  <c r="G133" i="28"/>
  <c r="D133" i="28"/>
  <c r="I132" i="28"/>
  <c r="G132" i="28"/>
  <c r="D132" i="28"/>
  <c r="I131" i="28"/>
  <c r="G131" i="28"/>
  <c r="D131" i="28"/>
  <c r="I130" i="28"/>
  <c r="G130" i="28"/>
  <c r="D130" i="28"/>
  <c r="I129" i="28"/>
  <c r="G129" i="28"/>
  <c r="D129" i="28"/>
  <c r="I128" i="28"/>
  <c r="G128" i="28"/>
  <c r="D128" i="28"/>
  <c r="I127" i="28"/>
  <c r="G127" i="28"/>
  <c r="D127" i="28"/>
  <c r="I126" i="28"/>
  <c r="G126" i="28"/>
  <c r="D126" i="28"/>
  <c r="I125" i="28"/>
  <c r="G125" i="28"/>
  <c r="D125" i="28"/>
  <c r="I124" i="28"/>
  <c r="G124" i="28"/>
  <c r="D124" i="28"/>
  <c r="I123" i="28"/>
  <c r="G123" i="28"/>
  <c r="D123" i="28"/>
  <c r="I122" i="28"/>
  <c r="G122" i="28"/>
  <c r="D122" i="28"/>
  <c r="I121" i="28"/>
  <c r="G121" i="28"/>
  <c r="D121" i="28"/>
  <c r="I120" i="28"/>
  <c r="G120" i="28"/>
  <c r="D120" i="28"/>
  <c r="I119" i="28"/>
  <c r="G119" i="28"/>
  <c r="D119" i="28"/>
  <c r="I118" i="28"/>
  <c r="G118" i="28"/>
  <c r="D118" i="28"/>
  <c r="I117" i="28"/>
  <c r="G117" i="28"/>
  <c r="D117" i="28"/>
  <c r="I116" i="28"/>
  <c r="G116" i="28"/>
  <c r="D116" i="28"/>
  <c r="I115" i="28"/>
  <c r="G115" i="28"/>
  <c r="D115" i="28"/>
  <c r="I114" i="28"/>
  <c r="G114" i="28"/>
  <c r="D114" i="28"/>
  <c r="I113" i="28"/>
  <c r="G113" i="28"/>
  <c r="D113" i="28"/>
  <c r="I112" i="28"/>
  <c r="G112" i="28"/>
  <c r="D112" i="28"/>
  <c r="I111" i="28"/>
  <c r="G111" i="28"/>
  <c r="D111" i="28"/>
  <c r="I110" i="28"/>
  <c r="G110" i="28"/>
  <c r="D110" i="28"/>
  <c r="I109" i="28"/>
  <c r="G109" i="28"/>
  <c r="D109" i="28"/>
  <c r="I108" i="28"/>
  <c r="G108" i="28"/>
  <c r="D108" i="28"/>
  <c r="I107" i="28"/>
  <c r="G107" i="28"/>
  <c r="D107" i="28"/>
  <c r="I106" i="28"/>
  <c r="G106" i="28"/>
  <c r="D106" i="28"/>
  <c r="I105" i="28"/>
  <c r="G105" i="28"/>
  <c r="D105" i="28"/>
  <c r="I104" i="28"/>
  <c r="G104" i="28"/>
  <c r="D104" i="28"/>
  <c r="I103" i="28"/>
  <c r="G103" i="28"/>
  <c r="D103" i="28"/>
  <c r="I102" i="28"/>
  <c r="G102" i="28"/>
  <c r="D102" i="28"/>
  <c r="I101" i="28"/>
  <c r="G101" i="28"/>
  <c r="D101" i="28"/>
  <c r="I100" i="28"/>
  <c r="G100" i="28"/>
  <c r="D100" i="28"/>
  <c r="I99" i="28"/>
  <c r="G99" i="28"/>
  <c r="D99" i="28"/>
  <c r="I98" i="28"/>
  <c r="G98" i="28"/>
  <c r="D98" i="28"/>
  <c r="I97" i="28"/>
  <c r="G97" i="28"/>
  <c r="D97" i="28"/>
  <c r="I96" i="28"/>
  <c r="G96" i="28"/>
  <c r="D96" i="28"/>
  <c r="I95" i="28"/>
  <c r="G95" i="28"/>
  <c r="D95" i="28"/>
  <c r="I93" i="28"/>
  <c r="G93" i="28"/>
  <c r="D93" i="28"/>
  <c r="I92" i="28"/>
  <c r="G92" i="28"/>
  <c r="D92" i="28"/>
  <c r="I91" i="28"/>
  <c r="G91" i="28"/>
  <c r="D91" i="28"/>
  <c r="I90" i="28"/>
  <c r="G90" i="28"/>
  <c r="D90" i="28"/>
  <c r="I89" i="28"/>
  <c r="G89" i="28"/>
  <c r="D89" i="28"/>
  <c r="I88" i="28"/>
  <c r="G88" i="28"/>
  <c r="D88" i="28"/>
  <c r="I87" i="28"/>
  <c r="G87" i="28"/>
  <c r="D87" i="28"/>
  <c r="I86" i="28"/>
  <c r="G86" i="28"/>
  <c r="D86" i="28"/>
  <c r="I85" i="28"/>
  <c r="G85" i="28"/>
  <c r="D85" i="28"/>
  <c r="I84" i="28"/>
  <c r="G84" i="28"/>
  <c r="D84" i="28"/>
  <c r="I83" i="28"/>
  <c r="G83" i="28"/>
  <c r="D83" i="28"/>
  <c r="I82" i="28"/>
  <c r="G82" i="28"/>
  <c r="D82" i="28"/>
  <c r="I81" i="28"/>
  <c r="D81" i="28"/>
  <c r="I80" i="28"/>
  <c r="G80" i="28"/>
  <c r="D80" i="28"/>
  <c r="I79" i="28"/>
  <c r="G79" i="28"/>
  <c r="D79" i="28"/>
  <c r="I78" i="28"/>
  <c r="D78" i="28"/>
  <c r="M59" i="25"/>
  <c r="M60" i="25"/>
  <c r="M61" i="25"/>
  <c r="M62" i="25"/>
  <c r="M63" i="25"/>
  <c r="M64" i="25"/>
  <c r="M65" i="25"/>
  <c r="M66" i="25"/>
  <c r="M67" i="25"/>
  <c r="O117" i="29" l="1"/>
  <c r="L11" i="30"/>
  <c r="J141" i="28"/>
  <c r="J148" i="28"/>
  <c r="J98" i="28"/>
  <c r="J116" i="28"/>
  <c r="J118" i="28"/>
  <c r="J124" i="28"/>
  <c r="J126" i="28"/>
  <c r="J132" i="28"/>
  <c r="F149" i="28"/>
  <c r="F150" i="28" s="1"/>
  <c r="J135" i="28"/>
  <c r="J114" i="28"/>
  <c r="J122" i="28"/>
  <c r="J130" i="28"/>
  <c r="J146" i="28"/>
  <c r="J120" i="28"/>
  <c r="J128" i="28"/>
  <c r="J144" i="28"/>
  <c r="J139" i="28"/>
  <c r="J137" i="28"/>
  <c r="J85" i="28"/>
  <c r="J133" i="28"/>
  <c r="J105" i="28"/>
  <c r="J107" i="28"/>
  <c r="J115" i="28"/>
  <c r="J117" i="28"/>
  <c r="J119" i="28"/>
  <c r="J121" i="28"/>
  <c r="J123" i="28"/>
  <c r="J125" i="28"/>
  <c r="J127" i="28"/>
  <c r="J129" i="28"/>
  <c r="J131" i="28"/>
  <c r="J134" i="28"/>
  <c r="J136" i="28"/>
  <c r="J138" i="28"/>
  <c r="J140" i="28"/>
  <c r="J142" i="28"/>
  <c r="J113" i="28"/>
  <c r="J112" i="28"/>
  <c r="J111" i="28"/>
  <c r="J110" i="28"/>
  <c r="J109" i="28"/>
  <c r="J108" i="28"/>
  <c r="J106" i="28"/>
  <c r="J104" i="28"/>
  <c r="J103" i="28"/>
  <c r="J102" i="28"/>
  <c r="J101" i="28"/>
  <c r="J100" i="28"/>
  <c r="J99" i="28"/>
  <c r="J95" i="28"/>
  <c r="J78" i="28"/>
  <c r="J82" i="28"/>
  <c r="J84" i="28"/>
  <c r="J88" i="28"/>
  <c r="J92" i="28"/>
  <c r="J97" i="28"/>
  <c r="J96" i="28"/>
  <c r="J93" i="28"/>
  <c r="J91" i="28"/>
  <c r="J90" i="28"/>
  <c r="J89" i="28"/>
  <c r="J87" i="28"/>
  <c r="J86" i="28"/>
  <c r="J83" i="28"/>
  <c r="J81" i="28"/>
  <c r="J80" i="28"/>
  <c r="J79" i="28"/>
  <c r="J68" i="27"/>
  <c r="D68" i="27"/>
  <c r="I68" i="27"/>
  <c r="I67" i="27"/>
  <c r="J67" i="27"/>
  <c r="D67" i="27"/>
  <c r="O118" i="29" l="1"/>
  <c r="N11" i="30"/>
  <c r="L56" i="30"/>
  <c r="N56" i="30" s="1"/>
  <c r="D24" i="26"/>
  <c r="D25" i="26"/>
  <c r="D26" i="26"/>
  <c r="D27" i="26"/>
  <c r="D28" i="26"/>
  <c r="O119" i="29" l="1"/>
  <c r="G129" i="29"/>
  <c r="M91" i="25"/>
  <c r="M92" i="25"/>
  <c r="M93" i="25"/>
  <c r="M94" i="25"/>
  <c r="M95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D93" i="25"/>
  <c r="G93" i="25"/>
  <c r="Q124" i="25"/>
  <c r="Q125" i="25"/>
  <c r="D46" i="27"/>
  <c r="D47" i="27"/>
  <c r="D48" i="27"/>
  <c r="D49" i="27"/>
  <c r="D50" i="27"/>
  <c r="D51" i="27"/>
  <c r="D52" i="27"/>
  <c r="V114" i="25"/>
  <c r="V110" i="25"/>
  <c r="V111" i="25"/>
  <c r="V112" i="25"/>
  <c r="V113" i="25"/>
  <c r="G100" i="25"/>
  <c r="D100" i="25"/>
  <c r="G99" i="25"/>
  <c r="D99" i="25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J52" i="27"/>
  <c r="L10" i="30" l="1"/>
  <c r="L55" i="30" s="1"/>
  <c r="N55" i="30" s="1"/>
  <c r="N93" i="25"/>
  <c r="N99" i="25"/>
  <c r="N100" i="25"/>
  <c r="I66" i="27"/>
  <c r="J66" i="27"/>
  <c r="I65" i="27"/>
  <c r="J65" i="27"/>
  <c r="D120" i="15"/>
  <c r="I64" i="27"/>
  <c r="J64" i="27"/>
  <c r="I63" i="27"/>
  <c r="J63" i="27"/>
  <c r="I62" i="27"/>
  <c r="J62" i="27"/>
  <c r="I61" i="27"/>
  <c r="J61" i="27"/>
  <c r="J60" i="27"/>
  <c r="I60" i="27"/>
  <c r="I59" i="27"/>
  <c r="J59" i="27"/>
  <c r="N10" i="30" l="1"/>
  <c r="N59" i="25"/>
  <c r="D59" i="25"/>
  <c r="I58" i="27"/>
  <c r="J58" i="27"/>
  <c r="I57" i="27"/>
  <c r="J57" i="27"/>
  <c r="I56" i="27"/>
  <c r="J56" i="27"/>
  <c r="I55" i="27"/>
  <c r="J55" i="27"/>
  <c r="I54" i="27"/>
  <c r="J54" i="27"/>
  <c r="I53" i="27"/>
  <c r="J53" i="27"/>
  <c r="I52" i="27"/>
  <c r="I51" i="27"/>
  <c r="J51" i="27"/>
  <c r="I50" i="27"/>
  <c r="J50" i="27"/>
  <c r="I49" i="27"/>
  <c r="J49" i="27"/>
  <c r="I48" i="27"/>
  <c r="J48" i="27"/>
  <c r="I47" i="27"/>
  <c r="J47" i="27"/>
  <c r="I46" i="27"/>
  <c r="J46" i="27"/>
  <c r="S125" i="25"/>
  <c r="G125" i="25"/>
  <c r="G126" i="25"/>
  <c r="G7" i="25"/>
  <c r="G124" i="25"/>
  <c r="D9" i="25"/>
  <c r="D60" i="25"/>
  <c r="D61" i="25"/>
  <c r="D62" i="25"/>
  <c r="D63" i="25"/>
  <c r="D64" i="25"/>
  <c r="D65" i="25"/>
  <c r="D66" i="25"/>
  <c r="D67" i="25"/>
  <c r="D82" i="25"/>
  <c r="D83" i="25"/>
  <c r="D84" i="25"/>
  <c r="D85" i="25"/>
  <c r="D86" i="25"/>
  <c r="D87" i="25"/>
  <c r="D88" i="25"/>
  <c r="D89" i="25"/>
  <c r="D90" i="25"/>
  <c r="D91" i="25"/>
  <c r="D92" i="25"/>
  <c r="D94" i="25"/>
  <c r="D95" i="25"/>
  <c r="D96" i="25"/>
  <c r="D97" i="25"/>
  <c r="D98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S122" i="25" l="1"/>
  <c r="S123" i="25"/>
  <c r="S124" i="25"/>
  <c r="N16" i="26" l="1"/>
  <c r="O16" i="26" s="1"/>
  <c r="N17" i="26"/>
  <c r="O17" i="26" s="1"/>
  <c r="N18" i="26"/>
  <c r="O18" i="26" s="1"/>
  <c r="N19" i="26"/>
  <c r="O19" i="26" s="1"/>
  <c r="N20" i="26"/>
  <c r="O20" i="26" s="1"/>
  <c r="N23" i="26"/>
  <c r="O23" i="26" s="1"/>
  <c r="N24" i="26"/>
  <c r="O24" i="26" s="1"/>
  <c r="N25" i="26"/>
  <c r="O25" i="26" s="1"/>
  <c r="N26" i="26"/>
  <c r="O26" i="26" s="1"/>
  <c r="N27" i="26"/>
  <c r="O27" i="26" s="1"/>
  <c r="N28" i="26"/>
  <c r="O28" i="26" s="1"/>
  <c r="N29" i="26"/>
  <c r="O29" i="26" s="1"/>
  <c r="N31" i="26"/>
  <c r="O31" i="26" s="1"/>
  <c r="N32" i="26"/>
  <c r="O32" i="26" s="1"/>
  <c r="N33" i="26"/>
  <c r="O33" i="26" s="1"/>
  <c r="P19" i="26"/>
  <c r="P20" i="26"/>
  <c r="P23" i="26"/>
  <c r="P24" i="26"/>
  <c r="P25" i="26"/>
  <c r="P26" i="26"/>
  <c r="P27" i="26"/>
  <c r="P28" i="26"/>
  <c r="P29" i="26"/>
  <c r="P31" i="26"/>
  <c r="P32" i="26"/>
  <c r="P33" i="26"/>
  <c r="M111" i="25" l="1"/>
  <c r="M112" i="25"/>
  <c r="M113" i="25"/>
  <c r="M114" i="25"/>
  <c r="M115" i="25"/>
  <c r="M116" i="25"/>
  <c r="M117" i="25"/>
  <c r="V115" i="25"/>
  <c r="V116" i="25"/>
  <c r="V117" i="25"/>
  <c r="V118" i="25"/>
  <c r="V119" i="25"/>
  <c r="V120" i="25"/>
  <c r="V121" i="25"/>
  <c r="V122" i="25"/>
  <c r="V123" i="25"/>
  <c r="V124" i="25"/>
  <c r="V125" i="25"/>
  <c r="T126" i="25"/>
  <c r="V126" i="25" s="1"/>
  <c r="Q126" i="25"/>
  <c r="S126" i="25" s="1"/>
  <c r="S127" i="25" s="1"/>
  <c r="N91" i="25"/>
  <c r="G92" i="25"/>
  <c r="N92" i="25" s="1"/>
  <c r="G94" i="25"/>
  <c r="N94" i="25" s="1"/>
  <c r="G95" i="25"/>
  <c r="N95" i="25" s="1"/>
  <c r="G96" i="25"/>
  <c r="N96" i="25" s="1"/>
  <c r="G97" i="25"/>
  <c r="N97" i="25" s="1"/>
  <c r="G98" i="25"/>
  <c r="N98" i="25" s="1"/>
  <c r="G101" i="25"/>
  <c r="N101" i="25" s="1"/>
  <c r="G102" i="25"/>
  <c r="N102" i="25" s="1"/>
  <c r="G103" i="25"/>
  <c r="N103" i="25" s="1"/>
  <c r="G104" i="25"/>
  <c r="N104" i="25" s="1"/>
  <c r="G105" i="25"/>
  <c r="N105" i="25" s="1"/>
  <c r="G106" i="25"/>
  <c r="N106" i="25" s="1"/>
  <c r="G107" i="25"/>
  <c r="N107" i="25" s="1"/>
  <c r="G108" i="25"/>
  <c r="N108" i="25" s="1"/>
  <c r="G109" i="25"/>
  <c r="N109" i="25" s="1"/>
  <c r="G110" i="25"/>
  <c r="N110" i="25" s="1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L117" i="15"/>
  <c r="O117" i="15" s="1"/>
  <c r="L118" i="15"/>
  <c r="L119" i="15"/>
  <c r="O119" i="15" s="1"/>
  <c r="P119" i="15" s="1"/>
  <c r="L120" i="15"/>
  <c r="L121" i="15"/>
  <c r="O121" i="15" s="1"/>
  <c r="L123" i="15"/>
  <c r="D117" i="15"/>
  <c r="D118" i="15"/>
  <c r="D119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K171" i="26"/>
  <c r="V127" i="25" l="1"/>
  <c r="L43" i="30"/>
  <c r="L48" i="30" s="1"/>
  <c r="O6" i="30"/>
  <c r="O51" i="30" s="1"/>
  <c r="Q51" i="30" s="1"/>
  <c r="N43" i="30"/>
  <c r="P121" i="15"/>
  <c r="P117" i="15"/>
  <c r="O120" i="15"/>
  <c r="P120" i="15" s="1"/>
  <c r="O118" i="15"/>
  <c r="P123" i="15"/>
  <c r="N112" i="25"/>
  <c r="N111" i="25"/>
  <c r="N114" i="25"/>
  <c r="N117" i="25"/>
  <c r="N113" i="25"/>
  <c r="N115" i="25"/>
  <c r="N116" i="25"/>
  <c r="M10" i="25"/>
  <c r="Q6" i="30" l="1"/>
  <c r="P118" i="15"/>
  <c r="O43" i="30"/>
  <c r="N60" i="25"/>
  <c r="D125" i="25"/>
  <c r="D126" i="25"/>
  <c r="N61" i="25"/>
  <c r="N62" i="25"/>
  <c r="N63" i="25"/>
  <c r="N65" i="25"/>
  <c r="N66" i="25"/>
  <c r="N67" i="25"/>
  <c r="Q43" i="30" l="1"/>
  <c r="O48" i="30"/>
  <c r="G8" i="25" l="1"/>
  <c r="G127" i="25" s="1"/>
  <c r="G128" i="25" s="1"/>
  <c r="M85" i="25" l="1"/>
  <c r="M9" i="25"/>
  <c r="M11" i="25"/>
  <c r="M82" i="25"/>
  <c r="M83" i="25"/>
  <c r="M84" i="25"/>
  <c r="M86" i="25"/>
  <c r="M87" i="25"/>
  <c r="M88" i="25"/>
  <c r="M89" i="25"/>
  <c r="M90" i="25"/>
  <c r="N90" i="25" s="1"/>
  <c r="M118" i="25"/>
  <c r="N118" i="25" s="1"/>
  <c r="M119" i="25"/>
  <c r="M120" i="25"/>
  <c r="M121" i="25"/>
  <c r="M122" i="25"/>
  <c r="N122" i="25" s="1"/>
  <c r="M123" i="25"/>
  <c r="M124" i="25"/>
  <c r="N124" i="25" s="1"/>
  <c r="M125" i="25"/>
  <c r="N88" i="25" l="1"/>
  <c r="N86" i="25"/>
  <c r="N89" i="25"/>
  <c r="N87" i="25"/>
  <c r="N121" i="25"/>
  <c r="N119" i="25"/>
  <c r="N120" i="25"/>
  <c r="N123" i="25"/>
  <c r="N82" i="25"/>
  <c r="O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L124" i="15"/>
  <c r="L125" i="15"/>
  <c r="L126" i="15"/>
  <c r="O126" i="15" s="1"/>
  <c r="L127" i="15"/>
  <c r="O127" i="15" s="1"/>
  <c r="L128" i="15"/>
  <c r="O128" i="15" s="1"/>
  <c r="L129" i="15"/>
  <c r="O129" i="15" s="1"/>
  <c r="L130" i="15"/>
  <c r="O130" i="15" s="1"/>
  <c r="L131" i="15"/>
  <c r="O131" i="15" s="1"/>
  <c r="L132" i="15"/>
  <c r="O132" i="15" s="1"/>
  <c r="L133" i="15"/>
  <c r="O133" i="15" s="1"/>
  <c r="L134" i="15"/>
  <c r="O134" i="15" s="1"/>
  <c r="L135" i="15"/>
  <c r="O135" i="15" s="1"/>
  <c r="L136" i="15"/>
  <c r="L137" i="15"/>
  <c r="O137" i="15" s="1"/>
  <c r="L138" i="15"/>
  <c r="O138" i="15" s="1"/>
  <c r="L139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P131" i="15"/>
  <c r="P134" i="15"/>
  <c r="P135" i="15"/>
  <c r="P138" i="15"/>
  <c r="P133" i="15" l="1"/>
  <c r="P137" i="15"/>
  <c r="P132" i="15"/>
  <c r="P139" i="15"/>
  <c r="O139" i="15"/>
  <c r="P136" i="15"/>
  <c r="O136" i="15"/>
  <c r="P125" i="15"/>
  <c r="O125" i="15"/>
  <c r="P124" i="15"/>
  <c r="O124" i="15"/>
  <c r="P130" i="15"/>
  <c r="P129" i="15"/>
  <c r="P128" i="15"/>
  <c r="P127" i="15"/>
  <c r="P126" i="15"/>
  <c r="N64" i="25"/>
  <c r="N83" i="25"/>
  <c r="N84" i="25"/>
  <c r="N85" i="25" l="1"/>
  <c r="N11" i="25" l="1"/>
  <c r="D8" i="25"/>
  <c r="D7" i="25"/>
  <c r="M8" i="25"/>
  <c r="M7" i="25"/>
  <c r="N7" i="25" s="1"/>
  <c r="M126" i="25"/>
  <c r="N8" i="25" l="1"/>
  <c r="N9" i="25"/>
  <c r="N10" i="25"/>
  <c r="L7" i="30" l="1"/>
  <c r="N7" i="30" l="1"/>
  <c r="L52" i="30"/>
  <c r="N126" i="25"/>
  <c r="N125" i="25"/>
  <c r="N52" i="30" l="1"/>
  <c r="S128" i="25"/>
  <c r="V128" i="25"/>
  <c r="L6" i="30" l="1"/>
  <c r="L51" i="30" l="1"/>
  <c r="L12" i="30"/>
  <c r="N51" i="30" l="1"/>
  <c r="L57" i="30"/>
  <c r="M150" i="15"/>
  <c r="L150" i="15"/>
  <c r="O150" i="15" s="1"/>
  <c r="M149" i="15"/>
  <c r="L149" i="15"/>
  <c r="O149" i="15" s="1"/>
  <c r="M148" i="15"/>
  <c r="L148" i="15"/>
  <c r="O148" i="15" s="1"/>
  <c r="M147" i="15"/>
  <c r="L147" i="15"/>
  <c r="O147" i="15" s="1"/>
  <c r="P147" i="15"/>
  <c r="M146" i="15"/>
  <c r="L146" i="15"/>
  <c r="O146" i="15" s="1"/>
  <c r="P146" i="15"/>
  <c r="M145" i="15"/>
  <c r="L145" i="15"/>
  <c r="O145" i="15" s="1"/>
  <c r="P145" i="15"/>
  <c r="M144" i="15"/>
  <c r="L144" i="15"/>
  <c r="O144" i="15" s="1"/>
  <c r="P144" i="15"/>
  <c r="L143" i="15"/>
  <c r="O143" i="15" s="1"/>
  <c r="P143" i="15"/>
  <c r="L142" i="15"/>
  <c r="L141" i="15"/>
  <c r="L140" i="15"/>
  <c r="P140" i="15" l="1"/>
  <c r="O140" i="15"/>
  <c r="P141" i="15"/>
  <c r="O141" i="15"/>
  <c r="P142" i="15"/>
  <c r="O142" i="15"/>
  <c r="P148" i="15"/>
  <c r="P149" i="15"/>
  <c r="P150" i="15"/>
  <c r="L151" i="15" l="1"/>
  <c r="L152" i="15" s="1"/>
  <c r="O7" i="30"/>
  <c r="F152" i="15"/>
  <c r="Q7" i="30" l="1"/>
  <c r="O52" i="30"/>
  <c r="Q52" i="30" s="1"/>
  <c r="O10" i="30" l="1"/>
  <c r="O55" i="30" l="1"/>
  <c r="Q10" i="30"/>
  <c r="O12" i="30"/>
  <c r="F172" i="26"/>
  <c r="F173" i="26" s="1"/>
  <c r="Q55" i="30" l="1"/>
  <c r="O5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Solorzano</author>
  </authors>
  <commentList>
    <comment ref="E10" authorId="0" shapeId="0" xr:uid="{4E28EBF7-4517-4E27-9BC3-86B15E354F2D}">
      <text>
        <r>
          <rPr>
            <sz val="9"/>
            <color indexed="81"/>
            <rFont val="Tahoma"/>
            <family val="2"/>
          </rPr>
          <t xml:space="preserve">debe colocarlo manual solo al iniciar el resto es automatico
</t>
        </r>
      </text>
    </comment>
    <comment ref="E71" authorId="0" shapeId="0" xr:uid="{51D6FD16-E627-466B-905B-11A0BEF092FA}">
      <text>
        <r>
          <rPr>
            <sz val="9"/>
            <color indexed="81"/>
            <rFont val="Tahoma"/>
            <family val="2"/>
          </rPr>
          <t xml:space="preserve">debe colocarlo manual solo al iniciar el resto es automatico
</t>
        </r>
      </text>
    </comment>
  </commentList>
</comments>
</file>

<file path=xl/sharedStrings.xml><?xml version="1.0" encoding="utf-8"?>
<sst xmlns="http://schemas.openxmlformats.org/spreadsheetml/2006/main" count="1159" uniqueCount="223">
  <si>
    <t>CONTROL DE TIEMPO DE PRODUCCION</t>
  </si>
  <si>
    <t>FECHA</t>
  </si>
  <si>
    <t>HORA INIC</t>
  </si>
  <si>
    <t>HORA FIN</t>
  </si>
  <si>
    <t>HOROM INC</t>
  </si>
  <si>
    <t>HOROM FIN</t>
  </si>
  <si>
    <t>TIEMP PROD</t>
  </si>
  <si>
    <t>OBSERVACION</t>
  </si>
  <si>
    <t>COMPAÑÍA OPITA DE FRIO SAS</t>
  </si>
  <si>
    <t>LINEA TUBULAR</t>
  </si>
  <si>
    <t>TIEMPO HORARICA</t>
  </si>
  <si>
    <t>TIEMP PRENDIDA</t>
  </si>
  <si>
    <t>CONTROL HOROMETRO</t>
  </si>
  <si>
    <t>PRODUCTOS</t>
  </si>
  <si>
    <t>BOLSA 1,5 KG</t>
  </si>
  <si>
    <t>BOLSA 3 KG</t>
  </si>
  <si>
    <t>BOLSA 7 KG</t>
  </si>
  <si>
    <t>BOLSA 15 KG</t>
  </si>
  <si>
    <t>BTO 25 KG</t>
  </si>
  <si>
    <t>KILOS PROD</t>
  </si>
  <si>
    <t>KILOS ACUMULADO</t>
  </si>
  <si>
    <t>OBSERVACIONES</t>
  </si>
  <si>
    <t>AYUDANTE</t>
  </si>
  <si>
    <t>PROD POR</t>
  </si>
  <si>
    <t>HORA</t>
  </si>
  <si>
    <t>AZUL</t>
  </si>
  <si>
    <t>VERDE</t>
  </si>
  <si>
    <t>LINEA DEL AGUA</t>
  </si>
  <si>
    <t>REEMPAQUE</t>
  </si>
  <si>
    <t>DESPERDICIO</t>
  </si>
  <si>
    <t>PLASTICO</t>
  </si>
  <si>
    <t>PROMED</t>
  </si>
  <si>
    <t>KILOS REEMP</t>
  </si>
  <si>
    <t>UTILIZO</t>
  </si>
  <si>
    <t>EN</t>
  </si>
  <si>
    <t>BTO ESCARCHA</t>
  </si>
  <si>
    <t>ARROBA ESCARCHA</t>
  </si>
  <si>
    <t>BOLSAS</t>
  </si>
  <si>
    <t>PROD POR HORA</t>
  </si>
  <si>
    <t>BOTELLON</t>
  </si>
  <si>
    <t>ACUM BOTELL</t>
  </si>
  <si>
    <t>BOT X HORA</t>
  </si>
  <si>
    <t>PACA X 15 UNID</t>
  </si>
  <si>
    <t>PACA X 24 UNID</t>
  </si>
  <si>
    <t>ACUM X 15</t>
  </si>
  <si>
    <t>ACUM X 24</t>
  </si>
  <si>
    <t>UTILIZ KILOS</t>
  </si>
  <si>
    <t>KIL/PROD BTO</t>
  </si>
  <si>
    <t>KIL/PROD ARROBAS</t>
  </si>
  <si>
    <t>TOTAL PLASTIC</t>
  </si>
  <si>
    <t>DIARIO</t>
  </si>
  <si>
    <t>ACUMULADO</t>
  </si>
  <si>
    <t>CONTROL UNIDADES</t>
  </si>
  <si>
    <t>UNIDAD BUENAS</t>
  </si>
  <si>
    <t>UNIDAD DAÑADAS</t>
  </si>
  <si>
    <t>TOTAL DE UNIDADES</t>
  </si>
  <si>
    <t>CONVERS</t>
  </si>
  <si>
    <t>PROMEDIO</t>
  </si>
  <si>
    <t>PROD X KILO</t>
  </si>
  <si>
    <t xml:space="preserve"> EN KILOS</t>
  </si>
  <si>
    <t>PACAS POR  DE 15 UNID</t>
  </si>
  <si>
    <t>BTO FINOS</t>
  </si>
  <si>
    <t>KIL/PROD FINOS</t>
  </si>
  <si>
    <t>BLOQUE 12,5 K</t>
  </si>
  <si>
    <t>BLOQUE 25 K</t>
  </si>
  <si>
    <t xml:space="preserve">                         MYCOM 6B</t>
  </si>
  <si>
    <t xml:space="preserve">                          MYCOM 4B</t>
  </si>
  <si>
    <t>BTO 20 KG</t>
  </si>
  <si>
    <t>TOTAL DE HORAS TRABAJADAS</t>
  </si>
  <si>
    <t>DIAS =</t>
  </si>
  <si>
    <t>HORAS TRABAJADAS</t>
  </si>
  <si>
    <t>DIAS TRABAJADOS</t>
  </si>
  <si>
    <t xml:space="preserve">UNIDADES DESPERDICIADAS </t>
  </si>
  <si>
    <t>PACAS *15</t>
  </si>
  <si>
    <t>PET 300*24</t>
  </si>
  <si>
    <t>PET 500 *12</t>
  </si>
  <si>
    <t>PET 500*12 GAS</t>
  </si>
  <si>
    <t>PET 600 *12</t>
  </si>
  <si>
    <t>PET 600*12 GAS</t>
  </si>
  <si>
    <t>BOLSA DE 6 LITROS</t>
  </si>
  <si>
    <t>LUIS TORRES</t>
  </si>
  <si>
    <t>FINA</t>
  </si>
  <si>
    <t>HUMBERTO</t>
  </si>
  <si>
    <t>15 KG DE ESCARCHA</t>
  </si>
  <si>
    <t>COMPACTADORA</t>
  </si>
  <si>
    <t>COMPRESOR</t>
  </si>
  <si>
    <t>ESCARCHA GRUESA</t>
  </si>
  <si>
    <t>HORA INICIO</t>
  </si>
  <si>
    <t>MAQUINA 350ML</t>
  </si>
  <si>
    <t>MAQUINA BOTELLONES</t>
  </si>
  <si>
    <t>USADO</t>
  </si>
  <si>
    <t>PLASTICO ENTREGADO</t>
  </si>
  <si>
    <t>YINSO NOVOA</t>
  </si>
  <si>
    <t>MAQUINA EN MANTENIMIENTO</t>
  </si>
  <si>
    <t>GRIS</t>
  </si>
  <si>
    <t>ARROBA FINA</t>
  </si>
  <si>
    <t>BOLSA 3KG</t>
  </si>
  <si>
    <t>MAQUINA FALLANDO</t>
  </si>
  <si>
    <t>BLOQUE 30 K</t>
  </si>
  <si>
    <t>MAQUINARIA</t>
  </si>
  <si>
    <t>CONDICIONES DE TRABAJO</t>
  </si>
  <si>
    <t>HORAS DE TRABAJO</t>
  </si>
  <si>
    <t>PRODUCCION EN KG</t>
  </si>
  <si>
    <t>CAPACIDAD ESTIMADA EN KG</t>
  </si>
  <si>
    <t>RENDIMIENTO %</t>
  </si>
  <si>
    <t>CG</t>
  </si>
  <si>
    <t>CP</t>
  </si>
  <si>
    <t>TE</t>
  </si>
  <si>
    <t>AM</t>
  </si>
  <si>
    <t>EP</t>
  </si>
  <si>
    <t>X</t>
  </si>
  <si>
    <t>GR</t>
  </si>
  <si>
    <t>AG</t>
  </si>
  <si>
    <t>AC</t>
  </si>
  <si>
    <t>PRODUCCION TOTAL</t>
  </si>
  <si>
    <t>x</t>
  </si>
  <si>
    <t>HORAS ESTIMADAS</t>
  </si>
  <si>
    <t>DIFERENCIA DE HORAS</t>
  </si>
  <si>
    <t>TOTAL DEL MES</t>
  </si>
  <si>
    <t>TUBULAR VERDE</t>
  </si>
  <si>
    <t>TUBULAR GRIS</t>
  </si>
  <si>
    <t>TUBULAR AZUL</t>
  </si>
  <si>
    <t>ESCARCHA FINA</t>
  </si>
  <si>
    <t>*</t>
  </si>
  <si>
    <t>ACUM  KILOS</t>
  </si>
  <si>
    <t>2 al 8 de octubre</t>
  </si>
  <si>
    <t>9 al 15 de octubre</t>
  </si>
  <si>
    <t>16 al 22 de octubre</t>
  </si>
  <si>
    <t>23 al 29 de octubre</t>
  </si>
  <si>
    <t>30 al 31 de octubre</t>
  </si>
  <si>
    <t>se prende por 3 dias por demanda</t>
  </si>
  <si>
    <t>en prueba para entrega</t>
  </si>
  <si>
    <t>capacitaciones</t>
  </si>
  <si>
    <t>se deja apagada</t>
  </si>
  <si>
    <t>compresor pequeño</t>
  </si>
  <si>
    <t>presenta fallas</t>
  </si>
  <si>
    <t>cuchilla, entra en mantenimiento</t>
  </si>
  <si>
    <t>compreor pequeño por 3 dias</t>
  </si>
  <si>
    <t>13 AL 19 DE NOVIEMBRE</t>
  </si>
  <si>
    <t>20 AL 26 DE NOVIEMBRE</t>
  </si>
  <si>
    <t>27 AL 30 DE NOVIEMBRE</t>
  </si>
  <si>
    <t>HOL</t>
  </si>
  <si>
    <t xml:space="preserve"> -     </t>
  </si>
  <si>
    <t>1 AL 7 DE ENERO 2024</t>
  </si>
  <si>
    <t>8 AL 14 DE ENERO</t>
  </si>
  <si>
    <t>SE APAGA MAQUINAS POR DOS DIAS 1 AL 2 DE ENERO</t>
  </si>
  <si>
    <t>SE CAMBIA AL COMPRESOR PEQUEÑO.</t>
  </si>
  <si>
    <t>SE APAGA MAQUINAS POR 2 DIAS</t>
  </si>
  <si>
    <t>SE APAGA MAQUINAS POR 2 DIAS Y PRESENTO FUGA DE GAS</t>
  </si>
  <si>
    <t>SE CAMBIA DE COMPRESOR AL GRANDE</t>
  </si>
  <si>
    <t>SE HA REPORTADA BAJA EN SU RENDIMIENTO</t>
  </si>
  <si>
    <t>SE HACE LIMPIEZA POR 3 HORAS A LA ESCARCHA GRUESA</t>
  </si>
  <si>
    <t>LIMPIEZA CON ACIDO-GRIS 3 HORAS.</t>
  </si>
  <si>
    <t>AZUL PRESENTA FUGA DE GAS 4 DIAS SIN TRABAJAR</t>
  </si>
  <si>
    <t>PET 5 litros</t>
  </si>
  <si>
    <t>pet 1litro*6</t>
  </si>
  <si>
    <t>f</t>
  </si>
  <si>
    <t xml:space="preserve">  </t>
  </si>
  <si>
    <t>g</t>
  </si>
  <si>
    <t>HOLMAN TRUJILLO</t>
  </si>
  <si>
    <t>JAMES QUINTERO</t>
  </si>
  <si>
    <t>1,5KG</t>
  </si>
  <si>
    <t>FINA FALLANDO</t>
  </si>
  <si>
    <t>MAICOL ROMERO</t>
  </si>
  <si>
    <t>Yinso Novoa</t>
  </si>
  <si>
    <t>Humberto Vasquez</t>
  </si>
  <si>
    <t>Diego Uribe</t>
  </si>
  <si>
    <t>Michell Romero</t>
  </si>
  <si>
    <t>James Quintero</t>
  </si>
  <si>
    <t>Jose David Cedeño</t>
  </si>
  <si>
    <t>Hernandez Luis</t>
  </si>
  <si>
    <t>Daniel Garcia</t>
  </si>
  <si>
    <t xml:space="preserve">luis torres </t>
  </si>
  <si>
    <t>Andres Tinoco</t>
  </si>
  <si>
    <t>Miguel Mendoza</t>
  </si>
  <si>
    <t>Jhoan Sebastian</t>
  </si>
  <si>
    <t>Humberto</t>
  </si>
  <si>
    <t>Yinso Nova</t>
  </si>
  <si>
    <t>Humberto V</t>
  </si>
  <si>
    <t>Luis Torres</t>
  </si>
  <si>
    <t>Luis Hernandez</t>
  </si>
  <si>
    <t>Luis Hernadez</t>
  </si>
  <si>
    <t>bajones de energia</t>
  </si>
  <si>
    <t>Yeisson</t>
  </si>
  <si>
    <t>se presenta bajones de energia</t>
  </si>
  <si>
    <t>Oscar Andres</t>
  </si>
  <si>
    <t>yeison</t>
  </si>
  <si>
    <t xml:space="preserve"> </t>
  </si>
  <si>
    <t>david</t>
  </si>
  <si>
    <t>hernandez luis</t>
  </si>
  <si>
    <t>DAVID</t>
  </si>
  <si>
    <t>oscar andres</t>
  </si>
  <si>
    <t>yinso novoa</t>
  </si>
  <si>
    <t xml:space="preserve">se prende tarde la maquinaria por falta de agua </t>
  </si>
  <si>
    <t>james</t>
  </si>
  <si>
    <t>humberto</t>
  </si>
  <si>
    <t>se apaga maquinaria por 2 horas por bajons de energia</t>
  </si>
  <si>
    <t>luis torres</t>
  </si>
  <si>
    <t>se apaga la maquinaria 1 hora y 20min por bajones de energia</t>
  </si>
  <si>
    <t>se apagaron las tubulares por bajonm de energia por 40 minutos</t>
  </si>
  <si>
    <t>se apaga maquinaria por 1 hora</t>
  </si>
  <si>
    <t>quejada diego</t>
  </si>
  <si>
    <t>andres t</t>
  </si>
  <si>
    <t xml:space="preserve">se apaga maquinaria 30 min por najo </t>
  </si>
  <si>
    <t>ja</t>
  </si>
  <si>
    <t xml:space="preserve">se recibio maquina apagada y se prende a las 10:26 </t>
  </si>
  <si>
    <t>se tiene apagada maquinaria 2 hoas y 38 minutos</t>
  </si>
  <si>
    <t xml:space="preserve">a ñlas 16:20 se fue la luz </t>
  </si>
  <si>
    <t>se apaga la maquinaria a las 16:20 por bajon de luz</t>
  </si>
  <si>
    <t>se prende la tubular verde a las 00:30</t>
  </si>
  <si>
    <t xml:space="preserve">se prende maquinaria a las 00:30 </t>
  </si>
  <si>
    <t>se apaga maquinaria 30 min por lavado</t>
  </si>
  <si>
    <t>da</t>
  </si>
  <si>
    <t>se apaga maquinaria par alavado de tanque y bajon de energia</t>
  </si>
  <si>
    <t>oviedo andres</t>
  </si>
  <si>
    <t>se apaga maquianria 1 hora</t>
  </si>
  <si>
    <t>&lt;</t>
  </si>
  <si>
    <t>jesus david</t>
  </si>
  <si>
    <t xml:space="preserve">se apaga 25 min por lavado de tanque </t>
  </si>
  <si>
    <t>se apaga 40 min por agua turbia</t>
  </si>
  <si>
    <t>se apaga maquinaria por 30 min para lavado</t>
  </si>
  <si>
    <t>maquina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</si>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</sst>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-* #,##0.00\ _€_-;\-* #,##0.00\ _€_-;_-* &quot;-&quot;??\ _€_-;_-@_-"/>
    <numFmt numFmtId="165" formatCode="[$-F400]h:mm:ss\ AM/PM"/>
    <numFmt numFmtId="166" formatCode="0.0"/>
    <numFmt numFmtId="167" formatCode="_-* #,##0\ _€_-;\-* #,##0\ _€_-;_-* &quot;-&quot;??\ _€_-;_-@_-"/>
    <numFmt numFmtId="168" formatCode="_-* #,##0.00_-;\-* #,##0.00_-;_-* &quot;-&quot;_-;_-@_-"/>
    <numFmt numFmtId="169" formatCode="0.000"/>
    <numFmt numFmtId="170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48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19">
    <xf numFmtId="0" fontId="0" fillId="0" borderId="0" xfId="0"/>
    <xf numFmtId="1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65" fontId="0" fillId="0" borderId="8" xfId="0" applyNumberFormat="1" applyBorder="1"/>
    <xf numFmtId="0" fontId="0" fillId="0" borderId="6" xfId="0" applyBorder="1"/>
    <xf numFmtId="165" fontId="0" fillId="0" borderId="6" xfId="0" applyNumberFormat="1" applyBorder="1"/>
    <xf numFmtId="0" fontId="0" fillId="0" borderId="4" xfId="0" applyBorder="1"/>
    <xf numFmtId="0" fontId="0" fillId="0" borderId="2" xfId="0" applyBorder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1" applyNumberFormat="1" applyFont="1" applyFill="1" applyBorder="1"/>
    <xf numFmtId="0" fontId="0" fillId="0" borderId="0" xfId="0" applyAlignment="1">
      <alignment horizontal="center" vertical="center"/>
    </xf>
    <xf numFmtId="169" fontId="0" fillId="0" borderId="0" xfId="1" applyNumberFormat="1" applyFont="1" applyFill="1" applyBorder="1"/>
    <xf numFmtId="169" fontId="0" fillId="0" borderId="0" xfId="0" applyNumberFormat="1"/>
    <xf numFmtId="169" fontId="0" fillId="0" borderId="1" xfId="0" applyNumberFormat="1" applyBorder="1"/>
    <xf numFmtId="20" fontId="0" fillId="0" borderId="0" xfId="0" applyNumberFormat="1"/>
    <xf numFmtId="20" fontId="0" fillId="0" borderId="5" xfId="0" applyNumberFormat="1" applyBorder="1"/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2" applyNumberFormat="1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11" borderId="0" xfId="0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/>
    <xf numFmtId="20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/>
    <xf numFmtId="165" fontId="8" fillId="0" borderId="2" xfId="0" applyNumberFormat="1" applyFont="1" applyBorder="1"/>
    <xf numFmtId="166" fontId="8" fillId="0" borderId="2" xfId="0" applyNumberFormat="1" applyFont="1" applyBorder="1"/>
    <xf numFmtId="2" fontId="8" fillId="0" borderId="2" xfId="0" applyNumberFormat="1" applyFont="1" applyBorder="1"/>
    <xf numFmtId="166" fontId="8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20" fontId="8" fillId="6" borderId="2" xfId="0" applyNumberFormat="1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167" fontId="8" fillId="0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11" borderId="2" xfId="0" applyFont="1" applyFill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/>
    </xf>
    <xf numFmtId="14" fontId="8" fillId="0" borderId="0" xfId="0" applyNumberFormat="1" applyFont="1"/>
    <xf numFmtId="165" fontId="8" fillId="0" borderId="0" xfId="0" applyNumberFormat="1" applyFont="1"/>
    <xf numFmtId="20" fontId="8" fillId="0" borderId="0" xfId="0" applyNumberFormat="1" applyFont="1"/>
    <xf numFmtId="2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166" fontId="8" fillId="0" borderId="0" xfId="0" applyNumberFormat="1" applyFont="1"/>
    <xf numFmtId="14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20" fontId="10" fillId="6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167" fontId="10" fillId="0" borderId="2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/>
    <xf numFmtId="165" fontId="10" fillId="11" borderId="2" xfId="0" applyNumberFormat="1" applyFont="1" applyFill="1" applyBorder="1" applyAlignment="1">
      <alignment horizontal="center"/>
    </xf>
    <xf numFmtId="2" fontId="10" fillId="7" borderId="2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/>
    </xf>
    <xf numFmtId="165" fontId="10" fillId="0" borderId="0" xfId="0" applyNumberFormat="1" applyFont="1"/>
    <xf numFmtId="20" fontId="10" fillId="0" borderId="0" xfId="0" applyNumberFormat="1" applyFont="1"/>
    <xf numFmtId="2" fontId="10" fillId="0" borderId="0" xfId="0" applyNumberFormat="1" applyFont="1"/>
    <xf numFmtId="2" fontId="10" fillId="16" borderId="0" xfId="0" applyNumberFormat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6" fontId="10" fillId="0" borderId="0" xfId="0" applyNumberFormat="1" applyFont="1"/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7" fontId="8" fillId="13" borderId="2" xfId="1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68" fontId="8" fillId="0" borderId="0" xfId="2" applyNumberFormat="1" applyFont="1" applyFill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11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8" fontId="10" fillId="0" borderId="2" xfId="2" applyNumberFormat="1" applyFont="1" applyBorder="1" applyAlignment="1">
      <alignment horizontal="center"/>
    </xf>
    <xf numFmtId="166" fontId="10" fillId="11" borderId="2" xfId="0" applyNumberFormat="1" applyFont="1" applyFill="1" applyBorder="1" applyAlignment="1">
      <alignment horizontal="center"/>
    </xf>
    <xf numFmtId="1" fontId="10" fillId="5" borderId="2" xfId="0" applyNumberFormat="1" applyFont="1" applyFill="1" applyBorder="1" applyAlignment="1">
      <alignment horizontal="center"/>
    </xf>
    <xf numFmtId="20" fontId="10" fillId="6" borderId="2" xfId="0" applyNumberFormat="1" applyFont="1" applyFill="1" applyBorder="1" applyAlignment="1">
      <alignment horizontal="center"/>
    </xf>
    <xf numFmtId="1" fontId="10" fillId="11" borderId="2" xfId="0" applyNumberFormat="1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68" fontId="10" fillId="0" borderId="0" xfId="2" applyNumberFormat="1" applyFont="1" applyFill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9" fillId="0" borderId="2" xfId="0" applyFont="1" applyBorder="1"/>
    <xf numFmtId="20" fontId="9" fillId="0" borderId="2" xfId="0" applyNumberFormat="1" applyFont="1" applyBorder="1"/>
    <xf numFmtId="0" fontId="12" fillId="0" borderId="2" xfId="0" applyFont="1" applyBorder="1"/>
    <xf numFmtId="20" fontId="12" fillId="0" borderId="2" xfId="0" applyNumberFormat="1" applyFont="1" applyBorder="1"/>
    <xf numFmtId="0" fontId="12" fillId="7" borderId="2" xfId="0" applyFont="1" applyFill="1" applyBorder="1"/>
    <xf numFmtId="168" fontId="12" fillId="0" borderId="2" xfId="2" applyNumberFormat="1" applyFont="1" applyBorder="1"/>
    <xf numFmtId="0" fontId="12" fillId="2" borderId="2" xfId="0" applyFont="1" applyFill="1" applyBorder="1"/>
    <xf numFmtId="166" fontId="12" fillId="5" borderId="2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/>
    </xf>
    <xf numFmtId="0" fontId="12" fillId="0" borderId="9" xfId="0" applyFont="1" applyBorder="1"/>
    <xf numFmtId="0" fontId="12" fillId="0" borderId="11" xfId="0" applyFont="1" applyBorder="1"/>
    <xf numFmtId="0" fontId="12" fillId="0" borderId="10" xfId="0" applyFont="1" applyBorder="1"/>
    <xf numFmtId="0" fontId="10" fillId="0" borderId="2" xfId="0" applyFont="1" applyBorder="1"/>
    <xf numFmtId="14" fontId="12" fillId="0" borderId="2" xfId="0" applyNumberFormat="1" applyFont="1" applyBorder="1"/>
    <xf numFmtId="166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166" fontId="10" fillId="0" borderId="2" xfId="0" applyNumberFormat="1" applyFont="1" applyBorder="1"/>
    <xf numFmtId="165" fontId="10" fillId="0" borderId="2" xfId="0" applyNumberFormat="1" applyFont="1" applyBorder="1"/>
    <xf numFmtId="167" fontId="10" fillId="13" borderId="2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16" borderId="0" xfId="0" applyFont="1" applyFill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167" fontId="10" fillId="4" borderId="2" xfId="1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/>
    </xf>
    <xf numFmtId="167" fontId="10" fillId="12" borderId="2" xfId="1" applyNumberFormat="1" applyFont="1" applyFill="1" applyBorder="1" applyAlignment="1">
      <alignment horizontal="center" vertical="center"/>
    </xf>
    <xf numFmtId="167" fontId="10" fillId="11" borderId="2" xfId="1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/>
    </xf>
    <xf numFmtId="14" fontId="10" fillId="0" borderId="0" xfId="0" applyNumberFormat="1" applyFont="1"/>
    <xf numFmtId="20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20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2" fontId="12" fillId="0" borderId="3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/>
    </xf>
    <xf numFmtId="166" fontId="12" fillId="0" borderId="2" xfId="0" applyNumberFormat="1" applyFont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/>
    </xf>
    <xf numFmtId="2" fontId="10" fillId="0" borderId="2" xfId="0" applyNumberFormat="1" applyFont="1" applyBorder="1"/>
    <xf numFmtId="0" fontId="12" fillId="5" borderId="2" xfId="0" applyFont="1" applyFill="1" applyBorder="1" applyAlignment="1">
      <alignment horizontal="center"/>
    </xf>
    <xf numFmtId="20" fontId="12" fillId="0" borderId="2" xfId="0" applyNumberFormat="1" applyFont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168" fontId="12" fillId="0" borderId="2" xfId="2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66" fontId="12" fillId="11" borderId="2" xfId="0" applyNumberFormat="1" applyFont="1" applyFill="1" applyBorder="1" applyAlignment="1">
      <alignment horizontal="center"/>
    </xf>
    <xf numFmtId="2" fontId="12" fillId="11" borderId="2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 vertical="center"/>
    </xf>
    <xf numFmtId="167" fontId="8" fillId="5" borderId="2" xfId="1" applyNumberFormat="1" applyFont="1" applyFill="1" applyBorder="1" applyAlignment="1">
      <alignment horizontal="center" vertical="center"/>
    </xf>
    <xf numFmtId="167" fontId="8" fillId="10" borderId="2" xfId="1" applyNumberFormat="1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/>
    </xf>
    <xf numFmtId="166" fontId="10" fillId="3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5" borderId="2" xfId="1" applyNumberFormat="1" applyFont="1" applyFill="1" applyBorder="1" applyAlignment="1">
      <alignment horizontal="center" vertical="center"/>
    </xf>
    <xf numFmtId="167" fontId="10" fillId="10" borderId="2" xfId="1" applyNumberFormat="1" applyFont="1" applyFill="1" applyBorder="1" applyAlignment="1">
      <alignment horizontal="center" vertical="center"/>
    </xf>
    <xf numFmtId="169" fontId="10" fillId="10" borderId="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12" fillId="0" borderId="0" xfId="0" applyNumberFormat="1" applyFont="1"/>
    <xf numFmtId="0" fontId="12" fillId="0" borderId="3" xfId="0" applyFont="1" applyBorder="1" applyAlignment="1">
      <alignment horizontal="center" vertical="center"/>
    </xf>
    <xf numFmtId="169" fontId="12" fillId="10" borderId="2" xfId="0" applyNumberFormat="1" applyFont="1" applyFill="1" applyBorder="1" applyAlignment="1">
      <alignment horizont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wrapText="1"/>
    </xf>
    <xf numFmtId="169" fontId="12" fillId="0" borderId="2" xfId="0" applyNumberFormat="1" applyFont="1" applyBorder="1" applyAlignment="1">
      <alignment horizontal="center" vertical="center"/>
    </xf>
    <xf numFmtId="14" fontId="12" fillId="11" borderId="2" xfId="0" applyNumberFormat="1" applyFont="1" applyFill="1" applyBorder="1" applyAlignment="1">
      <alignment horizontal="center" vertical="center"/>
    </xf>
    <xf numFmtId="20" fontId="8" fillId="15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/>
    </xf>
    <xf numFmtId="0" fontId="1" fillId="0" borderId="0" xfId="0" applyFont="1"/>
    <xf numFmtId="0" fontId="9" fillId="17" borderId="2" xfId="0" applyFont="1" applyFill="1" applyBorder="1" applyAlignment="1">
      <alignment horizontal="center"/>
    </xf>
    <xf numFmtId="0" fontId="9" fillId="19" borderId="2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9" fillId="18" borderId="2" xfId="0" applyFont="1" applyFill="1" applyBorder="1" applyAlignment="1">
      <alignment horizontal="center"/>
    </xf>
    <xf numFmtId="20" fontId="10" fillId="15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14" fontId="10" fillId="11" borderId="0" xfId="0" applyNumberFormat="1" applyFont="1" applyFill="1" applyAlignment="1">
      <alignment horizontal="center" vertical="center"/>
    </xf>
    <xf numFmtId="165" fontId="10" fillId="11" borderId="0" xfId="0" applyNumberFormat="1" applyFont="1" applyFill="1" applyAlignment="1">
      <alignment horizontal="center" vertical="center"/>
    </xf>
    <xf numFmtId="20" fontId="10" fillId="11" borderId="0" xfId="0" applyNumberFormat="1" applyFont="1" applyFill="1" applyAlignment="1">
      <alignment horizontal="center" vertical="center"/>
    </xf>
    <xf numFmtId="166" fontId="10" fillId="11" borderId="0" xfId="0" applyNumberFormat="1" applyFont="1" applyFill="1" applyAlignment="1">
      <alignment horizontal="center" vertical="center"/>
    </xf>
    <xf numFmtId="2" fontId="10" fillId="11" borderId="0" xfId="0" applyNumberFormat="1" applyFont="1" applyFill="1" applyAlignment="1">
      <alignment horizontal="center" vertical="center"/>
    </xf>
    <xf numFmtId="167" fontId="10" fillId="11" borderId="0" xfId="1" applyNumberFormat="1" applyFont="1" applyFill="1" applyBorder="1" applyAlignment="1">
      <alignment horizontal="center" vertical="center"/>
    </xf>
    <xf numFmtId="167" fontId="10" fillId="11" borderId="12" xfId="1" applyNumberFormat="1" applyFont="1" applyFill="1" applyBorder="1" applyAlignment="1">
      <alignment horizontal="center" vertical="center"/>
    </xf>
    <xf numFmtId="169" fontId="10" fillId="11" borderId="0" xfId="1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20" fontId="0" fillId="11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167" fontId="0" fillId="11" borderId="0" xfId="1" applyNumberFormat="1" applyFont="1" applyFill="1" applyBorder="1" applyAlignment="1">
      <alignment horizontal="center" vertical="center"/>
    </xf>
    <xf numFmtId="167" fontId="0" fillId="11" borderId="2" xfId="1" applyNumberFormat="1" applyFont="1" applyFill="1" applyBorder="1" applyAlignment="1">
      <alignment horizontal="center" vertical="center"/>
    </xf>
    <xf numFmtId="169" fontId="0" fillId="11" borderId="0" xfId="1" applyNumberFormat="1" applyFont="1" applyFill="1" applyBorder="1" applyAlignment="1">
      <alignment horizontal="center" vertical="center"/>
    </xf>
    <xf numFmtId="14" fontId="0" fillId="11" borderId="0" xfId="0" applyNumberFormat="1" applyFill="1"/>
    <xf numFmtId="165" fontId="0" fillId="11" borderId="0" xfId="0" applyNumberFormat="1" applyFill="1"/>
    <xf numFmtId="166" fontId="0" fillId="11" borderId="0" xfId="0" applyNumberFormat="1" applyFill="1"/>
    <xf numFmtId="2" fontId="0" fillId="11" borderId="0" xfId="0" applyNumberFormat="1" applyFill="1"/>
    <xf numFmtId="167" fontId="0" fillId="11" borderId="0" xfId="1" applyNumberFormat="1" applyFont="1" applyFill="1" applyBorder="1"/>
    <xf numFmtId="169" fontId="0" fillId="11" borderId="0" xfId="1" applyNumberFormat="1" applyFont="1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0" fontId="0" fillId="7" borderId="0" xfId="0" applyFill="1"/>
    <xf numFmtId="0" fontId="0" fillId="17" borderId="0" xfId="0" applyFill="1" applyAlignment="1">
      <alignment horizontal="center" vertical="center"/>
    </xf>
    <xf numFmtId="1" fontId="10" fillId="11" borderId="2" xfId="0" applyNumberFormat="1" applyFont="1" applyFill="1" applyBorder="1" applyAlignment="1">
      <alignment horizontal="center" vertical="center"/>
    </xf>
    <xf numFmtId="167" fontId="10" fillId="11" borderId="2" xfId="1" applyNumberFormat="1" applyFont="1" applyFill="1" applyBorder="1" applyAlignment="1">
      <alignment horizontal="center"/>
    </xf>
    <xf numFmtId="0" fontId="0" fillId="9" borderId="0" xfId="0" applyFill="1"/>
    <xf numFmtId="0" fontId="10" fillId="9" borderId="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1" fillId="9" borderId="0" xfId="0" applyFont="1" applyFill="1"/>
    <xf numFmtId="167" fontId="8" fillId="11" borderId="2" xfId="1" applyNumberFormat="1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20" fontId="10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2" fontId="10" fillId="11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center" wrapText="1"/>
    </xf>
    <xf numFmtId="0" fontId="11" fillId="11" borderId="0" xfId="0" applyFont="1" applyFill="1"/>
    <xf numFmtId="0" fontId="0" fillId="19" borderId="0" xfId="0" applyFill="1"/>
    <xf numFmtId="0" fontId="10" fillId="20" borderId="2" xfId="0" applyFont="1" applyFill="1" applyBorder="1" applyAlignment="1">
      <alignment horizontal="center" vertical="center"/>
    </xf>
    <xf numFmtId="0" fontId="11" fillId="20" borderId="0" xfId="0" applyFont="1" applyFill="1"/>
    <xf numFmtId="0" fontId="0" fillId="20" borderId="0" xfId="0" applyFill="1"/>
    <xf numFmtId="0" fontId="10" fillId="11" borderId="0" xfId="0" applyFont="1" applyFill="1"/>
    <xf numFmtId="14" fontId="15" fillId="11" borderId="0" xfId="0" applyNumberFormat="1" applyFont="1" applyFill="1" applyAlignment="1">
      <alignment vertical="center"/>
    </xf>
    <xf numFmtId="0" fontId="14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1" fontId="15" fillId="11" borderId="0" xfId="0" applyNumberFormat="1" applyFont="1" applyFill="1" applyAlignment="1">
      <alignment horizontal="center"/>
    </xf>
    <xf numFmtId="9" fontId="15" fillId="11" borderId="0" xfId="7" applyFont="1" applyFill="1" applyBorder="1" applyAlignment="1">
      <alignment horizontal="center"/>
    </xf>
    <xf numFmtId="0" fontId="14" fillId="11" borderId="0" xfId="0" applyFont="1" applyFill="1"/>
    <xf numFmtId="9" fontId="14" fillId="11" borderId="0" xfId="7" applyFont="1" applyFill="1" applyBorder="1" applyAlignment="1">
      <alignment horizontal="center"/>
    </xf>
    <xf numFmtId="0" fontId="8" fillId="11" borderId="0" xfId="0" applyFont="1" applyFill="1"/>
    <xf numFmtId="0" fontId="8" fillId="11" borderId="0" xfId="0" applyFont="1" applyFill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9" fontId="12" fillId="0" borderId="17" xfId="7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0" fontId="8" fillId="0" borderId="12" xfId="0" applyFont="1" applyBorder="1"/>
    <xf numFmtId="9" fontId="8" fillId="0" borderId="13" xfId="7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" fontId="8" fillId="0" borderId="2" xfId="0" applyNumberFormat="1" applyFont="1" applyBorder="1"/>
    <xf numFmtId="9" fontId="8" fillId="0" borderId="9" xfId="7" applyFont="1" applyBorder="1"/>
    <xf numFmtId="0" fontId="9" fillId="9" borderId="2" xfId="0" applyFont="1" applyFill="1" applyBorder="1" applyAlignment="1">
      <alignment horizontal="center"/>
    </xf>
    <xf numFmtId="0" fontId="9" fillId="21" borderId="2" xfId="0" applyFont="1" applyFill="1" applyBorder="1" applyAlignment="1">
      <alignment horizontal="center"/>
    </xf>
    <xf numFmtId="0" fontId="9" fillId="22" borderId="2" xfId="0" applyFont="1" applyFill="1" applyBorder="1" applyAlignment="1">
      <alignment horizontal="center"/>
    </xf>
    <xf numFmtId="1" fontId="8" fillId="0" borderId="0" xfId="0" applyNumberFormat="1" applyFont="1"/>
    <xf numFmtId="9" fontId="12" fillId="0" borderId="16" xfId="7" applyFont="1" applyBorder="1" applyAlignment="1">
      <alignment horizontal="center"/>
    </xf>
    <xf numFmtId="9" fontId="8" fillId="0" borderId="2" xfId="7" applyFont="1" applyBorder="1"/>
    <xf numFmtId="0" fontId="8" fillId="0" borderId="9" xfId="0" applyFont="1" applyBorder="1"/>
    <xf numFmtId="0" fontId="8" fillId="0" borderId="11" xfId="0" applyFont="1" applyBorder="1"/>
    <xf numFmtId="9" fontId="8" fillId="0" borderId="12" xfId="7" applyFont="1" applyBorder="1"/>
    <xf numFmtId="1" fontId="8" fillId="0" borderId="9" xfId="0" applyNumberFormat="1" applyFont="1" applyBorder="1"/>
    <xf numFmtId="0" fontId="12" fillId="17" borderId="16" xfId="0" applyFont="1" applyFill="1" applyBorder="1" applyAlignment="1">
      <alignment horizontal="center"/>
    </xf>
    <xf numFmtId="9" fontId="12" fillId="17" borderId="17" xfId="7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12" fillId="11" borderId="0" xfId="0" applyFont="1" applyFill="1"/>
    <xf numFmtId="9" fontId="12" fillId="11" borderId="0" xfId="7" applyFont="1" applyFill="1" applyBorder="1" applyAlignment="1">
      <alignment horizontal="center"/>
    </xf>
    <xf numFmtId="9" fontId="8" fillId="11" borderId="0" xfId="7" applyFont="1" applyFill="1" applyBorder="1"/>
    <xf numFmtId="14" fontId="8" fillId="11" borderId="0" xfId="0" applyNumberFormat="1" applyFont="1" applyFill="1" applyAlignment="1">
      <alignment vertical="center"/>
    </xf>
    <xf numFmtId="0" fontId="9" fillId="11" borderId="0" xfId="0" applyFont="1" applyFill="1" applyAlignment="1">
      <alignment horizontal="center"/>
    </xf>
    <xf numFmtId="1" fontId="8" fillId="11" borderId="0" xfId="0" applyNumberFormat="1" applyFont="1" applyFill="1" applyAlignment="1">
      <alignment horizontal="center"/>
    </xf>
    <xf numFmtId="9" fontId="8" fillId="11" borderId="0" xfId="7" applyFont="1" applyFill="1" applyBorder="1" applyAlignment="1">
      <alignment horizontal="center"/>
    </xf>
    <xf numFmtId="0" fontId="8" fillId="19" borderId="2" xfId="0" applyFont="1" applyFill="1" applyBorder="1" applyAlignment="1">
      <alignment horizontal="center"/>
    </xf>
    <xf numFmtId="14" fontId="8" fillId="11" borderId="2" xfId="0" applyNumberFormat="1" applyFont="1" applyFill="1" applyBorder="1" applyAlignment="1">
      <alignment horizontal="center"/>
    </xf>
    <xf numFmtId="167" fontId="8" fillId="23" borderId="2" xfId="1" applyNumberFormat="1" applyFont="1" applyFill="1" applyBorder="1" applyAlignment="1">
      <alignment horizontal="center"/>
    </xf>
    <xf numFmtId="1" fontId="10" fillId="12" borderId="2" xfId="0" applyNumberFormat="1" applyFont="1" applyFill="1" applyBorder="1" applyAlignment="1">
      <alignment horizontal="center"/>
    </xf>
    <xf numFmtId="1" fontId="10" fillId="0" borderId="0" xfId="0" applyNumberFormat="1" applyFont="1"/>
    <xf numFmtId="166" fontId="10" fillId="16" borderId="0" xfId="0" applyNumberFormat="1" applyFont="1" applyFill="1" applyAlignment="1">
      <alignment horizontal="center"/>
    </xf>
    <xf numFmtId="1" fontId="10" fillId="16" borderId="0" xfId="0" applyNumberFormat="1" applyFont="1" applyFill="1" applyAlignment="1">
      <alignment horizontal="center"/>
    </xf>
    <xf numFmtId="1" fontId="10" fillId="2" borderId="2" xfId="0" applyNumberFormat="1" applyFont="1" applyFill="1" applyBorder="1" applyAlignment="1">
      <alignment horizontal="center" vertical="center"/>
    </xf>
    <xf numFmtId="1" fontId="10" fillId="16" borderId="1" xfId="0" applyNumberFormat="1" applyFont="1" applyFill="1" applyBorder="1" applyAlignment="1">
      <alignment horizontal="center"/>
    </xf>
    <xf numFmtId="168" fontId="0" fillId="11" borderId="0" xfId="2" applyNumberFormat="1" applyFont="1" applyFill="1" applyBorder="1" applyAlignment="1">
      <alignment horizontal="center"/>
    </xf>
    <xf numFmtId="14" fontId="0" fillId="11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20" fontId="0" fillId="11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20" fontId="9" fillId="0" borderId="2" xfId="0" applyNumberFormat="1" applyFont="1" applyBorder="1" applyAlignment="1">
      <alignment horizontal="center"/>
    </xf>
    <xf numFmtId="0" fontId="0" fillId="19" borderId="0" xfId="0" applyFill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166" fontId="12" fillId="11" borderId="2" xfId="0" applyNumberFormat="1" applyFont="1" applyFill="1" applyBorder="1" applyAlignment="1">
      <alignment horizontal="center" vertical="center"/>
    </xf>
    <xf numFmtId="20" fontId="10" fillId="11" borderId="2" xfId="0" applyNumberFormat="1" applyFont="1" applyFill="1" applyBorder="1" applyAlignment="1">
      <alignment horizontal="center"/>
    </xf>
    <xf numFmtId="167" fontId="8" fillId="24" borderId="2" xfId="1" applyNumberFormat="1" applyFont="1" applyFill="1" applyBorder="1" applyAlignment="1">
      <alignment horizontal="center"/>
    </xf>
    <xf numFmtId="41" fontId="10" fillId="11" borderId="2" xfId="5" applyFont="1" applyFill="1" applyBorder="1" applyAlignment="1">
      <alignment horizontal="center"/>
    </xf>
    <xf numFmtId="41" fontId="10" fillId="11" borderId="2" xfId="0" applyNumberFormat="1" applyFont="1" applyFill="1" applyBorder="1" applyAlignment="1">
      <alignment horizontal="center"/>
    </xf>
    <xf numFmtId="41" fontId="10" fillId="0" borderId="2" xfId="2" applyFont="1" applyBorder="1" applyAlignment="1">
      <alignment horizontal="center"/>
    </xf>
    <xf numFmtId="41" fontId="10" fillId="11" borderId="2" xfId="2" applyFont="1" applyFill="1" applyBorder="1" applyAlignment="1">
      <alignment horizontal="center"/>
    </xf>
    <xf numFmtId="41" fontId="10" fillId="0" borderId="2" xfId="2" applyFont="1" applyFill="1" applyBorder="1" applyAlignment="1">
      <alignment horizontal="center"/>
    </xf>
    <xf numFmtId="41" fontId="10" fillId="0" borderId="2" xfId="6" applyFont="1" applyFill="1" applyBorder="1" applyAlignment="1">
      <alignment horizontal="center"/>
    </xf>
    <xf numFmtId="41" fontId="10" fillId="7" borderId="2" xfId="2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 vertical="center"/>
    </xf>
    <xf numFmtId="1" fontId="8" fillId="11" borderId="2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170" fontId="10" fillId="2" borderId="2" xfId="0" applyNumberFormat="1" applyFont="1" applyFill="1" applyBorder="1" applyAlignment="1">
      <alignment horizontal="center"/>
    </xf>
    <xf numFmtId="1" fontId="10" fillId="2" borderId="2" xfId="0" applyNumberFormat="1" applyFont="1" applyFill="1" applyBorder="1" applyAlignment="1">
      <alignment horizontal="center"/>
    </xf>
    <xf numFmtId="1" fontId="10" fillId="0" borderId="2" xfId="1" applyNumberFormat="1" applyFont="1" applyFill="1" applyBorder="1" applyAlignment="1">
      <alignment horizontal="center"/>
    </xf>
    <xf numFmtId="1" fontId="10" fillId="11" borderId="2" xfId="1" applyNumberFormat="1" applyFont="1" applyFill="1" applyBorder="1" applyAlignment="1">
      <alignment horizontal="center"/>
    </xf>
    <xf numFmtId="1" fontId="10" fillId="0" borderId="2" xfId="1" applyNumberFormat="1" applyFont="1" applyBorder="1" applyAlignment="1">
      <alignment horizontal="center"/>
    </xf>
    <xf numFmtId="14" fontId="10" fillId="11" borderId="2" xfId="0" applyNumberFormat="1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8" xfId="0" applyFont="1" applyBorder="1"/>
    <xf numFmtId="14" fontId="10" fillId="0" borderId="2" xfId="0" applyNumberFormat="1" applyFont="1" applyBorder="1" applyAlignment="1">
      <alignment horizontal="center"/>
    </xf>
    <xf numFmtId="167" fontId="10" fillId="0" borderId="2" xfId="1" applyNumberFormat="1" applyFont="1" applyFill="1" applyBorder="1" applyAlignment="1">
      <alignment horizontal="center"/>
    </xf>
    <xf numFmtId="20" fontId="10" fillId="11" borderId="2" xfId="2" applyNumberFormat="1" applyFont="1" applyFill="1" applyBorder="1" applyAlignment="1">
      <alignment horizontal="center"/>
    </xf>
    <xf numFmtId="166" fontId="10" fillId="2" borderId="2" xfId="0" applyNumberFormat="1" applyFont="1" applyFill="1" applyBorder="1" applyAlignment="1">
      <alignment horizontal="center"/>
    </xf>
    <xf numFmtId="167" fontId="11" fillId="14" borderId="2" xfId="4" applyNumberFormat="1" applyFont="1" applyFill="1" applyBorder="1"/>
    <xf numFmtId="167" fontId="11" fillId="0" borderId="2" xfId="4" applyNumberFormat="1" applyFont="1" applyFill="1" applyBorder="1"/>
    <xf numFmtId="167" fontId="10" fillId="13" borderId="2" xfId="4" applyNumberFormat="1" applyFont="1" applyFill="1" applyBorder="1" applyAlignment="1">
      <alignment horizontal="center" vertical="center"/>
    </xf>
    <xf numFmtId="167" fontId="10" fillId="11" borderId="2" xfId="4" applyNumberFormat="1" applyFont="1" applyFill="1" applyBorder="1" applyAlignment="1">
      <alignment horizontal="center" vertical="center"/>
    </xf>
    <xf numFmtId="167" fontId="10" fillId="20" borderId="2" xfId="4" applyNumberFormat="1" applyFont="1" applyFill="1" applyBorder="1" applyAlignment="1">
      <alignment horizontal="center" vertical="center"/>
    </xf>
    <xf numFmtId="167" fontId="11" fillId="20" borderId="2" xfId="4" applyNumberFormat="1" applyFont="1" applyFill="1" applyBorder="1"/>
    <xf numFmtId="167" fontId="8" fillId="11" borderId="2" xfId="4" applyNumberFormat="1" applyFont="1" applyFill="1" applyBorder="1" applyAlignment="1">
      <alignment horizontal="center" vertical="center"/>
    </xf>
    <xf numFmtId="167" fontId="8" fillId="13" borderId="2" xfId="4" applyNumberFormat="1" applyFont="1" applyFill="1" applyBorder="1" applyAlignment="1">
      <alignment horizontal="center" vertical="center"/>
    </xf>
    <xf numFmtId="167" fontId="11" fillId="11" borderId="2" xfId="4" applyNumberFormat="1" applyFont="1" applyFill="1" applyBorder="1"/>
    <xf numFmtId="167" fontId="10" fillId="24" borderId="2" xfId="4" applyNumberFormat="1" applyFont="1" applyFill="1" applyBorder="1" applyAlignment="1">
      <alignment horizontal="center" vertical="center"/>
    </xf>
    <xf numFmtId="167" fontId="0" fillId="14" borderId="2" xfId="4" applyNumberFormat="1" applyFont="1" applyFill="1" applyBorder="1"/>
    <xf numFmtId="167" fontId="0" fillId="0" borderId="2" xfId="4" applyNumberFormat="1" applyFont="1" applyFill="1" applyBorder="1"/>
    <xf numFmtId="167" fontId="11" fillId="9" borderId="2" xfId="4" applyNumberFormat="1" applyFont="1" applyFill="1" applyBorder="1"/>
    <xf numFmtId="166" fontId="10" fillId="2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20" borderId="0" xfId="0" applyFont="1" applyFill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9" fillId="2" borderId="2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7" fillId="18" borderId="4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2" fillId="4" borderId="9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2" fillId="11" borderId="0" xfId="0" applyFont="1" applyFill="1" applyAlignment="1">
      <alignment horizontal="center"/>
    </xf>
  </cellXfs>
  <cellStyles count="8">
    <cellStyle name="Millares" xfId="1" builtinId="3"/>
    <cellStyle name="Millares [0]" xfId="2" builtinId="6"/>
    <cellStyle name="Millares [0] 2" xfId="5" xr:uid="{43FC4312-3D9F-496C-B447-3A461B9E07BD}"/>
    <cellStyle name="Millares [0] 3" xfId="6" xr:uid="{D754DB27-A0AF-4A42-857A-0D9A9F60AEBD}"/>
    <cellStyle name="Millares 2" xfId="4" xr:uid="{00000000-0005-0000-0000-000002000000}"/>
    <cellStyle name="Normal" xfId="0" builtinId="0"/>
    <cellStyle name="Normal 2" xfId="3" xr:uid="{00000000-0005-0000-0000-000004000000}"/>
    <cellStyle name="Porcentaje" xfId="7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</sheetPr>
  <dimension ref="A1:GJ1048576"/>
  <sheetViews>
    <sheetView topLeftCell="O58" zoomScale="110" zoomScaleNormal="110" workbookViewId="0">
      <selection activeCell="P60" sqref="P60"/>
    </sheetView>
  </sheetViews>
  <sheetFormatPr baseColWidth="10" defaultRowHeight="14.5" x14ac:dyDescent="0.35"/>
  <cols>
    <col min="1" max="1" width="16.54296875" style="15" customWidth="1"/>
    <col min="2" max="3" width="17.7265625" style="34" customWidth="1"/>
    <col min="4" max="4" width="55" style="31" customWidth="1"/>
    <col min="5" max="5" width="24.453125" style="35" customWidth="1"/>
    <col min="6" max="6" width="18.26953125" style="32" customWidth="1"/>
    <col min="7" max="7" width="15.7265625" style="33" customWidth="1"/>
    <col min="8" max="8" width="16.7265625" style="39" customWidth="1"/>
    <col min="9" max="9" width="16.1796875" style="34" customWidth="1"/>
    <col min="10" max="10" width="16.26953125" style="34" customWidth="1"/>
    <col min="11" max="11" width="17.1796875" style="25" customWidth="1"/>
    <col min="12" max="12" width="19.1796875" style="34" customWidth="1"/>
    <col min="13" max="13" width="14.81640625" style="34" customWidth="1"/>
    <col min="14" max="14" width="22.81640625" style="34" customWidth="1"/>
    <col min="15" max="15" width="27.26953125" style="2" customWidth="1"/>
    <col min="16" max="16" width="104.7265625" style="2" customWidth="1"/>
  </cols>
  <sheetData>
    <row r="1" spans="1:23" ht="15.5" x14ac:dyDescent="0.35">
      <c r="A1" s="356" t="s">
        <v>8</v>
      </c>
      <c r="B1" s="356"/>
      <c r="C1" s="356"/>
      <c r="D1" s="356"/>
      <c r="E1" s="362" t="s">
        <v>26</v>
      </c>
      <c r="F1" s="362"/>
      <c r="G1" s="362"/>
      <c r="H1" s="38"/>
      <c r="I1" s="15"/>
      <c r="J1" s="15"/>
      <c r="K1" s="19"/>
      <c r="L1" s="15"/>
      <c r="M1" s="15"/>
      <c r="N1" s="15"/>
      <c r="O1"/>
      <c r="P1"/>
    </row>
    <row r="2" spans="1:23" ht="15.5" x14ac:dyDescent="0.35">
      <c r="A2" s="356" t="s">
        <v>0</v>
      </c>
      <c r="B2" s="356"/>
      <c r="C2" s="356"/>
      <c r="D2" s="356"/>
      <c r="E2" s="362"/>
      <c r="F2" s="362"/>
      <c r="G2" s="362"/>
      <c r="H2" s="38"/>
      <c r="I2" s="15"/>
      <c r="J2" s="15"/>
      <c r="K2" s="19"/>
      <c r="L2" s="15"/>
      <c r="M2" s="15"/>
      <c r="N2" s="15"/>
      <c r="O2"/>
      <c r="P2"/>
    </row>
    <row r="3" spans="1:23" ht="15.5" x14ac:dyDescent="0.35">
      <c r="A3" s="359" t="s">
        <v>9</v>
      </c>
      <c r="B3" s="359"/>
      <c r="C3" s="359"/>
      <c r="D3" s="359"/>
      <c r="E3" s="363"/>
      <c r="F3" s="363"/>
      <c r="G3" s="363"/>
      <c r="H3" s="38"/>
      <c r="I3" s="15"/>
      <c r="J3" s="15"/>
      <c r="K3" s="19"/>
      <c r="L3" s="15"/>
      <c r="M3" s="15"/>
      <c r="N3" s="15"/>
      <c r="O3"/>
      <c r="P3"/>
    </row>
    <row r="4" spans="1:23" ht="15.5" x14ac:dyDescent="0.35">
      <c r="A4" s="105"/>
      <c r="B4" s="360" t="s">
        <v>10</v>
      </c>
      <c r="C4" s="360"/>
      <c r="D4" s="360"/>
      <c r="E4" s="361" t="s">
        <v>12</v>
      </c>
      <c r="F4" s="361"/>
      <c r="G4" s="361"/>
      <c r="H4" s="354" t="s">
        <v>13</v>
      </c>
      <c r="I4" s="354"/>
      <c r="J4" s="354"/>
      <c r="K4" s="354"/>
      <c r="L4" s="354"/>
      <c r="M4" s="354"/>
      <c r="N4" s="354"/>
      <c r="O4" s="355" t="s">
        <v>21</v>
      </c>
      <c r="P4" s="355"/>
    </row>
    <row r="5" spans="1:23" ht="15.5" x14ac:dyDescent="0.35">
      <c r="A5" s="105" t="s">
        <v>1</v>
      </c>
      <c r="B5" s="106" t="s">
        <v>87</v>
      </c>
      <c r="C5" s="106" t="s">
        <v>3</v>
      </c>
      <c r="D5" s="170" t="s">
        <v>11</v>
      </c>
      <c r="E5" s="171" t="s">
        <v>4</v>
      </c>
      <c r="F5" s="172" t="s">
        <v>5</v>
      </c>
      <c r="G5" s="173" t="s">
        <v>6</v>
      </c>
      <c r="H5" s="174" t="s">
        <v>14</v>
      </c>
      <c r="I5" s="106" t="s">
        <v>15</v>
      </c>
      <c r="J5" s="106" t="s">
        <v>16</v>
      </c>
      <c r="K5" s="92" t="s">
        <v>17</v>
      </c>
      <c r="L5" s="106" t="s">
        <v>18</v>
      </c>
      <c r="M5" s="105" t="s">
        <v>19</v>
      </c>
      <c r="N5" s="105" t="s">
        <v>23</v>
      </c>
      <c r="O5" s="105" t="s">
        <v>22</v>
      </c>
      <c r="P5" s="105" t="s">
        <v>7</v>
      </c>
    </row>
    <row r="6" spans="1:23" ht="15.5" x14ac:dyDescent="0.35">
      <c r="A6" s="71"/>
      <c r="B6" s="175"/>
      <c r="C6" s="175"/>
      <c r="D6" s="170"/>
      <c r="E6" s="176"/>
      <c r="F6" s="172"/>
      <c r="G6" s="177"/>
      <c r="H6" s="131">
        <v>1.5</v>
      </c>
      <c r="I6" s="131">
        <v>3</v>
      </c>
      <c r="J6" s="131">
        <v>7</v>
      </c>
      <c r="K6" s="178">
        <v>15</v>
      </c>
      <c r="L6" s="131">
        <v>25</v>
      </c>
      <c r="M6" s="165"/>
      <c r="N6" s="165" t="s">
        <v>24</v>
      </c>
      <c r="O6" s="105"/>
      <c r="P6" s="105"/>
      <c r="V6" t="s">
        <v>221</v>
      </c>
    </row>
    <row r="7" spans="1:23" ht="15.5" x14ac:dyDescent="0.35">
      <c r="A7" s="103">
        <v>46082</v>
      </c>
      <c r="B7" s="79">
        <v>0.26180555555555557</v>
      </c>
      <c r="C7" s="79">
        <v>0.74583333333333335</v>
      </c>
      <c r="D7" s="111">
        <f>1+C7-B7</f>
        <v>1.4840277777777777</v>
      </c>
      <c r="E7" s="322">
        <v>1674091</v>
      </c>
      <c r="F7" s="318">
        <v>1675172</v>
      </c>
      <c r="G7" s="328">
        <f>(F7-E7)/100</f>
        <v>10.81</v>
      </c>
      <c r="H7" s="112"/>
      <c r="I7" s="112"/>
      <c r="J7" s="112"/>
      <c r="K7" s="231">
        <v>128</v>
      </c>
      <c r="L7" s="112"/>
      <c r="M7" s="96">
        <f>+(($H$6*H7)+($I$6*I7)+($J$6*J7)+($K$6*K7)+($L$6*L7))</f>
        <v>1920</v>
      </c>
      <c r="N7" s="96">
        <f t="shared" ref="N7:N60" si="0">M7/G7</f>
        <v>177.61332099907492</v>
      </c>
      <c r="O7" s="107" t="s">
        <v>170</v>
      </c>
      <c r="P7" s="43"/>
      <c r="V7" t="s">
        <v>222</v>
      </c>
      <c r="W7" s="1">
        <v>46093</v>
      </c>
    </row>
    <row r="8" spans="1:23" ht="15.5" x14ac:dyDescent="0.35">
      <c r="A8" s="103">
        <v>46082</v>
      </c>
      <c r="B8" s="79">
        <v>0.77638888888888891</v>
      </c>
      <c r="C8" s="79">
        <v>0.23749999999999999</v>
      </c>
      <c r="D8" s="111">
        <f t="shared" ref="D7:D15" si="1">1+C8-B8</f>
        <v>0.46111111111111114</v>
      </c>
      <c r="E8" s="322">
        <f t="shared" ref="E8:E71" si="2">F7</f>
        <v>1675172</v>
      </c>
      <c r="F8" s="318">
        <v>1676369</v>
      </c>
      <c r="G8" s="328">
        <f t="shared" ref="G8:G71" si="3">(F8-E8)/100</f>
        <v>11.97</v>
      </c>
      <c r="H8" s="112"/>
      <c r="I8" s="112">
        <v>142</v>
      </c>
      <c r="J8" s="112"/>
      <c r="K8" s="231">
        <v>98</v>
      </c>
      <c r="L8" s="112">
        <v>3</v>
      </c>
      <c r="M8" s="96">
        <f t="shared" ref="M7:M53" si="4">+(($H$6*H8)+($I$6*I8)+($J$6*J8)+($K$6*K8)+($L$6*L8))</f>
        <v>1971</v>
      </c>
      <c r="N8" s="96">
        <f t="shared" si="0"/>
        <v>164.66165413533832</v>
      </c>
      <c r="O8" s="336" t="s">
        <v>164</v>
      </c>
      <c r="P8" s="57"/>
    </row>
    <row r="9" spans="1:23" ht="15.5" x14ac:dyDescent="0.35">
      <c r="A9" s="103">
        <v>46083</v>
      </c>
      <c r="B9" s="79">
        <v>0.25694444444444442</v>
      </c>
      <c r="C9" s="79">
        <v>0.5708333333333333</v>
      </c>
      <c r="D9" s="111">
        <f t="shared" si="1"/>
        <v>1.3138888888888889</v>
      </c>
      <c r="E9" s="322">
        <f t="shared" si="2"/>
        <v>1676369</v>
      </c>
      <c r="F9" s="318">
        <v>1677141</v>
      </c>
      <c r="G9" s="328">
        <v>8</v>
      </c>
      <c r="H9" s="112"/>
      <c r="I9" s="112">
        <v>134</v>
      </c>
      <c r="J9" s="112">
        <v>63</v>
      </c>
      <c r="K9" s="231">
        <v>40</v>
      </c>
      <c r="L9" s="112"/>
      <c r="M9" s="96">
        <f t="shared" si="4"/>
        <v>1443</v>
      </c>
      <c r="N9" s="96">
        <f t="shared" si="0"/>
        <v>180.375</v>
      </c>
      <c r="O9" s="336" t="s">
        <v>168</v>
      </c>
      <c r="P9" s="43"/>
    </row>
    <row r="10" spans="1:23" ht="15.5" x14ac:dyDescent="0.35">
      <c r="A10" s="103">
        <v>46083</v>
      </c>
      <c r="B10" s="79">
        <v>0.60277777777777775</v>
      </c>
      <c r="C10" s="79">
        <v>0.73819444444444449</v>
      </c>
      <c r="D10" s="111">
        <f t="shared" si="1"/>
        <v>1.1354166666666665</v>
      </c>
      <c r="E10" s="322">
        <f t="shared" si="2"/>
        <v>1677141</v>
      </c>
      <c r="F10" s="318">
        <v>1677529</v>
      </c>
      <c r="G10" s="328">
        <f t="shared" si="3"/>
        <v>3.88</v>
      </c>
      <c r="H10" s="112">
        <v>34</v>
      </c>
      <c r="I10" s="112">
        <v>108</v>
      </c>
      <c r="J10" s="112">
        <v>17</v>
      </c>
      <c r="K10" s="231">
        <v>9</v>
      </c>
      <c r="L10" s="112"/>
      <c r="M10" s="96">
        <f t="shared" si="4"/>
        <v>629</v>
      </c>
      <c r="N10" s="96">
        <f t="shared" si="0"/>
        <v>162.11340206185568</v>
      </c>
      <c r="O10" s="107" t="s">
        <v>171</v>
      </c>
      <c r="P10" s="43"/>
    </row>
    <row r="11" spans="1:23" ht="15.5" x14ac:dyDescent="0.35">
      <c r="A11" s="103">
        <v>46083</v>
      </c>
      <c r="B11" s="79">
        <v>0.75902777777777775</v>
      </c>
      <c r="C11" s="79">
        <v>0.91180555555555554</v>
      </c>
      <c r="D11" s="111">
        <f t="shared" si="1"/>
        <v>1.1527777777777777</v>
      </c>
      <c r="E11" s="322">
        <f t="shared" si="2"/>
        <v>1677529</v>
      </c>
      <c r="F11" s="318">
        <v>1677928</v>
      </c>
      <c r="G11" s="328">
        <f t="shared" si="3"/>
        <v>3.99</v>
      </c>
      <c r="H11" s="112"/>
      <c r="I11" s="112">
        <v>126</v>
      </c>
      <c r="J11" s="112">
        <v>19</v>
      </c>
      <c r="K11" s="231"/>
      <c r="L11" s="112"/>
      <c r="M11" s="96">
        <f t="shared" si="4"/>
        <v>511</v>
      </c>
      <c r="N11" s="96">
        <f t="shared" si="0"/>
        <v>128.07017543859649</v>
      </c>
      <c r="O11" s="107" t="s">
        <v>201</v>
      </c>
      <c r="P11" s="43"/>
    </row>
    <row r="12" spans="1:23" ht="15.5" x14ac:dyDescent="0.35">
      <c r="A12" s="103">
        <v>46083</v>
      </c>
      <c r="B12" s="79">
        <v>0.92847222222222225</v>
      </c>
      <c r="C12" s="79">
        <v>0.24652777777777779</v>
      </c>
      <c r="D12" s="111">
        <f t="shared" si="1"/>
        <v>0.31805555555555542</v>
      </c>
      <c r="E12" s="322">
        <f t="shared" si="2"/>
        <v>1677928</v>
      </c>
      <c r="F12" s="318">
        <v>1678738</v>
      </c>
      <c r="G12" s="328">
        <f t="shared" si="3"/>
        <v>8.1</v>
      </c>
      <c r="H12" s="112"/>
      <c r="I12" s="112">
        <v>139</v>
      </c>
      <c r="J12" s="112"/>
      <c r="K12" s="231">
        <v>69</v>
      </c>
      <c r="L12" s="112"/>
      <c r="M12" s="96">
        <f>+(($H$6*H12)+($I$6*I12)+($J$6*J12)+($K$6*K12)+(L6*L12))</f>
        <v>1452</v>
      </c>
      <c r="N12" s="96">
        <f t="shared" si="0"/>
        <v>179.25925925925927</v>
      </c>
      <c r="O12" s="336" t="s">
        <v>168</v>
      </c>
      <c r="P12" s="43"/>
    </row>
    <row r="13" spans="1:23" ht="15.5" x14ac:dyDescent="0.35">
      <c r="A13" s="103">
        <v>46084</v>
      </c>
      <c r="B13" s="79">
        <v>0.25694444444444442</v>
      </c>
      <c r="C13" s="79">
        <v>0.58125000000000004</v>
      </c>
      <c r="D13" s="111">
        <f t="shared" si="1"/>
        <v>1.3243055555555556</v>
      </c>
      <c r="E13" s="322">
        <f t="shared" si="2"/>
        <v>1678738</v>
      </c>
      <c r="F13" s="318">
        <v>1679480</v>
      </c>
      <c r="G13" s="328">
        <v>7</v>
      </c>
      <c r="H13" s="112"/>
      <c r="I13" s="112"/>
      <c r="J13" s="112"/>
      <c r="K13" s="231">
        <v>90</v>
      </c>
      <c r="L13" s="112"/>
      <c r="M13" s="96">
        <f>+(($H$6*H13)+($I$6*I13)+($J$6*J13)+($K$6*K13)+(13*L13))</f>
        <v>1350</v>
      </c>
      <c r="N13" s="96">
        <f t="shared" si="0"/>
        <v>192.85714285714286</v>
      </c>
      <c r="O13" s="107" t="s">
        <v>173</v>
      </c>
      <c r="P13" s="43"/>
    </row>
    <row r="14" spans="1:23" ht="15.5" x14ac:dyDescent="0.35">
      <c r="A14" s="103">
        <v>46084</v>
      </c>
      <c r="B14" s="79">
        <v>0.60763888888888884</v>
      </c>
      <c r="C14" s="79">
        <v>0.76458333333333328</v>
      </c>
      <c r="D14" s="111">
        <f t="shared" si="1"/>
        <v>1.1569444444444446</v>
      </c>
      <c r="E14" s="322">
        <f t="shared" si="2"/>
        <v>1679480</v>
      </c>
      <c r="F14" s="318">
        <v>1679907</v>
      </c>
      <c r="G14" s="328">
        <f t="shared" si="3"/>
        <v>4.2699999999999996</v>
      </c>
      <c r="H14" s="112"/>
      <c r="I14" s="112"/>
      <c r="J14" s="112"/>
      <c r="K14" s="231">
        <v>55</v>
      </c>
      <c r="L14" s="112"/>
      <c r="M14" s="96">
        <f t="shared" si="4"/>
        <v>825</v>
      </c>
      <c r="N14" s="96">
        <f t="shared" si="0"/>
        <v>193.20843091334896</v>
      </c>
      <c r="O14" s="336" t="s">
        <v>170</v>
      </c>
      <c r="P14" s="43"/>
    </row>
    <row r="15" spans="1:23" ht="15.5" x14ac:dyDescent="0.35">
      <c r="A15" s="103">
        <v>46084</v>
      </c>
      <c r="B15" s="79">
        <v>0.7993055555555556</v>
      </c>
      <c r="C15" s="79">
        <v>0.90763888888888888</v>
      </c>
      <c r="D15" s="111">
        <f t="shared" si="1"/>
        <v>1.1083333333333334</v>
      </c>
      <c r="E15" s="322">
        <f t="shared" si="2"/>
        <v>1679907</v>
      </c>
      <c r="F15" s="318">
        <v>1680270</v>
      </c>
      <c r="G15" s="328">
        <f t="shared" si="3"/>
        <v>3.63</v>
      </c>
      <c r="H15" s="112"/>
      <c r="I15" s="112"/>
      <c r="J15" s="112"/>
      <c r="K15" s="231">
        <v>12</v>
      </c>
      <c r="L15" s="112">
        <v>18</v>
      </c>
      <c r="M15" s="96">
        <f t="shared" si="4"/>
        <v>630</v>
      </c>
      <c r="N15" s="96">
        <f t="shared" si="0"/>
        <v>173.55371900826447</v>
      </c>
      <c r="O15" s="107" t="s">
        <v>170</v>
      </c>
      <c r="P15" s="43"/>
    </row>
    <row r="16" spans="1:23" ht="15.5" x14ac:dyDescent="0.35">
      <c r="A16" s="103">
        <v>46084</v>
      </c>
      <c r="B16" s="79">
        <v>0.92152777777777772</v>
      </c>
      <c r="C16" s="79">
        <v>0.24374999999999999</v>
      </c>
      <c r="D16" s="111">
        <f>1+C16-B16</f>
        <v>0.32222222222222219</v>
      </c>
      <c r="E16" s="322">
        <f t="shared" si="2"/>
        <v>1680270</v>
      </c>
      <c r="F16" s="318">
        <v>1681060</v>
      </c>
      <c r="G16" s="328">
        <f>(F16-E16)/100</f>
        <v>7.9</v>
      </c>
      <c r="H16" s="112"/>
      <c r="I16" s="112">
        <v>141</v>
      </c>
      <c r="J16" s="112"/>
      <c r="K16" s="231">
        <v>43</v>
      </c>
      <c r="L16" s="112">
        <v>18</v>
      </c>
      <c r="M16" s="96">
        <f>+(($H$6*H16)+($I$6*I16)+($J$6*J16)+($K$6*K16)+($L$6*L16))</f>
        <v>1518</v>
      </c>
      <c r="N16" s="96">
        <f>M16/G16</f>
        <v>192.15189873417719</v>
      </c>
      <c r="O16" s="336" t="s">
        <v>175</v>
      </c>
      <c r="P16" s="43"/>
    </row>
    <row r="17" spans="1:16" ht="15.5" x14ac:dyDescent="0.35">
      <c r="A17" s="103">
        <v>46085</v>
      </c>
      <c r="B17" s="79">
        <v>0.25833333333333336</v>
      </c>
      <c r="C17" s="79">
        <v>0.57986111111111116</v>
      </c>
      <c r="D17" s="111">
        <f>1+C17-B17</f>
        <v>1.3215277777777779</v>
      </c>
      <c r="E17" s="322">
        <f t="shared" si="2"/>
        <v>1681060</v>
      </c>
      <c r="F17" s="318">
        <v>1681858</v>
      </c>
      <c r="G17" s="328">
        <f>(F17-E17)/100</f>
        <v>7.98</v>
      </c>
      <c r="H17" s="112"/>
      <c r="I17" s="112">
        <v>146</v>
      </c>
      <c r="J17" s="112"/>
      <c r="K17" s="231">
        <v>63</v>
      </c>
      <c r="L17" s="112"/>
      <c r="M17" s="96">
        <f>+(($H$6*H17)+($I$6*I17)+($J$6*J17)+($K$6*K17)+($L$6*L17))</f>
        <v>1383</v>
      </c>
      <c r="N17" s="96">
        <f>M17/G17</f>
        <v>173.30827067669173</v>
      </c>
      <c r="O17" s="107" t="s">
        <v>173</v>
      </c>
      <c r="P17" s="43"/>
    </row>
    <row r="18" spans="1:16" ht="15.5" x14ac:dyDescent="0.35">
      <c r="A18" s="103">
        <v>46085</v>
      </c>
      <c r="B18" s="79">
        <v>0.59375</v>
      </c>
      <c r="C18" s="79">
        <v>0.74305555555555558</v>
      </c>
      <c r="D18" s="111">
        <f t="shared" ref="D18:D81" si="5">1+C18-B18</f>
        <v>1.1493055555555556</v>
      </c>
      <c r="E18" s="322">
        <f t="shared" si="2"/>
        <v>1681858</v>
      </c>
      <c r="F18" s="318">
        <v>1682245</v>
      </c>
      <c r="G18" s="328">
        <f t="shared" si="3"/>
        <v>3.87</v>
      </c>
      <c r="H18" s="112"/>
      <c r="I18" s="112">
        <v>119</v>
      </c>
      <c r="J18" s="112"/>
      <c r="K18" s="231">
        <v>20</v>
      </c>
      <c r="L18" s="112"/>
      <c r="M18" s="96">
        <f t="shared" si="4"/>
        <v>657</v>
      </c>
      <c r="N18" s="96">
        <f t="shared" si="0"/>
        <v>169.76744186046511</v>
      </c>
      <c r="O18" s="336" t="s">
        <v>171</v>
      </c>
      <c r="P18" s="43"/>
    </row>
    <row r="19" spans="1:16" ht="15.5" x14ac:dyDescent="0.35">
      <c r="A19" s="103">
        <v>46085</v>
      </c>
      <c r="B19" s="79">
        <v>0.76041666666666663</v>
      </c>
      <c r="C19" s="79">
        <v>0.90972222222222221</v>
      </c>
      <c r="D19" s="111">
        <f t="shared" si="5"/>
        <v>1.1493055555555558</v>
      </c>
      <c r="E19" s="322">
        <f t="shared" si="2"/>
        <v>1682245</v>
      </c>
      <c r="F19" s="318">
        <v>1682675</v>
      </c>
      <c r="G19" s="328">
        <f t="shared" si="3"/>
        <v>4.3</v>
      </c>
      <c r="H19" s="112"/>
      <c r="I19" s="112">
        <v>18</v>
      </c>
      <c r="J19" s="112">
        <v>32</v>
      </c>
      <c r="K19" s="231">
        <v>19</v>
      </c>
      <c r="L19" s="112"/>
      <c r="M19" s="96">
        <f t="shared" si="4"/>
        <v>563</v>
      </c>
      <c r="N19" s="96">
        <f t="shared" si="0"/>
        <v>130.93023255813955</v>
      </c>
      <c r="O19" s="336" t="s">
        <v>171</v>
      </c>
      <c r="P19" s="43"/>
    </row>
    <row r="20" spans="1:16" ht="15.5" x14ac:dyDescent="0.35">
      <c r="A20" s="103">
        <v>46085</v>
      </c>
      <c r="B20" s="79">
        <v>0.95138888888888884</v>
      </c>
      <c r="C20" s="79">
        <v>0.24583333333333332</v>
      </c>
      <c r="D20" s="111">
        <f t="shared" si="5"/>
        <v>0.29444444444444451</v>
      </c>
      <c r="E20" s="322">
        <f t="shared" si="2"/>
        <v>1682675</v>
      </c>
      <c r="F20" s="318">
        <v>1683370</v>
      </c>
      <c r="G20" s="328">
        <f t="shared" si="3"/>
        <v>6.95</v>
      </c>
      <c r="H20" s="112"/>
      <c r="I20" s="112"/>
      <c r="J20" s="112">
        <v>99</v>
      </c>
      <c r="K20" s="231">
        <v>43</v>
      </c>
      <c r="L20" s="112"/>
      <c r="M20" s="96">
        <f>+(($H$6*H20)+($I$6*I20)+($J$6*J20)+($K$6*K20)+(13*L20))</f>
        <v>1338</v>
      </c>
      <c r="N20" s="96">
        <f t="shared" si="0"/>
        <v>192.5179856115108</v>
      </c>
      <c r="O20" s="336" t="s">
        <v>175</v>
      </c>
      <c r="P20" s="43"/>
    </row>
    <row r="21" spans="1:16" ht="15.5" x14ac:dyDescent="0.35">
      <c r="A21" s="103">
        <v>46086</v>
      </c>
      <c r="B21" s="79">
        <v>0.27083333333333331</v>
      </c>
      <c r="C21" s="79">
        <v>0.57638888888888884</v>
      </c>
      <c r="D21" s="111">
        <f t="shared" si="5"/>
        <v>1.3055555555555556</v>
      </c>
      <c r="E21" s="322">
        <f t="shared" si="2"/>
        <v>1683370</v>
      </c>
      <c r="F21" s="318">
        <v>1684158</v>
      </c>
      <c r="G21" s="328">
        <f t="shared" si="3"/>
        <v>7.88</v>
      </c>
      <c r="H21" s="112">
        <v>30</v>
      </c>
      <c r="I21" s="112"/>
      <c r="J21" s="112">
        <v>94</v>
      </c>
      <c r="K21" s="231">
        <v>36</v>
      </c>
      <c r="L21" s="112"/>
      <c r="M21" s="96">
        <f t="shared" si="4"/>
        <v>1243</v>
      </c>
      <c r="N21" s="96">
        <f t="shared" si="0"/>
        <v>157.74111675126903</v>
      </c>
      <c r="O21" s="107" t="s">
        <v>179</v>
      </c>
      <c r="P21" s="43" t="s">
        <v>182</v>
      </c>
    </row>
    <row r="22" spans="1:16" ht="15.5" x14ac:dyDescent="0.35">
      <c r="A22" s="103">
        <v>46086</v>
      </c>
      <c r="B22" s="79">
        <v>0.59027777777777779</v>
      </c>
      <c r="C22" s="79">
        <v>0.7416666666666667</v>
      </c>
      <c r="D22" s="111">
        <f t="shared" si="5"/>
        <v>1.151388888888889</v>
      </c>
      <c r="E22" s="322">
        <f t="shared" si="2"/>
        <v>1684158</v>
      </c>
      <c r="F22" s="318">
        <v>1684572</v>
      </c>
      <c r="G22" s="328">
        <f t="shared" si="3"/>
        <v>4.1399999999999997</v>
      </c>
      <c r="H22" s="112"/>
      <c r="I22" s="112"/>
      <c r="J22" s="112">
        <v>68</v>
      </c>
      <c r="K22" s="231">
        <v>12</v>
      </c>
      <c r="L22" s="112"/>
      <c r="M22" s="96">
        <f t="shared" si="4"/>
        <v>656</v>
      </c>
      <c r="N22" s="96">
        <f t="shared" si="0"/>
        <v>158.45410628019326</v>
      </c>
      <c r="O22" s="336" t="s">
        <v>171</v>
      </c>
      <c r="P22" s="43"/>
    </row>
    <row r="23" spans="1:16" ht="15.5" x14ac:dyDescent="0.35">
      <c r="A23" s="103">
        <v>46086</v>
      </c>
      <c r="B23" s="79">
        <v>0.7583333333333333</v>
      </c>
      <c r="C23" s="79">
        <v>0.91111111111111109</v>
      </c>
      <c r="D23" s="111">
        <f t="shared" si="5"/>
        <v>1.1527777777777777</v>
      </c>
      <c r="E23" s="322">
        <f t="shared" si="2"/>
        <v>1684572</v>
      </c>
      <c r="F23" s="318">
        <v>1684959</v>
      </c>
      <c r="G23" s="328">
        <f t="shared" si="3"/>
        <v>3.87</v>
      </c>
      <c r="H23" s="112"/>
      <c r="I23" s="112"/>
      <c r="J23" s="112">
        <v>32</v>
      </c>
      <c r="K23" s="231">
        <v>8</v>
      </c>
      <c r="L23" s="112">
        <v>168</v>
      </c>
      <c r="M23" s="96">
        <f t="shared" si="4"/>
        <v>4544</v>
      </c>
      <c r="N23" s="96">
        <f t="shared" si="0"/>
        <v>1174.1602067183462</v>
      </c>
      <c r="O23" s="336" t="s">
        <v>171</v>
      </c>
      <c r="P23" s="43"/>
    </row>
    <row r="24" spans="1:16" ht="15.5" x14ac:dyDescent="0.35">
      <c r="A24" s="103">
        <v>46086</v>
      </c>
      <c r="B24" s="79">
        <v>0.92708333333333337</v>
      </c>
      <c r="C24" s="79">
        <v>0.24583333333333332</v>
      </c>
      <c r="D24" s="111">
        <f t="shared" si="5"/>
        <v>0.31874999999999998</v>
      </c>
      <c r="E24" s="322">
        <f t="shared" si="2"/>
        <v>1684959</v>
      </c>
      <c r="F24" s="318">
        <v>1685750</v>
      </c>
      <c r="G24" s="328">
        <f t="shared" si="3"/>
        <v>7.91</v>
      </c>
      <c r="H24" s="112"/>
      <c r="I24" s="112"/>
      <c r="J24" s="112"/>
      <c r="K24" s="231">
        <v>91</v>
      </c>
      <c r="L24" s="112"/>
      <c r="M24" s="96">
        <f t="shared" si="4"/>
        <v>1365</v>
      </c>
      <c r="N24" s="96">
        <f t="shared" si="0"/>
        <v>172.56637168141592</v>
      </c>
      <c r="O24" s="107" t="s">
        <v>175</v>
      </c>
      <c r="P24" s="43"/>
    </row>
    <row r="25" spans="1:16" ht="15.5" x14ac:dyDescent="0.35">
      <c r="A25" s="103">
        <v>46087</v>
      </c>
      <c r="B25" s="79">
        <v>0.2638888888888889</v>
      </c>
      <c r="C25" s="79">
        <v>0.57777777777777772</v>
      </c>
      <c r="D25" s="111">
        <f t="shared" si="5"/>
        <v>1.3138888888888889</v>
      </c>
      <c r="E25" s="322">
        <f t="shared" si="2"/>
        <v>1685750</v>
      </c>
      <c r="F25" s="319">
        <v>1686541</v>
      </c>
      <c r="G25" s="328">
        <f t="shared" si="3"/>
        <v>7.91</v>
      </c>
      <c r="H25" s="112"/>
      <c r="I25" s="112">
        <v>166</v>
      </c>
      <c r="J25" s="112"/>
      <c r="K25" s="231">
        <v>53</v>
      </c>
      <c r="L25" s="112"/>
      <c r="M25" s="96">
        <f t="shared" si="4"/>
        <v>1293</v>
      </c>
      <c r="N25" s="96">
        <f t="shared" si="0"/>
        <v>163.46396965865992</v>
      </c>
      <c r="O25" s="107" t="s">
        <v>168</v>
      </c>
      <c r="P25" s="43"/>
    </row>
    <row r="26" spans="1:16" ht="15.5" x14ac:dyDescent="0.35">
      <c r="A26" s="103">
        <v>46087</v>
      </c>
      <c r="B26" s="79">
        <v>0.59305555555555556</v>
      </c>
      <c r="C26" s="79">
        <v>0.74583333333333335</v>
      </c>
      <c r="D26" s="111">
        <f t="shared" si="5"/>
        <v>1.1527777777777777</v>
      </c>
      <c r="E26" s="322">
        <f t="shared" si="2"/>
        <v>1686541</v>
      </c>
      <c r="F26" s="318">
        <v>1686935</v>
      </c>
      <c r="G26" s="328">
        <f t="shared" si="3"/>
        <v>3.94</v>
      </c>
      <c r="H26" s="112"/>
      <c r="I26" s="112"/>
      <c r="J26" s="112"/>
      <c r="K26" s="231">
        <v>45</v>
      </c>
      <c r="L26" s="112"/>
      <c r="M26" s="96">
        <f t="shared" si="4"/>
        <v>675</v>
      </c>
      <c r="N26" s="96">
        <f t="shared" si="0"/>
        <v>171.31979695431471</v>
      </c>
      <c r="O26" s="336" t="s">
        <v>176</v>
      </c>
      <c r="P26" s="43"/>
    </row>
    <row r="27" spans="1:16" s="228" customFormat="1" ht="15.5" x14ac:dyDescent="0.35">
      <c r="A27" s="103">
        <v>46087</v>
      </c>
      <c r="B27" s="79">
        <v>0.77152777777777781</v>
      </c>
      <c r="C27" s="79">
        <v>0.90763888888888888</v>
      </c>
      <c r="D27" s="111">
        <f t="shared" si="5"/>
        <v>1.1361111111111111</v>
      </c>
      <c r="E27" s="322">
        <f t="shared" si="2"/>
        <v>1686935</v>
      </c>
      <c r="F27" s="319">
        <v>1687321</v>
      </c>
      <c r="G27" s="328">
        <f t="shared" si="3"/>
        <v>3.86</v>
      </c>
      <c r="H27" s="112"/>
      <c r="I27" s="112">
        <v>54</v>
      </c>
      <c r="J27" s="112"/>
      <c r="K27" s="231">
        <v>28</v>
      </c>
      <c r="L27" s="112"/>
      <c r="M27" s="96">
        <f t="shared" si="4"/>
        <v>582</v>
      </c>
      <c r="N27" s="237">
        <f t="shared" si="0"/>
        <v>150.77720207253887</v>
      </c>
      <c r="O27" s="149" t="s">
        <v>176</v>
      </c>
      <c r="P27" s="239"/>
    </row>
    <row r="28" spans="1:16" ht="15.5" x14ac:dyDescent="0.35">
      <c r="A28" s="103">
        <v>46087</v>
      </c>
      <c r="B28" s="79">
        <v>0.92361111111111116</v>
      </c>
      <c r="C28" s="79">
        <v>0.2388888888888889</v>
      </c>
      <c r="D28" s="111">
        <f t="shared" si="5"/>
        <v>0.31527777777777777</v>
      </c>
      <c r="E28" s="322">
        <f t="shared" si="2"/>
        <v>1687321</v>
      </c>
      <c r="F28" s="318">
        <v>1688120</v>
      </c>
      <c r="G28" s="328">
        <v>4</v>
      </c>
      <c r="H28" s="112"/>
      <c r="I28" s="112">
        <v>90</v>
      </c>
      <c r="J28" s="112"/>
      <c r="K28" s="231">
        <v>71</v>
      </c>
      <c r="L28" s="112"/>
      <c r="M28" s="96">
        <f t="shared" si="4"/>
        <v>1335</v>
      </c>
      <c r="N28" s="96">
        <f t="shared" si="0"/>
        <v>333.75</v>
      </c>
      <c r="O28" s="149" t="s">
        <v>175</v>
      </c>
      <c r="P28" s="43"/>
    </row>
    <row r="29" spans="1:16" ht="15.5" x14ac:dyDescent="0.35">
      <c r="A29" s="103">
        <v>46087</v>
      </c>
      <c r="B29" s="79">
        <v>0.92361111111111116</v>
      </c>
      <c r="C29" s="79">
        <v>0.2388888888888889</v>
      </c>
      <c r="D29" s="111">
        <f t="shared" si="5"/>
        <v>0.31527777777777777</v>
      </c>
      <c r="E29" s="322">
        <f t="shared" si="2"/>
        <v>1688120</v>
      </c>
      <c r="F29" s="318">
        <v>1688120</v>
      </c>
      <c r="G29" s="328">
        <v>8</v>
      </c>
      <c r="H29" s="112"/>
      <c r="I29" s="112">
        <v>90</v>
      </c>
      <c r="J29" s="112"/>
      <c r="K29" s="231">
        <v>71</v>
      </c>
      <c r="L29" s="112"/>
      <c r="M29" s="96">
        <f>+(($H$6*H29)+($I$6*I29)+($J$6*J29)+($K$6*K29)+($L$6*L29))</f>
        <v>1335</v>
      </c>
      <c r="N29" s="96">
        <f t="shared" si="0"/>
        <v>166.875</v>
      </c>
      <c r="O29" s="107" t="s">
        <v>175</v>
      </c>
      <c r="P29" s="43"/>
    </row>
    <row r="30" spans="1:16" ht="15.5" x14ac:dyDescent="0.35">
      <c r="A30" s="103">
        <v>46088</v>
      </c>
      <c r="B30" s="79">
        <v>0.27083333333333331</v>
      </c>
      <c r="C30" s="79">
        <v>0.57361111111111107</v>
      </c>
      <c r="D30" s="111">
        <f t="shared" si="5"/>
        <v>1.3027777777777778</v>
      </c>
      <c r="E30" s="322">
        <f t="shared" si="2"/>
        <v>1688120</v>
      </c>
      <c r="F30" s="318">
        <v>1688916</v>
      </c>
      <c r="G30" s="328">
        <f t="shared" si="3"/>
        <v>7.96</v>
      </c>
      <c r="H30" s="112">
        <v>25</v>
      </c>
      <c r="I30" s="112">
        <v>116</v>
      </c>
      <c r="J30" s="112">
        <v>53</v>
      </c>
      <c r="K30" s="231">
        <v>40</v>
      </c>
      <c r="L30" s="112"/>
      <c r="M30" s="96">
        <f>+(($H$6*H30)+($I$6*I30)+($J$6*J30)+($K$6*K30)+(L30*13))</f>
        <v>1356.5</v>
      </c>
      <c r="N30" s="96">
        <f t="shared" si="0"/>
        <v>170.4145728643216</v>
      </c>
      <c r="O30" s="336" t="s">
        <v>168</v>
      </c>
      <c r="P30" s="43"/>
    </row>
    <row r="31" spans="1:16" ht="15.5" x14ac:dyDescent="0.35">
      <c r="A31" s="103">
        <v>46088</v>
      </c>
      <c r="B31" s="79">
        <v>0.59305555555555556</v>
      </c>
      <c r="C31" s="79">
        <v>0.76458333333333328</v>
      </c>
      <c r="D31" s="111">
        <f t="shared" si="5"/>
        <v>1.1715277777777779</v>
      </c>
      <c r="E31" s="322">
        <f t="shared" si="2"/>
        <v>1688916</v>
      </c>
      <c r="F31" s="319">
        <v>1689340</v>
      </c>
      <c r="G31" s="328">
        <f t="shared" si="3"/>
        <v>4.24</v>
      </c>
      <c r="H31" s="112"/>
      <c r="I31" s="112">
        <v>116</v>
      </c>
      <c r="J31" s="112">
        <v>43</v>
      </c>
      <c r="K31" s="231">
        <v>1</v>
      </c>
      <c r="L31" s="112"/>
      <c r="M31" s="96">
        <f t="shared" si="4"/>
        <v>664</v>
      </c>
      <c r="N31" s="96">
        <f t="shared" si="0"/>
        <v>156.60377358490564</v>
      </c>
      <c r="O31" s="149" t="s">
        <v>188</v>
      </c>
      <c r="P31" s="43"/>
    </row>
    <row r="32" spans="1:16" ht="15.5" x14ac:dyDescent="0.35">
      <c r="A32" s="103">
        <v>46088</v>
      </c>
      <c r="B32" s="79">
        <v>0.77708333333333335</v>
      </c>
      <c r="C32" s="79">
        <v>0.90694444444444444</v>
      </c>
      <c r="D32" s="111">
        <f t="shared" si="5"/>
        <v>1.1298611111111112</v>
      </c>
      <c r="E32" s="322">
        <f t="shared" si="2"/>
        <v>1689340</v>
      </c>
      <c r="F32" s="318">
        <v>1689707</v>
      </c>
      <c r="G32" s="328">
        <f t="shared" si="3"/>
        <v>3.67</v>
      </c>
      <c r="H32" s="112"/>
      <c r="I32" s="112"/>
      <c r="J32" s="112"/>
      <c r="K32" s="231">
        <v>38</v>
      </c>
      <c r="L32" s="112"/>
      <c r="M32" s="96">
        <f t="shared" si="4"/>
        <v>570</v>
      </c>
      <c r="N32" s="96">
        <f t="shared" si="0"/>
        <v>155.31335149863762</v>
      </c>
      <c r="O32" s="149" t="s">
        <v>186</v>
      </c>
      <c r="P32" s="43"/>
    </row>
    <row r="33" spans="1:16" ht="15.5" x14ac:dyDescent="0.35">
      <c r="A33" s="103">
        <v>46088</v>
      </c>
      <c r="B33" s="79">
        <v>0.92569444444444449</v>
      </c>
      <c r="C33" s="79">
        <v>0.24166666666666667</v>
      </c>
      <c r="D33" s="111">
        <f t="shared" si="5"/>
        <v>0.31597222222222221</v>
      </c>
      <c r="E33" s="322">
        <f t="shared" si="2"/>
        <v>1689707</v>
      </c>
      <c r="F33" s="318">
        <v>1690485</v>
      </c>
      <c r="G33" s="328">
        <f t="shared" si="3"/>
        <v>7.78</v>
      </c>
      <c r="H33" s="112">
        <v>33</v>
      </c>
      <c r="I33" s="112">
        <v>139</v>
      </c>
      <c r="J33" s="112">
        <v>67</v>
      </c>
      <c r="K33" s="231">
        <v>34</v>
      </c>
      <c r="L33" s="112"/>
      <c r="M33" s="96">
        <f t="shared" si="4"/>
        <v>1445.5</v>
      </c>
      <c r="N33" s="96">
        <f t="shared" si="0"/>
        <v>185.79691516709511</v>
      </c>
      <c r="O33" s="107" t="s">
        <v>175</v>
      </c>
      <c r="P33" s="43"/>
    </row>
    <row r="34" spans="1:16" ht="15.5" x14ac:dyDescent="0.35">
      <c r="A34" s="103">
        <v>46089</v>
      </c>
      <c r="B34" s="79">
        <v>0.26041666666666669</v>
      </c>
      <c r="C34" s="79">
        <v>0.66319444444444442</v>
      </c>
      <c r="D34" s="111">
        <f t="shared" si="5"/>
        <v>1.4027777777777777</v>
      </c>
      <c r="E34" s="322">
        <f t="shared" si="2"/>
        <v>1690485</v>
      </c>
      <c r="F34" s="318">
        <v>1691510</v>
      </c>
      <c r="G34" s="328">
        <f t="shared" si="3"/>
        <v>10.25</v>
      </c>
      <c r="H34" s="112"/>
      <c r="I34" s="112">
        <v>122</v>
      </c>
      <c r="J34" s="112"/>
      <c r="K34" s="231">
        <v>87</v>
      </c>
      <c r="L34" s="112"/>
      <c r="M34" s="96">
        <f t="shared" si="4"/>
        <v>1671</v>
      </c>
      <c r="N34" s="96">
        <f t="shared" si="0"/>
        <v>163.02439024390245</v>
      </c>
      <c r="O34" s="336" t="s">
        <v>191</v>
      </c>
      <c r="P34" s="43" t="s">
        <v>207</v>
      </c>
    </row>
    <row r="35" spans="1:16" ht="15.5" x14ac:dyDescent="0.35">
      <c r="A35" s="103">
        <v>46089</v>
      </c>
      <c r="B35" s="79">
        <v>3.888888888888889E-2</v>
      </c>
      <c r="C35" s="79">
        <v>0.24305555555555555</v>
      </c>
      <c r="D35" s="111">
        <f t="shared" si="5"/>
        <v>1.2041666666666666</v>
      </c>
      <c r="E35" s="322">
        <f t="shared" si="2"/>
        <v>1691510</v>
      </c>
      <c r="F35" s="318">
        <v>1692079</v>
      </c>
      <c r="G35" s="328">
        <f t="shared" si="3"/>
        <v>5.69</v>
      </c>
      <c r="H35" s="112"/>
      <c r="I35" s="112">
        <v>138</v>
      </c>
      <c r="J35" s="112"/>
      <c r="K35" s="231">
        <v>30</v>
      </c>
      <c r="L35" s="112"/>
      <c r="M35" s="96">
        <f t="shared" si="4"/>
        <v>864</v>
      </c>
      <c r="N35" s="96">
        <f t="shared" si="0"/>
        <v>151.84534270650263</v>
      </c>
      <c r="O35" s="149" t="s">
        <v>171</v>
      </c>
      <c r="P35" s="43" t="s">
        <v>209</v>
      </c>
    </row>
    <row r="36" spans="1:16" ht="15.5" x14ac:dyDescent="0.35">
      <c r="A36" s="103">
        <v>46090</v>
      </c>
      <c r="B36" s="79">
        <v>0.25833333333333336</v>
      </c>
      <c r="C36" s="79">
        <v>0.57291666666666663</v>
      </c>
      <c r="D36" s="111">
        <f t="shared" ref="D36:D41" si="6">1+C36-B36</f>
        <v>1.3145833333333332</v>
      </c>
      <c r="E36" s="322">
        <f t="shared" si="2"/>
        <v>1692079</v>
      </c>
      <c r="F36" s="318">
        <v>1692832</v>
      </c>
      <c r="G36" s="328">
        <v>8</v>
      </c>
      <c r="H36" s="112"/>
      <c r="I36" s="112">
        <v>61</v>
      </c>
      <c r="J36" s="112"/>
      <c r="K36" s="231">
        <v>74</v>
      </c>
      <c r="L36" s="112"/>
      <c r="M36" s="96">
        <f t="shared" si="4"/>
        <v>1293</v>
      </c>
      <c r="N36" s="96">
        <f t="shared" si="0"/>
        <v>161.625</v>
      </c>
      <c r="O36" s="149" t="s">
        <v>201</v>
      </c>
      <c r="P36" s="43"/>
    </row>
    <row r="37" spans="1:16" ht="15.5" x14ac:dyDescent="0.35">
      <c r="A37" s="103">
        <v>46090</v>
      </c>
      <c r="B37" s="79">
        <v>0.60277777777777775</v>
      </c>
      <c r="C37" s="79">
        <v>0.7416666666666667</v>
      </c>
      <c r="D37" s="111">
        <f t="shared" si="6"/>
        <v>1.1388888888888888</v>
      </c>
      <c r="E37" s="322">
        <f t="shared" si="2"/>
        <v>1692832</v>
      </c>
      <c r="F37" s="318">
        <v>1693235</v>
      </c>
      <c r="G37" s="328">
        <f>(F37-E37)/100</f>
        <v>4.03</v>
      </c>
      <c r="H37" s="112"/>
      <c r="I37" s="112"/>
      <c r="J37" s="112"/>
      <c r="K37" s="231">
        <v>40</v>
      </c>
      <c r="L37" s="112">
        <v>2</v>
      </c>
      <c r="M37" s="96">
        <f>+(($H$6*H37)+($I$6*I37)+($J$6*J37)+($K$6*K37)+($L$6*L37))</f>
        <v>650</v>
      </c>
      <c r="N37" s="96">
        <f>M37/G37</f>
        <v>161.29032258064515</v>
      </c>
      <c r="O37" s="149" t="s">
        <v>188</v>
      </c>
      <c r="P37" s="43"/>
    </row>
    <row r="38" spans="1:16" ht="15.5" x14ac:dyDescent="0.35">
      <c r="A38" s="103">
        <v>46090</v>
      </c>
      <c r="B38" s="79">
        <v>0.77361111111111114</v>
      </c>
      <c r="C38" s="79">
        <v>0.90902777777777777</v>
      </c>
      <c r="D38" s="111">
        <f t="shared" si="6"/>
        <v>1.1354166666666665</v>
      </c>
      <c r="E38" s="322">
        <f t="shared" si="2"/>
        <v>1693235</v>
      </c>
      <c r="F38" s="318">
        <v>1693588</v>
      </c>
      <c r="G38" s="328">
        <f>(F38-E38)/100</f>
        <v>3.53</v>
      </c>
      <c r="H38" s="112"/>
      <c r="I38" s="112">
        <v>139</v>
      </c>
      <c r="J38" s="112"/>
      <c r="K38" s="231">
        <v>13</v>
      </c>
      <c r="L38" s="112"/>
      <c r="M38" s="96">
        <f>+(($H$6*H38)+($I$6*I38)+($J$6*J38)+($K$6*K38)+(13*L38))</f>
        <v>612</v>
      </c>
      <c r="N38" s="96">
        <f>M38/G38</f>
        <v>173.37110481586404</v>
      </c>
      <c r="O38" s="107" t="s">
        <v>176</v>
      </c>
      <c r="P38" s="43"/>
    </row>
    <row r="39" spans="1:16" ht="15.5" x14ac:dyDescent="0.35">
      <c r="A39" s="103">
        <v>46090</v>
      </c>
      <c r="B39" s="79">
        <v>0.92708333333333337</v>
      </c>
      <c r="C39" s="79">
        <v>0.24652777777777779</v>
      </c>
      <c r="D39" s="111">
        <f t="shared" si="6"/>
        <v>0.31944444444444431</v>
      </c>
      <c r="E39" s="322">
        <f t="shared" si="2"/>
        <v>1693588</v>
      </c>
      <c r="F39" s="318">
        <v>1694384</v>
      </c>
      <c r="G39" s="328">
        <f>(F39-E39)/100</f>
        <v>7.96</v>
      </c>
      <c r="H39" s="112"/>
      <c r="I39" s="112">
        <v>185</v>
      </c>
      <c r="J39" s="112">
        <v>58</v>
      </c>
      <c r="K39" s="231">
        <v>14</v>
      </c>
      <c r="L39" s="112"/>
      <c r="M39" s="96">
        <f>+(($H$6*H39)+($I$6*I39)+($J$6*J39)+($K$6*K39)+($L$6*L39))</f>
        <v>1171</v>
      </c>
      <c r="N39" s="96">
        <f>M39/G39</f>
        <v>147.1105527638191</v>
      </c>
      <c r="O39" s="107" t="s">
        <v>201</v>
      </c>
      <c r="P39" s="43"/>
    </row>
    <row r="40" spans="1:16" ht="15.5" x14ac:dyDescent="0.35">
      <c r="A40" s="103">
        <v>46091</v>
      </c>
      <c r="B40" s="79">
        <v>0.27638888888888891</v>
      </c>
      <c r="C40" s="79">
        <v>0.57499999999999996</v>
      </c>
      <c r="D40" s="111">
        <f t="shared" si="6"/>
        <v>1.2986111111111112</v>
      </c>
      <c r="E40" s="322">
        <f t="shared" si="2"/>
        <v>1694384</v>
      </c>
      <c r="F40" s="318">
        <v>1695176</v>
      </c>
      <c r="G40" s="328">
        <f t="shared" ref="G40:G49" si="7">(F40-E40)/100</f>
        <v>7.92</v>
      </c>
      <c r="H40" s="112">
        <v>40</v>
      </c>
      <c r="I40" s="112"/>
      <c r="J40" s="112">
        <v>99</v>
      </c>
      <c r="K40" s="231">
        <v>48</v>
      </c>
      <c r="L40" s="112"/>
      <c r="M40" s="96">
        <f t="shared" ref="M40:M47" si="8">+(($H$6*H40)+($I$6*I40)+($J$6*J40)+($K$6*K40)+($L$6*L40))</f>
        <v>1473</v>
      </c>
      <c r="N40" s="96">
        <f t="shared" ref="N40:N49" si="9">M40/G40</f>
        <v>185.9848484848485</v>
      </c>
      <c r="O40" s="149" t="s">
        <v>179</v>
      </c>
      <c r="P40" s="43"/>
    </row>
    <row r="41" spans="1:16" ht="15.5" x14ac:dyDescent="0.35">
      <c r="A41" s="103">
        <v>46091</v>
      </c>
      <c r="B41" s="79">
        <v>0.58750000000000002</v>
      </c>
      <c r="C41" s="79">
        <v>0.72916666666666663</v>
      </c>
      <c r="D41" s="111">
        <f t="shared" si="6"/>
        <v>1.1416666666666666</v>
      </c>
      <c r="E41" s="322">
        <f t="shared" si="2"/>
        <v>1695176</v>
      </c>
      <c r="F41" s="318">
        <v>1695591</v>
      </c>
      <c r="G41" s="328">
        <f t="shared" si="7"/>
        <v>4.1500000000000004</v>
      </c>
      <c r="H41" s="112"/>
      <c r="I41" s="112"/>
      <c r="J41" s="112"/>
      <c r="K41" s="231">
        <v>44</v>
      </c>
      <c r="L41" s="112">
        <v>2</v>
      </c>
      <c r="M41" s="96">
        <f t="shared" si="8"/>
        <v>710</v>
      </c>
      <c r="N41" s="96">
        <f t="shared" si="9"/>
        <v>171.08433734939757</v>
      </c>
      <c r="O41" s="149" t="s">
        <v>191</v>
      </c>
      <c r="P41" s="43"/>
    </row>
    <row r="42" spans="1:16" ht="15.5" x14ac:dyDescent="0.35">
      <c r="A42" s="103">
        <v>46091</v>
      </c>
      <c r="B42" s="79">
        <v>0.77569444444444446</v>
      </c>
      <c r="C42" s="79">
        <v>0.90486111111111112</v>
      </c>
      <c r="D42" s="111">
        <f t="shared" ref="D42:D49" si="10">1+C42-B42</f>
        <v>1.1291666666666667</v>
      </c>
      <c r="E42" s="322">
        <f t="shared" si="2"/>
        <v>1695591</v>
      </c>
      <c r="F42" s="318">
        <v>1695977</v>
      </c>
      <c r="G42" s="328">
        <f t="shared" si="7"/>
        <v>3.86</v>
      </c>
      <c r="H42" s="112"/>
      <c r="I42" s="112"/>
      <c r="J42" s="112"/>
      <c r="K42" s="231">
        <v>46</v>
      </c>
      <c r="L42" s="112"/>
      <c r="M42" s="96">
        <f t="shared" si="8"/>
        <v>690</v>
      </c>
      <c r="N42" s="96">
        <f t="shared" si="9"/>
        <v>178.75647668393782</v>
      </c>
      <c r="O42" s="107" t="s">
        <v>170</v>
      </c>
      <c r="P42" s="43"/>
    </row>
    <row r="43" spans="1:16" ht="15.5" x14ac:dyDescent="0.35">
      <c r="A43" s="103">
        <v>46091</v>
      </c>
      <c r="B43" s="79">
        <v>0.93472222222222223</v>
      </c>
      <c r="C43" s="79">
        <v>0.24444444444444444</v>
      </c>
      <c r="D43" s="111">
        <f t="shared" si="10"/>
        <v>0.30972222222222223</v>
      </c>
      <c r="E43" s="322">
        <f t="shared" si="2"/>
        <v>1695977</v>
      </c>
      <c r="F43" s="318">
        <v>1696765</v>
      </c>
      <c r="G43" s="328">
        <f t="shared" si="7"/>
        <v>7.88</v>
      </c>
      <c r="H43" s="112">
        <v>30</v>
      </c>
      <c r="I43" s="112">
        <v>131</v>
      </c>
      <c r="J43" s="112"/>
      <c r="K43" s="231">
        <v>73</v>
      </c>
      <c r="L43" s="112"/>
      <c r="M43" s="96">
        <f t="shared" si="8"/>
        <v>1533</v>
      </c>
      <c r="N43" s="96">
        <f t="shared" si="9"/>
        <v>194.54314720812184</v>
      </c>
      <c r="O43" s="107" t="s">
        <v>201</v>
      </c>
      <c r="P43" s="43"/>
    </row>
    <row r="44" spans="1:16" ht="15.5" x14ac:dyDescent="0.35">
      <c r="A44" s="103">
        <v>46092</v>
      </c>
      <c r="B44" s="79">
        <v>0.2590277777777778</v>
      </c>
      <c r="C44" s="79">
        <v>0.54791666666666672</v>
      </c>
      <c r="D44" s="111">
        <f t="shared" si="10"/>
        <v>1.2888888888888888</v>
      </c>
      <c r="E44" s="322">
        <f t="shared" si="2"/>
        <v>1696765</v>
      </c>
      <c r="F44" s="318">
        <v>1697517</v>
      </c>
      <c r="G44" s="328">
        <f t="shared" si="7"/>
        <v>7.52</v>
      </c>
      <c r="H44" s="112"/>
      <c r="I44" s="112"/>
      <c r="J44" s="112">
        <v>105</v>
      </c>
      <c r="K44" s="231">
        <v>45</v>
      </c>
      <c r="L44" s="112"/>
      <c r="M44" s="96">
        <f>+(($H$6*H44)+($I$6*I44)+($J$6*J44)+($K$6*K44)+(13*L44))</f>
        <v>1410</v>
      </c>
      <c r="N44" s="96">
        <f t="shared" si="9"/>
        <v>187.5</v>
      </c>
      <c r="O44" s="107" t="s">
        <v>173</v>
      </c>
      <c r="P44" s="43" t="s">
        <v>213</v>
      </c>
    </row>
    <row r="45" spans="1:16" ht="15.5" x14ac:dyDescent="0.35">
      <c r="A45" s="103">
        <v>46092</v>
      </c>
      <c r="B45" s="79">
        <v>0.62152777777777779</v>
      </c>
      <c r="C45" s="79">
        <v>0.74583333333333335</v>
      </c>
      <c r="D45" s="111">
        <f t="shared" si="10"/>
        <v>1.1243055555555554</v>
      </c>
      <c r="E45" s="322">
        <f t="shared" si="2"/>
        <v>1697517</v>
      </c>
      <c r="F45" s="318">
        <v>1697842</v>
      </c>
      <c r="G45" s="328">
        <f t="shared" si="7"/>
        <v>3.25</v>
      </c>
      <c r="H45" s="112"/>
      <c r="I45" s="112"/>
      <c r="J45" s="112"/>
      <c r="K45" s="231">
        <v>26</v>
      </c>
      <c r="L45" s="112">
        <v>14</v>
      </c>
      <c r="M45" s="96">
        <f t="shared" si="8"/>
        <v>740</v>
      </c>
      <c r="N45" s="96">
        <f t="shared" si="9"/>
        <v>227.69230769230768</v>
      </c>
      <c r="O45" s="107" t="s">
        <v>179</v>
      </c>
      <c r="P45" s="43"/>
    </row>
    <row r="46" spans="1:16" ht="15.5" x14ac:dyDescent="0.35">
      <c r="A46" s="103">
        <v>46092</v>
      </c>
      <c r="B46" s="79">
        <v>0.62986111111111109</v>
      </c>
      <c r="C46" s="79">
        <v>0.74097222222222225</v>
      </c>
      <c r="D46" s="111">
        <f t="shared" si="10"/>
        <v>1.1111111111111112</v>
      </c>
      <c r="E46" s="322">
        <f t="shared" si="2"/>
        <v>1697842</v>
      </c>
      <c r="F46" s="318">
        <v>169915</v>
      </c>
      <c r="G46" s="328">
        <v>5</v>
      </c>
      <c r="H46" s="112"/>
      <c r="I46" s="112"/>
      <c r="J46" s="112"/>
      <c r="K46" s="231">
        <v>16</v>
      </c>
      <c r="L46" s="112">
        <v>5</v>
      </c>
      <c r="M46" s="315">
        <f t="shared" si="8"/>
        <v>365</v>
      </c>
      <c r="N46" s="96">
        <f t="shared" si="9"/>
        <v>73</v>
      </c>
      <c r="O46" s="107" t="s">
        <v>179</v>
      </c>
      <c r="P46" s="43"/>
    </row>
    <row r="47" spans="1:16" ht="15.5" x14ac:dyDescent="0.35">
      <c r="A47" s="103">
        <v>46092</v>
      </c>
      <c r="B47" s="79">
        <v>0.77430555555555558</v>
      </c>
      <c r="C47" s="79">
        <v>0.90416666666666667</v>
      </c>
      <c r="D47" s="111">
        <f t="shared" si="10"/>
        <v>1.1298611111111112</v>
      </c>
      <c r="E47" s="322">
        <v>1697842</v>
      </c>
      <c r="F47" s="318">
        <v>1698218</v>
      </c>
      <c r="G47" s="328">
        <f t="shared" si="7"/>
        <v>3.76</v>
      </c>
      <c r="H47" s="112"/>
      <c r="I47" s="112"/>
      <c r="J47" s="112"/>
      <c r="K47" s="231">
        <v>51</v>
      </c>
      <c r="L47" s="112"/>
      <c r="M47" s="96">
        <f t="shared" si="8"/>
        <v>765</v>
      </c>
      <c r="N47" s="96">
        <f t="shared" si="9"/>
        <v>203.45744680851064</v>
      </c>
      <c r="O47" s="107" t="s">
        <v>188</v>
      </c>
      <c r="P47" s="43"/>
    </row>
    <row r="48" spans="1:16" ht="15.5" x14ac:dyDescent="0.35">
      <c r="A48" s="103">
        <v>46092</v>
      </c>
      <c r="B48" s="79">
        <v>0.91874999999999996</v>
      </c>
      <c r="C48" s="79">
        <v>0.2361111111111111</v>
      </c>
      <c r="D48" s="111">
        <f t="shared" si="10"/>
        <v>0.3173611111111112</v>
      </c>
      <c r="E48" s="322">
        <f t="shared" si="2"/>
        <v>1698218</v>
      </c>
      <c r="F48" s="318">
        <v>1699015</v>
      </c>
      <c r="G48" s="328">
        <f t="shared" si="7"/>
        <v>7.97</v>
      </c>
      <c r="H48" s="112"/>
      <c r="I48" s="112">
        <v>191</v>
      </c>
      <c r="J48" s="112"/>
      <c r="K48" s="231">
        <v>57</v>
      </c>
      <c r="L48" s="112"/>
      <c r="M48" s="96">
        <f>+(($H$6*H48)+($I$6*I48)+($J$6*J48)+($K$6*K48)+(L48*13))</f>
        <v>1428</v>
      </c>
      <c r="N48" s="96">
        <f t="shared" si="9"/>
        <v>179.17189460476789</v>
      </c>
      <c r="O48" s="107" t="s">
        <v>201</v>
      </c>
      <c r="P48" s="82"/>
    </row>
    <row r="49" spans="1:192" ht="15.5" x14ac:dyDescent="0.35">
      <c r="A49" s="103">
        <v>46093</v>
      </c>
      <c r="B49" s="79">
        <v>0.26805555555555555</v>
      </c>
      <c r="C49" s="79">
        <v>0.58125000000000004</v>
      </c>
      <c r="D49" s="111">
        <f t="shared" si="10"/>
        <v>1.3131944444444446</v>
      </c>
      <c r="E49" s="322">
        <f t="shared" si="2"/>
        <v>1699015</v>
      </c>
      <c r="F49" s="318">
        <v>1699574</v>
      </c>
      <c r="G49" s="328">
        <f t="shared" si="7"/>
        <v>5.59</v>
      </c>
      <c r="H49" s="112"/>
      <c r="I49" s="112"/>
      <c r="J49" s="112">
        <v>48</v>
      </c>
      <c r="K49" s="231">
        <v>41</v>
      </c>
      <c r="L49" s="112"/>
      <c r="M49" s="96">
        <f>+(($H$6*H49)+($I$6*I49)+($J$6*J49)+($K$6*K49)+(L49*13))</f>
        <v>951</v>
      </c>
      <c r="N49" s="96">
        <f t="shared" si="9"/>
        <v>170.12522361359572</v>
      </c>
      <c r="O49" s="107" t="s">
        <v>186</v>
      </c>
      <c r="P49" s="43"/>
    </row>
    <row r="50" spans="1:192" ht="15.5" x14ac:dyDescent="0.35">
      <c r="A50" s="103">
        <v>46093</v>
      </c>
      <c r="B50" s="79">
        <v>0.59791666666666665</v>
      </c>
      <c r="C50" s="79">
        <v>0.74930555555555556</v>
      </c>
      <c r="D50" s="111">
        <f t="shared" si="5"/>
        <v>1.1513888888888888</v>
      </c>
      <c r="E50" s="322">
        <f t="shared" si="2"/>
        <v>1699574</v>
      </c>
      <c r="F50" s="318">
        <v>1699968</v>
      </c>
      <c r="G50" s="328">
        <f t="shared" si="3"/>
        <v>3.94</v>
      </c>
      <c r="H50" s="112"/>
      <c r="I50" s="112">
        <v>101</v>
      </c>
      <c r="J50" s="112"/>
      <c r="K50" s="231">
        <f>14+17</f>
        <v>31</v>
      </c>
      <c r="L50" s="112">
        <v>1</v>
      </c>
      <c r="M50" s="96">
        <f t="shared" si="4"/>
        <v>793</v>
      </c>
      <c r="N50" s="96">
        <f t="shared" si="0"/>
        <v>201.26903553299493</v>
      </c>
      <c r="O50" s="107" t="s">
        <v>176</v>
      </c>
      <c r="P50" s="43"/>
    </row>
    <row r="51" spans="1:192" ht="15.5" x14ac:dyDescent="0.35">
      <c r="A51" s="103">
        <v>46093</v>
      </c>
      <c r="B51" s="79">
        <v>0.77916666666666667</v>
      </c>
      <c r="C51" s="79">
        <v>0.90625</v>
      </c>
      <c r="D51" s="111">
        <f t="shared" si="5"/>
        <v>1.1270833333333332</v>
      </c>
      <c r="E51" s="322">
        <f t="shared" si="2"/>
        <v>1699968</v>
      </c>
      <c r="F51" s="318">
        <v>1700357</v>
      </c>
      <c r="G51" s="328">
        <f t="shared" si="3"/>
        <v>3.89</v>
      </c>
      <c r="H51" s="112"/>
      <c r="I51" s="112">
        <v>20</v>
      </c>
      <c r="J51" s="112"/>
      <c r="K51" s="231">
        <v>45</v>
      </c>
      <c r="L51" s="112"/>
      <c r="M51" s="96">
        <f>+(($H$6*H51)+($I$6*I51)+($J$6*J51)+($K$6*K51)+(13*L51))</f>
        <v>735</v>
      </c>
      <c r="N51" s="96">
        <f t="shared" si="0"/>
        <v>188.94601542416453</v>
      </c>
      <c r="O51" s="107" t="s">
        <v>176</v>
      </c>
      <c r="P51" s="43"/>
    </row>
    <row r="52" spans="1:192" s="228" customFormat="1" ht="15.5" x14ac:dyDescent="0.35">
      <c r="A52" s="103">
        <v>46093</v>
      </c>
      <c r="B52" s="79">
        <v>0.92152777777777772</v>
      </c>
      <c r="C52" s="79">
        <v>0.24930555555555556</v>
      </c>
      <c r="D52" s="111">
        <f t="shared" si="5"/>
        <v>0.32777777777777772</v>
      </c>
      <c r="E52" s="322">
        <f t="shared" si="2"/>
        <v>1700357</v>
      </c>
      <c r="F52" s="319">
        <v>1701156</v>
      </c>
      <c r="G52" s="328">
        <f t="shared" si="3"/>
        <v>7.99</v>
      </c>
      <c r="H52" s="112"/>
      <c r="I52" s="112"/>
      <c r="J52" s="112">
        <v>87</v>
      </c>
      <c r="K52" s="231">
        <v>63</v>
      </c>
      <c r="L52" s="112"/>
      <c r="M52" s="237">
        <f t="shared" si="4"/>
        <v>1554</v>
      </c>
      <c r="N52" s="237">
        <f t="shared" si="0"/>
        <v>194.49311639549435</v>
      </c>
      <c r="O52" s="149" t="s">
        <v>201</v>
      </c>
      <c r="P52" s="82"/>
    </row>
    <row r="53" spans="1:192" ht="15.5" x14ac:dyDescent="0.35">
      <c r="A53" s="103">
        <v>46094</v>
      </c>
      <c r="B53" s="72">
        <v>0.2673611111111111</v>
      </c>
      <c r="C53" s="72">
        <v>0.57638888888888884</v>
      </c>
      <c r="D53" s="111">
        <f t="shared" si="5"/>
        <v>1.3090277777777777</v>
      </c>
      <c r="E53" s="322">
        <f t="shared" si="2"/>
        <v>1701156</v>
      </c>
      <c r="F53" s="318">
        <v>1701960</v>
      </c>
      <c r="G53" s="328">
        <f t="shared" si="3"/>
        <v>8.0399999999999991</v>
      </c>
      <c r="H53" s="112">
        <v>3</v>
      </c>
      <c r="I53" s="112">
        <v>149</v>
      </c>
      <c r="J53" s="112">
        <v>63</v>
      </c>
      <c r="K53" s="231">
        <v>34</v>
      </c>
      <c r="L53" s="112"/>
      <c r="M53" s="96">
        <f t="shared" si="4"/>
        <v>1402.5</v>
      </c>
      <c r="N53" s="96">
        <f t="shared" si="0"/>
        <v>174.4402985074627</v>
      </c>
      <c r="O53" s="107" t="s">
        <v>186</v>
      </c>
      <c r="P53" s="43"/>
    </row>
    <row r="54" spans="1:192" s="233" customFormat="1" ht="15.5" x14ac:dyDescent="0.35">
      <c r="A54" s="103">
        <v>46094</v>
      </c>
      <c r="B54" s="79">
        <v>0.59097222222222223</v>
      </c>
      <c r="C54" s="79">
        <v>0.74583333333333335</v>
      </c>
      <c r="D54" s="111">
        <f t="shared" si="5"/>
        <v>1.1548611111111111</v>
      </c>
      <c r="E54" s="322">
        <f t="shared" si="2"/>
        <v>1701960</v>
      </c>
      <c r="F54" s="318">
        <v>1702346</v>
      </c>
      <c r="G54" s="328">
        <f t="shared" si="3"/>
        <v>3.86</v>
      </c>
      <c r="H54" s="112"/>
      <c r="I54" s="112"/>
      <c r="J54" s="112"/>
      <c r="K54" s="231">
        <v>25</v>
      </c>
      <c r="L54" s="112">
        <v>14</v>
      </c>
      <c r="M54" s="96">
        <f>+(($H$6*H54)+($I$6*I54)+($J$6*J54)+($K$6*K54)+($L$6*L54))</f>
        <v>725</v>
      </c>
      <c r="N54" s="96">
        <f t="shared" si="0"/>
        <v>187.8238341968912</v>
      </c>
      <c r="O54" s="149" t="s">
        <v>176</v>
      </c>
      <c r="P54" s="239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28"/>
      <c r="CL54" s="228"/>
      <c r="CM54" s="228"/>
      <c r="CN54" s="228"/>
      <c r="CO54" s="228"/>
      <c r="CP54" s="228"/>
      <c r="CQ54" s="228"/>
      <c r="CR54" s="228"/>
      <c r="CS54" s="228"/>
      <c r="CT54" s="228"/>
      <c r="CU54" s="228"/>
      <c r="CV54" s="228"/>
      <c r="CW54" s="228"/>
      <c r="CX54" s="228"/>
      <c r="CY54" s="228"/>
      <c r="CZ54" s="228"/>
      <c r="DA54" s="228"/>
      <c r="DB54" s="228"/>
      <c r="DC54" s="228"/>
      <c r="DD54" s="228"/>
      <c r="DE54" s="228"/>
      <c r="DF54" s="228"/>
      <c r="DG54" s="228"/>
      <c r="DH54" s="228"/>
      <c r="DI54" s="228"/>
      <c r="DJ54" s="228"/>
      <c r="DK54" s="228"/>
      <c r="DL54" s="228"/>
      <c r="DM54" s="228"/>
      <c r="DN54" s="228"/>
      <c r="DO54" s="228"/>
      <c r="DP54" s="228"/>
      <c r="DQ54" s="228"/>
      <c r="DR54" s="228"/>
      <c r="DS54" s="228"/>
      <c r="DT54" s="228"/>
      <c r="DU54" s="228"/>
      <c r="DV54" s="228"/>
      <c r="DW54" s="228"/>
      <c r="DX54" s="228"/>
      <c r="DY54" s="228"/>
      <c r="DZ54" s="228"/>
      <c r="EA54" s="228"/>
      <c r="EB54" s="228"/>
      <c r="EC54" s="228"/>
      <c r="ED54" s="228"/>
      <c r="EE54" s="228"/>
      <c r="EF54" s="228"/>
      <c r="EG54" s="228"/>
      <c r="EH54" s="228"/>
      <c r="EI54" s="228"/>
      <c r="EJ54" s="228"/>
      <c r="EK54" s="228"/>
      <c r="EL54" s="228"/>
      <c r="EM54" s="228"/>
      <c r="EN54" s="228"/>
      <c r="EO54" s="228"/>
      <c r="EP54" s="228"/>
      <c r="EQ54" s="228"/>
      <c r="ER54" s="228"/>
      <c r="ES54" s="228"/>
      <c r="ET54" s="228"/>
      <c r="EU54" s="228"/>
      <c r="EV54" s="228"/>
      <c r="EW54" s="228"/>
      <c r="EX54" s="228"/>
      <c r="EY54" s="228"/>
      <c r="EZ54" s="228"/>
      <c r="FA54" s="228"/>
      <c r="FB54" s="228"/>
      <c r="FC54" s="228"/>
      <c r="FD54" s="228"/>
      <c r="FE54" s="228"/>
      <c r="FF54" s="228"/>
      <c r="FG54" s="228"/>
      <c r="FH54" s="228"/>
      <c r="FI54" s="228"/>
      <c r="FJ54" s="228"/>
      <c r="FK54" s="228"/>
      <c r="FL54" s="228"/>
      <c r="FM54" s="228"/>
      <c r="FN54" s="228"/>
      <c r="FO54" s="228"/>
      <c r="FP54" s="228"/>
      <c r="FQ54" s="228"/>
      <c r="FR54" s="228"/>
      <c r="FS54" s="228"/>
      <c r="FT54" s="228"/>
      <c r="FU54" s="228"/>
      <c r="FV54" s="228"/>
      <c r="FW54" s="228"/>
      <c r="FX54" s="228"/>
      <c r="FY54" s="228"/>
      <c r="FZ54" s="228"/>
      <c r="GA54" s="228"/>
      <c r="GB54" s="228"/>
      <c r="GC54" s="228"/>
      <c r="GD54" s="228"/>
      <c r="GE54" s="228"/>
      <c r="GF54" s="228"/>
      <c r="GG54" s="228"/>
      <c r="GH54" s="228"/>
      <c r="GI54" s="228"/>
      <c r="GJ54" s="228"/>
    </row>
    <row r="55" spans="1:192" ht="15.5" x14ac:dyDescent="0.35">
      <c r="A55" s="103">
        <v>46094</v>
      </c>
      <c r="B55" s="79">
        <v>0.78125</v>
      </c>
      <c r="C55" s="79">
        <v>0.90347222222222223</v>
      </c>
      <c r="D55" s="111">
        <f t="shared" si="5"/>
        <v>1.1222222222222222</v>
      </c>
      <c r="E55" s="322">
        <f t="shared" si="2"/>
        <v>1702346</v>
      </c>
      <c r="F55" s="318">
        <v>1702681</v>
      </c>
      <c r="G55" s="328">
        <f t="shared" si="3"/>
        <v>3.35</v>
      </c>
      <c r="H55" s="112"/>
      <c r="I55" s="112"/>
      <c r="J55" s="112"/>
      <c r="K55" s="231">
        <v>37</v>
      </c>
      <c r="L55" s="112"/>
      <c r="M55" s="96">
        <f>+(($H$6*H55)+($I$6*I55)+($J$6*J55)+($K$6*K55)+($L$6*L55))</f>
        <v>555</v>
      </c>
      <c r="N55" s="96">
        <f t="shared" si="0"/>
        <v>165.67164179104478</v>
      </c>
      <c r="O55" s="149" t="s">
        <v>176</v>
      </c>
      <c r="P55" s="239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  <c r="CJ55" s="228"/>
      <c r="CK55" s="228"/>
      <c r="CL55" s="228"/>
      <c r="CM55" s="228"/>
      <c r="CN55" s="228"/>
      <c r="CO55" s="228"/>
      <c r="CP55" s="228"/>
      <c r="CQ55" s="228"/>
      <c r="CR55" s="228"/>
      <c r="CS55" s="228"/>
      <c r="CT55" s="228"/>
      <c r="CU55" s="228"/>
      <c r="CV55" s="228"/>
      <c r="CW55" s="228"/>
      <c r="CX55" s="228"/>
      <c r="CY55" s="228"/>
      <c r="CZ55" s="228"/>
      <c r="DA55" s="228"/>
      <c r="DB55" s="228"/>
      <c r="DC55" s="228"/>
      <c r="DD55" s="228"/>
      <c r="DE55" s="228"/>
      <c r="DF55" s="228"/>
      <c r="DG55" s="228"/>
      <c r="DH55" s="228"/>
      <c r="DI55" s="228"/>
      <c r="DJ55" s="228"/>
      <c r="DK55" s="228"/>
      <c r="DL55" s="228"/>
      <c r="DM55" s="228"/>
      <c r="DN55" s="228"/>
      <c r="DO55" s="228"/>
      <c r="DP55" s="228"/>
      <c r="DQ55" s="228"/>
      <c r="DR55" s="228"/>
      <c r="DS55" s="228"/>
      <c r="DT55" s="228"/>
      <c r="DU55" s="228"/>
      <c r="DV55" s="228"/>
      <c r="DW55" s="228"/>
      <c r="DX55" s="228"/>
      <c r="DY55" s="228"/>
      <c r="DZ55" s="228"/>
      <c r="EA55" s="228"/>
      <c r="EB55" s="228"/>
      <c r="EC55" s="228"/>
      <c r="ED55" s="228"/>
      <c r="EE55" s="228"/>
      <c r="EF55" s="228"/>
      <c r="EG55" s="228"/>
      <c r="EH55" s="228"/>
      <c r="EI55" s="228"/>
      <c r="EJ55" s="228"/>
      <c r="EK55" s="228"/>
      <c r="EL55" s="228"/>
      <c r="EM55" s="228"/>
      <c r="EN55" s="228"/>
      <c r="EO55" s="228"/>
      <c r="EP55" s="228"/>
      <c r="EQ55" s="228"/>
      <c r="ER55" s="228"/>
      <c r="ES55" s="228"/>
      <c r="ET55" s="228"/>
      <c r="EU55" s="228"/>
      <c r="EV55" s="228"/>
      <c r="EW55" s="228"/>
      <c r="EX55" s="228"/>
      <c r="EY55" s="228"/>
      <c r="EZ55" s="228"/>
      <c r="FA55" s="228"/>
      <c r="FB55" s="228"/>
      <c r="FC55" s="228"/>
      <c r="FD55" s="228"/>
      <c r="FE55" s="228"/>
      <c r="FF55" s="228"/>
      <c r="FG55" s="228"/>
      <c r="FH55" s="228"/>
      <c r="FI55" s="228"/>
      <c r="FJ55" s="228"/>
      <c r="FK55" s="228"/>
      <c r="FL55" s="228"/>
      <c r="FM55" s="228"/>
      <c r="FN55" s="228"/>
      <c r="FO55" s="228"/>
      <c r="FP55" s="228"/>
      <c r="FQ55" s="228"/>
      <c r="FR55" s="228"/>
      <c r="FS55" s="228"/>
      <c r="FT55" s="228"/>
      <c r="FU55" s="228"/>
      <c r="FV55" s="228"/>
      <c r="FW55" s="228"/>
      <c r="FX55" s="228"/>
      <c r="FY55" s="228"/>
      <c r="FZ55" s="228"/>
      <c r="GA55" s="228"/>
      <c r="GB55" s="228"/>
      <c r="GC55" s="228"/>
      <c r="GD55" s="228"/>
      <c r="GE55" s="228"/>
      <c r="GF55" s="228"/>
      <c r="GG55" s="228"/>
      <c r="GH55" s="228"/>
      <c r="GI55" s="228"/>
      <c r="GJ55" s="228"/>
    </row>
    <row r="56" spans="1:192" ht="15.5" x14ac:dyDescent="0.35">
      <c r="A56" s="103">
        <v>46094</v>
      </c>
      <c r="B56" s="79">
        <v>0.93194444444444446</v>
      </c>
      <c r="C56" s="79">
        <v>0.24305555555555555</v>
      </c>
      <c r="D56" s="111">
        <f t="shared" si="5"/>
        <v>0.31111111111111112</v>
      </c>
      <c r="E56" s="322">
        <f t="shared" si="2"/>
        <v>1702681</v>
      </c>
      <c r="F56" s="318">
        <v>1703461</v>
      </c>
      <c r="G56" s="328">
        <f t="shared" si="3"/>
        <v>7.8</v>
      </c>
      <c r="H56" s="112"/>
      <c r="I56" s="112">
        <v>107</v>
      </c>
      <c r="J56" s="112"/>
      <c r="K56" s="231">
        <v>81</v>
      </c>
      <c r="L56" s="112"/>
      <c r="M56" s="96">
        <f>+(($H$6*H56)+($I$6*I56)+($J$6*J56)+($K$6*K56)+($L$6*L56))</f>
        <v>1536</v>
      </c>
      <c r="N56" s="96">
        <f t="shared" si="0"/>
        <v>196.92307692307693</v>
      </c>
      <c r="O56" s="149" t="s">
        <v>201</v>
      </c>
      <c r="P56" s="239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28"/>
      <c r="BS56" s="228"/>
      <c r="BT56" s="228"/>
      <c r="BU56" s="228"/>
      <c r="BV56" s="228"/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28"/>
      <c r="CL56" s="228"/>
      <c r="CM56" s="228"/>
      <c r="CN56" s="228"/>
      <c r="CO56" s="228"/>
      <c r="CP56" s="228"/>
      <c r="CQ56" s="228"/>
      <c r="CR56" s="228"/>
      <c r="CS56" s="228"/>
      <c r="CT56" s="228"/>
      <c r="CU56" s="228"/>
      <c r="CV56" s="228"/>
      <c r="CW56" s="228"/>
      <c r="CX56" s="228"/>
      <c r="CY56" s="228"/>
      <c r="CZ56" s="228"/>
      <c r="DA56" s="228"/>
      <c r="DB56" s="228"/>
      <c r="DC56" s="228"/>
      <c r="DD56" s="228"/>
      <c r="DE56" s="228"/>
      <c r="DF56" s="228"/>
      <c r="DG56" s="228"/>
      <c r="DH56" s="228"/>
      <c r="DI56" s="228"/>
      <c r="DJ56" s="228"/>
      <c r="DK56" s="228"/>
      <c r="DL56" s="228"/>
      <c r="DM56" s="228"/>
      <c r="DN56" s="228"/>
      <c r="DO56" s="228"/>
      <c r="DP56" s="228"/>
      <c r="DQ56" s="228"/>
      <c r="DR56" s="228"/>
      <c r="DS56" s="228"/>
      <c r="DT56" s="228"/>
      <c r="DU56" s="228"/>
      <c r="DV56" s="228"/>
      <c r="DW56" s="228"/>
      <c r="DX56" s="228"/>
      <c r="DY56" s="228"/>
      <c r="DZ56" s="228"/>
      <c r="EA56" s="228"/>
      <c r="EB56" s="228"/>
      <c r="EC56" s="228"/>
      <c r="ED56" s="228"/>
      <c r="EE56" s="228"/>
      <c r="EF56" s="228"/>
      <c r="EG56" s="228"/>
      <c r="EH56" s="228"/>
      <c r="EI56" s="228"/>
      <c r="EJ56" s="228"/>
      <c r="EK56" s="228"/>
      <c r="EL56" s="228"/>
      <c r="EM56" s="228"/>
      <c r="EN56" s="228"/>
      <c r="EO56" s="228"/>
      <c r="EP56" s="228"/>
      <c r="EQ56" s="228"/>
      <c r="ER56" s="228"/>
      <c r="ES56" s="228"/>
      <c r="ET56" s="228"/>
      <c r="EU56" s="228"/>
      <c r="EV56" s="228"/>
      <c r="EW56" s="228"/>
      <c r="EX56" s="228"/>
      <c r="EY56" s="228"/>
      <c r="EZ56" s="228"/>
      <c r="FA56" s="228"/>
      <c r="FB56" s="228"/>
      <c r="FC56" s="228"/>
      <c r="FD56" s="228"/>
      <c r="FE56" s="228"/>
      <c r="FF56" s="228"/>
      <c r="FG56" s="228"/>
      <c r="FH56" s="228"/>
      <c r="FI56" s="228"/>
      <c r="FJ56" s="228"/>
      <c r="FK56" s="228"/>
      <c r="FL56" s="228"/>
      <c r="FM56" s="228"/>
      <c r="FN56" s="228"/>
      <c r="FO56" s="228"/>
      <c r="FP56" s="228"/>
      <c r="FQ56" s="228"/>
      <c r="FR56" s="228"/>
      <c r="FS56" s="228"/>
      <c r="FT56" s="228"/>
      <c r="FU56" s="228"/>
      <c r="FV56" s="228"/>
      <c r="FW56" s="228"/>
      <c r="FX56" s="228"/>
      <c r="FY56" s="228"/>
      <c r="FZ56" s="228"/>
      <c r="GA56" s="228"/>
      <c r="GB56" s="228"/>
      <c r="GC56" s="228"/>
      <c r="GD56" s="228"/>
      <c r="GE56" s="228"/>
      <c r="GF56" s="228"/>
      <c r="GG56" s="228"/>
      <c r="GH56" s="228"/>
      <c r="GI56" s="228"/>
      <c r="GJ56" s="228"/>
    </row>
    <row r="57" spans="1:192" ht="15.5" x14ac:dyDescent="0.35">
      <c r="A57" s="103">
        <v>46095</v>
      </c>
      <c r="B57" s="79">
        <v>0.25624999999999998</v>
      </c>
      <c r="C57" s="79">
        <v>0.57777777777777772</v>
      </c>
      <c r="D57" s="111">
        <f t="shared" si="5"/>
        <v>1.3215277777777779</v>
      </c>
      <c r="E57" s="322">
        <f t="shared" si="2"/>
        <v>1703461</v>
      </c>
      <c r="F57" s="318">
        <v>1704275</v>
      </c>
      <c r="G57" s="328">
        <f t="shared" si="3"/>
        <v>8.14</v>
      </c>
      <c r="H57" s="112">
        <v>79</v>
      </c>
      <c r="I57" s="112">
        <v>86</v>
      </c>
      <c r="J57" s="112"/>
      <c r="K57" s="231">
        <v>70</v>
      </c>
      <c r="L57" s="112"/>
      <c r="M57" s="96">
        <f>+(($H$6*H57)+($I$6*I57)+($J$6*J57)+($K$6*K57)+($L$6*L57))</f>
        <v>1426.5</v>
      </c>
      <c r="N57" s="96">
        <f t="shared" si="0"/>
        <v>175.24570024570022</v>
      </c>
      <c r="O57" s="107" t="s">
        <v>173</v>
      </c>
      <c r="P57" s="239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228"/>
      <c r="BV57" s="228"/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  <c r="CG57" s="228"/>
      <c r="CH57" s="228"/>
      <c r="CI57" s="228"/>
      <c r="CJ57" s="228"/>
      <c r="CK57" s="228"/>
      <c r="CL57" s="228"/>
      <c r="CM57" s="228"/>
      <c r="CN57" s="228"/>
      <c r="CO57" s="228"/>
      <c r="CP57" s="228"/>
      <c r="CQ57" s="228"/>
      <c r="CR57" s="228"/>
      <c r="CS57" s="228"/>
      <c r="CT57" s="228"/>
      <c r="CU57" s="228"/>
      <c r="CV57" s="228"/>
      <c r="CW57" s="228"/>
      <c r="CX57" s="228"/>
      <c r="CY57" s="228"/>
      <c r="CZ57" s="228"/>
      <c r="DA57" s="228"/>
      <c r="DB57" s="228"/>
      <c r="DC57" s="228"/>
      <c r="DD57" s="228"/>
      <c r="DE57" s="228"/>
      <c r="DF57" s="228"/>
      <c r="DG57" s="228"/>
      <c r="DH57" s="228"/>
      <c r="DI57" s="228"/>
      <c r="DJ57" s="228"/>
      <c r="DK57" s="228"/>
      <c r="DL57" s="228"/>
      <c r="DM57" s="228"/>
      <c r="DN57" s="228"/>
      <c r="DO57" s="228"/>
      <c r="DP57" s="228"/>
      <c r="DQ57" s="228"/>
      <c r="DR57" s="228"/>
      <c r="DS57" s="228"/>
      <c r="DT57" s="228"/>
      <c r="DU57" s="228"/>
      <c r="DV57" s="228"/>
      <c r="DW57" s="228"/>
      <c r="DX57" s="228"/>
      <c r="DY57" s="228"/>
      <c r="DZ57" s="228"/>
      <c r="EA57" s="228"/>
      <c r="EB57" s="228"/>
      <c r="EC57" s="228"/>
      <c r="ED57" s="228"/>
      <c r="EE57" s="228"/>
      <c r="EF57" s="228"/>
      <c r="EG57" s="228"/>
      <c r="EH57" s="228"/>
      <c r="EI57" s="228"/>
      <c r="EJ57" s="228"/>
      <c r="EK57" s="228"/>
      <c r="EL57" s="228"/>
      <c r="EM57" s="228"/>
      <c r="EN57" s="228"/>
      <c r="EO57" s="228"/>
      <c r="EP57" s="228"/>
      <c r="EQ57" s="228"/>
      <c r="ER57" s="228"/>
      <c r="ES57" s="228"/>
      <c r="ET57" s="228"/>
      <c r="EU57" s="228"/>
      <c r="EV57" s="228"/>
      <c r="EW57" s="228"/>
      <c r="EX57" s="228"/>
      <c r="EY57" s="228"/>
      <c r="EZ57" s="228"/>
      <c r="FA57" s="228"/>
      <c r="FB57" s="228"/>
      <c r="FC57" s="228"/>
      <c r="FD57" s="228"/>
      <c r="FE57" s="228"/>
      <c r="FF57" s="228"/>
      <c r="FG57" s="228"/>
      <c r="FH57" s="228"/>
      <c r="FI57" s="228"/>
      <c r="FJ57" s="228"/>
      <c r="FK57" s="228"/>
      <c r="FL57" s="228"/>
      <c r="FM57" s="228"/>
      <c r="FN57" s="228"/>
      <c r="FO57" s="228"/>
      <c r="FP57" s="228"/>
      <c r="FQ57" s="228"/>
      <c r="FR57" s="228"/>
      <c r="FS57" s="228"/>
      <c r="FT57" s="228"/>
      <c r="FU57" s="228"/>
      <c r="FV57" s="228"/>
      <c r="FW57" s="228"/>
      <c r="FX57" s="228"/>
      <c r="FY57" s="228"/>
      <c r="FZ57" s="228"/>
      <c r="GA57" s="228"/>
      <c r="GB57" s="228"/>
      <c r="GC57" s="228"/>
      <c r="GD57" s="228"/>
      <c r="GE57" s="228"/>
      <c r="GF57" s="228"/>
      <c r="GG57" s="228"/>
      <c r="GH57" s="228"/>
      <c r="GI57" s="228"/>
      <c r="GJ57" s="228"/>
    </row>
    <row r="58" spans="1:192" ht="15.5" x14ac:dyDescent="0.35">
      <c r="A58" s="103">
        <v>46095</v>
      </c>
      <c r="B58" s="72">
        <v>0.60624999999999996</v>
      </c>
      <c r="C58" s="72">
        <v>0.75555555555555554</v>
      </c>
      <c r="D58" s="111">
        <f t="shared" si="5"/>
        <v>1.1493055555555556</v>
      </c>
      <c r="E58" s="322">
        <f t="shared" si="2"/>
        <v>1704275</v>
      </c>
      <c r="F58" s="320">
        <v>1704689</v>
      </c>
      <c r="G58" s="328">
        <f t="shared" si="3"/>
        <v>4.1399999999999997</v>
      </c>
      <c r="H58" s="109"/>
      <c r="I58" s="112"/>
      <c r="J58" s="112"/>
      <c r="K58" s="112">
        <v>52</v>
      </c>
      <c r="L58" s="112"/>
      <c r="M58" s="96">
        <f t="shared" ref="M58:M103" si="11">+(($H$6*H58)+($I$6*I58)+($J$6*J58)+($K$6*K58)+($L$6*L58))</f>
        <v>780</v>
      </c>
      <c r="N58" s="96">
        <f t="shared" si="0"/>
        <v>188.40579710144928</v>
      </c>
      <c r="O58" s="107" t="s">
        <v>176</v>
      </c>
      <c r="P58" s="43"/>
    </row>
    <row r="59" spans="1:192" ht="15.5" x14ac:dyDescent="0.35">
      <c r="A59" s="103">
        <v>46095</v>
      </c>
      <c r="B59" s="79">
        <v>0.77152777777777781</v>
      </c>
      <c r="C59" s="79">
        <v>0.90347222222222223</v>
      </c>
      <c r="D59" s="111">
        <f t="shared" si="5"/>
        <v>1.1319444444444444</v>
      </c>
      <c r="E59" s="322">
        <f t="shared" si="2"/>
        <v>1704689</v>
      </c>
      <c r="F59" s="318">
        <v>1705071</v>
      </c>
      <c r="G59" s="328">
        <f t="shared" si="3"/>
        <v>3.82</v>
      </c>
      <c r="H59" s="112"/>
      <c r="I59" s="112"/>
      <c r="J59" s="112"/>
      <c r="K59" s="231">
        <v>45</v>
      </c>
      <c r="L59" s="112"/>
      <c r="M59" s="96">
        <f t="shared" si="11"/>
        <v>675</v>
      </c>
      <c r="N59" s="96">
        <f t="shared" si="0"/>
        <v>176.70157068062829</v>
      </c>
      <c r="O59" s="107" t="s">
        <v>186</v>
      </c>
      <c r="P59" s="43"/>
    </row>
    <row r="60" spans="1:192" ht="15.5" x14ac:dyDescent="0.35">
      <c r="A60" s="103">
        <v>46095</v>
      </c>
      <c r="B60" s="79">
        <v>0.93055555555555558</v>
      </c>
      <c r="C60" s="79">
        <v>0.24097222222222223</v>
      </c>
      <c r="D60" s="111">
        <f t="shared" si="5"/>
        <v>0.31041666666666656</v>
      </c>
      <c r="E60" s="322">
        <f t="shared" si="2"/>
        <v>1705071</v>
      </c>
      <c r="F60" s="318">
        <v>1705843</v>
      </c>
      <c r="G60" s="328">
        <f t="shared" si="3"/>
        <v>7.72</v>
      </c>
      <c r="H60" s="112"/>
      <c r="I60" s="112">
        <v>216</v>
      </c>
      <c r="J60" s="112">
        <v>59</v>
      </c>
      <c r="K60" s="231">
        <v>4</v>
      </c>
      <c r="L60" s="112">
        <v>9</v>
      </c>
      <c r="M60" s="96">
        <f>+(($H$6*H60)+($I$6*I60)+($J$6*J60)+($K$6*K60)+(13*L60))</f>
        <v>1238</v>
      </c>
      <c r="N60" s="96">
        <f t="shared" si="0"/>
        <v>160.36269430051814</v>
      </c>
      <c r="O60" s="107" t="s">
        <v>201</v>
      </c>
      <c r="P60" s="43"/>
    </row>
    <row r="61" spans="1:192" ht="15.5" x14ac:dyDescent="0.35">
      <c r="A61" s="103"/>
      <c r="B61" s="79"/>
      <c r="C61" s="79"/>
      <c r="D61" s="111">
        <f t="shared" si="5"/>
        <v>1</v>
      </c>
      <c r="E61" s="322">
        <f t="shared" si="2"/>
        <v>1705843</v>
      </c>
      <c r="F61" s="318"/>
      <c r="G61" s="328">
        <f t="shared" si="3"/>
        <v>-17058.43</v>
      </c>
      <c r="H61" s="112"/>
      <c r="I61" s="112"/>
      <c r="J61" s="112"/>
      <c r="K61" s="231"/>
      <c r="L61" s="112"/>
      <c r="M61" s="96">
        <f t="shared" si="11"/>
        <v>0</v>
      </c>
      <c r="N61" s="96">
        <f t="shared" ref="N61:N104" si="12">M61/G61</f>
        <v>0</v>
      </c>
      <c r="O61" s="107" t="s">
        <v>164</v>
      </c>
      <c r="P61" s="43"/>
    </row>
    <row r="62" spans="1:192" ht="15.5" x14ac:dyDescent="0.35">
      <c r="A62" s="103"/>
      <c r="B62" s="79"/>
      <c r="C62" s="79"/>
      <c r="D62" s="111">
        <f t="shared" si="5"/>
        <v>1</v>
      </c>
      <c r="E62" s="322">
        <f t="shared" si="2"/>
        <v>0</v>
      </c>
      <c r="F62" s="318"/>
      <c r="G62" s="328">
        <f t="shared" si="3"/>
        <v>0</v>
      </c>
      <c r="H62" s="112"/>
      <c r="I62" s="112"/>
      <c r="J62" s="112"/>
      <c r="K62" s="231"/>
      <c r="L62" s="112"/>
      <c r="M62" s="96">
        <f t="shared" si="11"/>
        <v>0</v>
      </c>
      <c r="N62" s="96" t="e">
        <f t="shared" si="12"/>
        <v>#DIV/0!</v>
      </c>
      <c r="O62" s="107" t="s">
        <v>179</v>
      </c>
      <c r="P62" s="43"/>
    </row>
    <row r="63" spans="1:192" ht="15.5" x14ac:dyDescent="0.35">
      <c r="A63" s="103"/>
      <c r="B63" s="72"/>
      <c r="C63" s="72"/>
      <c r="D63" s="111">
        <f t="shared" si="5"/>
        <v>1</v>
      </c>
      <c r="E63" s="322">
        <v>1680490</v>
      </c>
      <c r="F63" s="318"/>
      <c r="G63" s="328">
        <f t="shared" si="3"/>
        <v>-16804.900000000001</v>
      </c>
      <c r="H63" s="112"/>
      <c r="I63" s="112"/>
      <c r="J63" s="112"/>
      <c r="K63" s="231"/>
      <c r="L63" s="112"/>
      <c r="M63" s="96">
        <f t="shared" si="11"/>
        <v>0</v>
      </c>
      <c r="N63" s="96">
        <f t="shared" si="12"/>
        <v>0</v>
      </c>
      <c r="O63" s="107" t="s">
        <v>171</v>
      </c>
      <c r="P63" s="43"/>
    </row>
    <row r="64" spans="1:192" ht="15.5" x14ac:dyDescent="0.35">
      <c r="A64" s="103"/>
      <c r="B64" s="79"/>
      <c r="C64" s="79"/>
      <c r="D64" s="111">
        <f t="shared" si="5"/>
        <v>1</v>
      </c>
      <c r="E64" s="322">
        <v>1680853</v>
      </c>
      <c r="F64" s="319"/>
      <c r="G64" s="328">
        <v>3</v>
      </c>
      <c r="H64" s="112"/>
      <c r="I64" s="112"/>
      <c r="J64" s="112"/>
      <c r="K64" s="231"/>
      <c r="L64" s="112"/>
      <c r="M64" s="237">
        <f>+(($H$6*H64)+($I$6*I64)+($J$6*J64)+($K$6*K64)+($L$6*L64))</f>
        <v>0</v>
      </c>
      <c r="N64" s="96">
        <f t="shared" si="12"/>
        <v>0</v>
      </c>
      <c r="O64" s="149" t="s">
        <v>176</v>
      </c>
      <c r="P64" s="43" t="s">
        <v>193</v>
      </c>
    </row>
    <row r="65" spans="1:149" ht="15.5" x14ac:dyDescent="0.35">
      <c r="A65" s="103"/>
      <c r="B65" s="79"/>
      <c r="C65" s="79"/>
      <c r="D65" s="111">
        <f t="shared" si="5"/>
        <v>1</v>
      </c>
      <c r="E65" s="322">
        <v>1651149</v>
      </c>
      <c r="F65" s="318"/>
      <c r="G65" s="328">
        <f t="shared" si="3"/>
        <v>-16511.490000000002</v>
      </c>
      <c r="H65" s="112"/>
      <c r="I65" s="112"/>
      <c r="J65" s="112"/>
      <c r="K65" s="231"/>
      <c r="L65" s="112"/>
      <c r="M65" s="96">
        <f>+(($H$6*H65)+($I$6*I65)+($J$6*J65)+($K$6*K65)+($L$65*13))</f>
        <v>0</v>
      </c>
      <c r="N65" s="96">
        <f t="shared" si="12"/>
        <v>0</v>
      </c>
      <c r="O65" s="107" t="s">
        <v>176</v>
      </c>
      <c r="P65" s="43"/>
    </row>
    <row r="66" spans="1:149" ht="15.5" x14ac:dyDescent="0.35">
      <c r="A66" s="103"/>
      <c r="B66" s="79"/>
      <c r="C66" s="79"/>
      <c r="D66" s="111">
        <f t="shared" si="5"/>
        <v>1</v>
      </c>
      <c r="E66" s="322">
        <f t="shared" si="2"/>
        <v>0</v>
      </c>
      <c r="F66" s="318"/>
      <c r="G66" s="328">
        <f t="shared" si="3"/>
        <v>0</v>
      </c>
      <c r="H66" s="112"/>
      <c r="I66" s="112"/>
      <c r="J66" s="112"/>
      <c r="K66" s="231"/>
      <c r="L66" s="112"/>
      <c r="M66" s="96">
        <f>+(($H$6*H66)+($I$6*I66)+($J$6*J66)+($K$6*K66)+($L$65*13))</f>
        <v>0</v>
      </c>
      <c r="N66" s="96" t="e">
        <f t="shared" si="12"/>
        <v>#DIV/0!</v>
      </c>
      <c r="O66" s="107" t="s">
        <v>179</v>
      </c>
      <c r="P66" s="43"/>
    </row>
    <row r="67" spans="1:149" ht="15.5" x14ac:dyDescent="0.35">
      <c r="A67" s="103"/>
      <c r="B67" s="79"/>
      <c r="C67" s="79"/>
      <c r="D67" s="111">
        <f t="shared" si="5"/>
        <v>1</v>
      </c>
      <c r="E67" s="322">
        <f t="shared" si="2"/>
        <v>0</v>
      </c>
      <c r="F67" s="318"/>
      <c r="G67" s="328">
        <f t="shared" si="3"/>
        <v>0</v>
      </c>
      <c r="H67" s="112"/>
      <c r="I67" s="112"/>
      <c r="J67" s="112"/>
      <c r="K67" s="231"/>
      <c r="L67" s="112"/>
      <c r="M67" s="96">
        <f t="shared" si="11"/>
        <v>0</v>
      </c>
      <c r="N67" s="96" t="e">
        <f t="shared" si="12"/>
        <v>#DIV/0!</v>
      </c>
      <c r="O67" s="107" t="s">
        <v>186</v>
      </c>
      <c r="P67" s="43"/>
    </row>
    <row r="68" spans="1:149" ht="15.5" x14ac:dyDescent="0.35">
      <c r="A68" s="103"/>
      <c r="B68" s="79"/>
      <c r="C68" s="79"/>
      <c r="D68" s="111">
        <f t="shared" si="5"/>
        <v>1</v>
      </c>
      <c r="E68" s="322">
        <f t="shared" si="2"/>
        <v>0</v>
      </c>
      <c r="F68" s="318"/>
      <c r="G68" s="328">
        <f t="shared" si="3"/>
        <v>0</v>
      </c>
      <c r="H68" s="112"/>
      <c r="I68" s="112"/>
      <c r="J68" s="112"/>
      <c r="K68" s="231"/>
      <c r="L68" s="112"/>
      <c r="M68" s="96">
        <f t="shared" si="11"/>
        <v>0</v>
      </c>
      <c r="N68" s="96" t="e">
        <f t="shared" si="12"/>
        <v>#DIV/0!</v>
      </c>
      <c r="O68" s="107" t="s">
        <v>171</v>
      </c>
      <c r="P68" s="43"/>
    </row>
    <row r="69" spans="1:149" ht="15.5" x14ac:dyDescent="0.35">
      <c r="A69" s="103"/>
      <c r="B69" s="79"/>
      <c r="C69" s="79"/>
      <c r="D69" s="111">
        <f t="shared" si="5"/>
        <v>1</v>
      </c>
      <c r="E69" s="322">
        <f t="shared" si="2"/>
        <v>0</v>
      </c>
      <c r="F69" s="318"/>
      <c r="G69" s="328">
        <f t="shared" si="3"/>
        <v>0</v>
      </c>
      <c r="H69" s="112"/>
      <c r="I69" s="112"/>
      <c r="J69" s="112"/>
      <c r="K69" s="231"/>
      <c r="L69" s="112"/>
      <c r="M69" s="96">
        <f t="shared" si="11"/>
        <v>0</v>
      </c>
      <c r="N69" s="96" t="e">
        <f t="shared" si="12"/>
        <v>#DIV/0!</v>
      </c>
      <c r="O69" s="107" t="s">
        <v>175</v>
      </c>
      <c r="P69" s="43"/>
    </row>
    <row r="70" spans="1:149" s="228" customFormat="1" ht="15.5" x14ac:dyDescent="0.35">
      <c r="A70" s="103"/>
      <c r="B70" s="79"/>
      <c r="C70" s="79"/>
      <c r="D70" s="111">
        <f t="shared" si="5"/>
        <v>1</v>
      </c>
      <c r="E70" s="322">
        <f t="shared" si="2"/>
        <v>0</v>
      </c>
      <c r="F70" s="318"/>
      <c r="G70" s="328">
        <f t="shared" si="3"/>
        <v>0</v>
      </c>
      <c r="H70" s="112"/>
      <c r="I70" s="112"/>
      <c r="J70" s="112"/>
      <c r="K70" s="231"/>
      <c r="L70" s="112"/>
      <c r="M70" s="96">
        <f t="shared" si="11"/>
        <v>0</v>
      </c>
      <c r="N70" s="96" t="e">
        <f t="shared" si="12"/>
        <v>#DIV/0!</v>
      </c>
      <c r="O70" s="107" t="s">
        <v>179</v>
      </c>
      <c r="P70" s="239" t="s">
        <v>184</v>
      </c>
    </row>
    <row r="71" spans="1:149" ht="15.5" x14ac:dyDescent="0.35">
      <c r="A71" s="103"/>
      <c r="B71" s="79"/>
      <c r="C71" s="79"/>
      <c r="D71" s="111">
        <f t="shared" si="5"/>
        <v>1</v>
      </c>
      <c r="E71" s="322">
        <f t="shared" si="2"/>
        <v>0</v>
      </c>
      <c r="F71" s="318"/>
      <c r="G71" s="328">
        <f t="shared" si="3"/>
        <v>0</v>
      </c>
      <c r="H71" s="112"/>
      <c r="I71" s="112"/>
      <c r="J71" s="112"/>
      <c r="K71" s="231"/>
      <c r="L71" s="112"/>
      <c r="M71" s="96">
        <f>+(($H$6*H71)+($I$6*I71)+($J$6*J71)+($K$6*K71)+(13*L71))</f>
        <v>0</v>
      </c>
      <c r="N71" s="96" t="e">
        <f t="shared" si="12"/>
        <v>#DIV/0!</v>
      </c>
      <c r="O71" s="107" t="s">
        <v>173</v>
      </c>
      <c r="P71" s="43"/>
    </row>
    <row r="72" spans="1:149" ht="15.5" x14ac:dyDescent="0.35">
      <c r="A72" s="103"/>
      <c r="B72" s="79"/>
      <c r="C72" s="79"/>
      <c r="D72" s="111">
        <f t="shared" si="5"/>
        <v>1</v>
      </c>
      <c r="E72" s="322">
        <f t="shared" ref="E72:E83" si="13">F71</f>
        <v>0</v>
      </c>
      <c r="F72" s="318"/>
      <c r="G72" s="328">
        <f t="shared" ref="G72:G81" si="14">(F72-E72)/100</f>
        <v>0</v>
      </c>
      <c r="H72" s="112"/>
      <c r="I72" s="112"/>
      <c r="J72" s="112"/>
      <c r="K72" s="231"/>
      <c r="L72" s="112"/>
      <c r="M72" s="96">
        <f t="shared" si="11"/>
        <v>0</v>
      </c>
      <c r="N72" s="96" t="e">
        <f t="shared" si="12"/>
        <v>#DIV/0!</v>
      </c>
      <c r="O72" s="107" t="s">
        <v>171</v>
      </c>
      <c r="P72" s="43"/>
    </row>
    <row r="73" spans="1:149" ht="15.5" x14ac:dyDescent="0.35">
      <c r="A73" s="103"/>
      <c r="B73" s="79"/>
      <c r="C73" s="79"/>
      <c r="D73" s="111">
        <f t="shared" si="5"/>
        <v>1</v>
      </c>
      <c r="E73" s="322">
        <f t="shared" si="13"/>
        <v>0</v>
      </c>
      <c r="F73" s="318"/>
      <c r="G73" s="328">
        <f t="shared" si="14"/>
        <v>0</v>
      </c>
      <c r="H73" s="112"/>
      <c r="I73" s="112"/>
      <c r="J73" s="112"/>
      <c r="K73" s="231"/>
      <c r="L73" s="112"/>
      <c r="M73" s="96">
        <f t="shared" si="11"/>
        <v>0</v>
      </c>
      <c r="N73" s="96" t="e">
        <f t="shared" si="12"/>
        <v>#DIV/0!</v>
      </c>
      <c r="O73" s="107" t="s">
        <v>171</v>
      </c>
      <c r="P73" s="43"/>
    </row>
    <row r="74" spans="1:149" ht="15.5" x14ac:dyDescent="0.35">
      <c r="A74" s="103"/>
      <c r="B74" s="79"/>
      <c r="C74" s="79"/>
      <c r="D74" s="111">
        <f t="shared" si="5"/>
        <v>1</v>
      </c>
      <c r="E74" s="322">
        <f t="shared" si="13"/>
        <v>0</v>
      </c>
      <c r="F74" s="318"/>
      <c r="G74" s="328">
        <f t="shared" si="14"/>
        <v>0</v>
      </c>
      <c r="H74" s="112"/>
      <c r="I74" s="112"/>
      <c r="J74" s="112"/>
      <c r="K74" s="231"/>
      <c r="L74" s="112"/>
      <c r="M74" s="96">
        <f t="shared" si="11"/>
        <v>0</v>
      </c>
      <c r="N74" s="96" t="e">
        <f t="shared" si="12"/>
        <v>#DIV/0!</v>
      </c>
      <c r="O74" s="107" t="s">
        <v>179</v>
      </c>
      <c r="P74" s="43"/>
    </row>
    <row r="75" spans="1:149" ht="15.5" x14ac:dyDescent="0.35">
      <c r="A75" s="103"/>
      <c r="B75" s="79"/>
      <c r="C75" s="79"/>
      <c r="D75" s="111">
        <f t="shared" si="5"/>
        <v>1</v>
      </c>
      <c r="E75" s="322">
        <f t="shared" si="13"/>
        <v>0</v>
      </c>
      <c r="F75" s="320"/>
      <c r="G75" s="328">
        <f t="shared" si="14"/>
        <v>0</v>
      </c>
      <c r="H75" s="109"/>
      <c r="I75" s="112"/>
      <c r="J75" s="112"/>
      <c r="K75" s="112"/>
      <c r="L75" s="112"/>
      <c r="M75" s="96">
        <f t="shared" si="11"/>
        <v>0</v>
      </c>
      <c r="N75" s="96" t="e">
        <f t="shared" si="12"/>
        <v>#DIV/0!</v>
      </c>
      <c r="O75" s="107" t="s">
        <v>186</v>
      </c>
      <c r="P75" s="43"/>
    </row>
    <row r="76" spans="1:149" ht="15.5" x14ac:dyDescent="0.35">
      <c r="A76" s="103"/>
      <c r="B76" s="79"/>
      <c r="C76" s="79"/>
      <c r="D76" s="111">
        <f t="shared" si="5"/>
        <v>1</v>
      </c>
      <c r="E76" s="322">
        <f t="shared" si="13"/>
        <v>0</v>
      </c>
      <c r="F76" s="320"/>
      <c r="G76" s="328">
        <f t="shared" si="14"/>
        <v>0</v>
      </c>
      <c r="H76" s="112"/>
      <c r="I76" s="112"/>
      <c r="J76" s="112"/>
      <c r="K76" s="231"/>
      <c r="L76" s="112"/>
      <c r="M76" s="96">
        <f t="shared" si="11"/>
        <v>0</v>
      </c>
      <c r="N76" s="96" t="e">
        <f t="shared" si="12"/>
        <v>#DIV/0!</v>
      </c>
      <c r="O76" s="107" t="s">
        <v>171</v>
      </c>
      <c r="P76" s="43"/>
    </row>
    <row r="77" spans="1:149" s="247" customFormat="1" ht="15.5" x14ac:dyDescent="0.35">
      <c r="A77" s="103"/>
      <c r="B77" s="79"/>
      <c r="C77" s="79"/>
      <c r="D77" s="111">
        <f t="shared" si="5"/>
        <v>1</v>
      </c>
      <c r="E77" s="322">
        <f t="shared" si="13"/>
        <v>0</v>
      </c>
      <c r="F77" s="320"/>
      <c r="G77" s="328">
        <f t="shared" si="14"/>
        <v>0</v>
      </c>
      <c r="H77" s="112"/>
      <c r="I77" s="112"/>
      <c r="J77" s="112"/>
      <c r="K77" s="231"/>
      <c r="L77" s="112"/>
      <c r="M77" s="237">
        <f t="shared" si="11"/>
        <v>0</v>
      </c>
      <c r="N77" s="237" t="e">
        <f t="shared" si="12"/>
        <v>#DIV/0!</v>
      </c>
      <c r="O77" s="149" t="s">
        <v>171</v>
      </c>
      <c r="P77" s="239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  <c r="DY77" s="228"/>
      <c r="DZ77" s="228"/>
      <c r="EA77" s="228"/>
      <c r="EB77" s="228"/>
      <c r="EC77" s="228"/>
      <c r="ED77" s="228"/>
      <c r="EE77" s="228"/>
      <c r="EF77" s="228"/>
      <c r="EG77" s="228"/>
      <c r="EH77" s="228"/>
      <c r="EI77" s="228"/>
      <c r="EJ77" s="228"/>
      <c r="EK77" s="228"/>
      <c r="EL77" s="228"/>
      <c r="EM77" s="228"/>
      <c r="EN77" s="228"/>
      <c r="EO77" s="228"/>
      <c r="EP77" s="228"/>
      <c r="EQ77" s="228"/>
      <c r="ER77" s="228"/>
      <c r="ES77" s="228"/>
    </row>
    <row r="78" spans="1:149" s="228" customFormat="1" ht="15.5" x14ac:dyDescent="0.35">
      <c r="A78" s="103"/>
      <c r="B78" s="79"/>
      <c r="C78" s="79"/>
      <c r="D78" s="111">
        <f t="shared" si="5"/>
        <v>1</v>
      </c>
      <c r="E78" s="322">
        <f t="shared" si="13"/>
        <v>0</v>
      </c>
      <c r="F78" s="320"/>
      <c r="G78" s="328">
        <f t="shared" si="14"/>
        <v>0</v>
      </c>
      <c r="H78" s="112"/>
      <c r="I78" s="112"/>
      <c r="J78" s="112"/>
      <c r="K78" s="231"/>
      <c r="L78" s="112"/>
      <c r="M78" s="96">
        <f t="shared" si="11"/>
        <v>0</v>
      </c>
      <c r="N78" s="96" t="e">
        <f t="shared" si="12"/>
        <v>#DIV/0!</v>
      </c>
      <c r="O78" s="107" t="s">
        <v>170</v>
      </c>
      <c r="P78" s="239"/>
    </row>
    <row r="79" spans="1:149" ht="15.5" x14ac:dyDescent="0.35">
      <c r="A79" s="103"/>
      <c r="B79" s="79"/>
      <c r="C79" s="79"/>
      <c r="D79" s="111">
        <f t="shared" si="5"/>
        <v>1</v>
      </c>
      <c r="E79" s="322">
        <f t="shared" si="13"/>
        <v>0</v>
      </c>
      <c r="F79" s="320"/>
      <c r="G79" s="328">
        <f t="shared" si="14"/>
        <v>0</v>
      </c>
      <c r="H79" s="112"/>
      <c r="I79" s="112"/>
      <c r="J79" s="112"/>
      <c r="K79" s="231"/>
      <c r="L79" s="112"/>
      <c r="M79" s="96">
        <f t="shared" si="11"/>
        <v>0</v>
      </c>
      <c r="N79" s="96" t="e">
        <f t="shared" si="12"/>
        <v>#DIV/0!</v>
      </c>
      <c r="O79" s="107" t="s">
        <v>186</v>
      </c>
      <c r="P79" s="43"/>
    </row>
    <row r="80" spans="1:149" ht="15.5" x14ac:dyDescent="0.35">
      <c r="A80" s="103"/>
      <c r="B80" s="79"/>
      <c r="C80" s="79"/>
      <c r="D80" s="111">
        <f t="shared" si="5"/>
        <v>1</v>
      </c>
      <c r="E80" s="322">
        <f t="shared" si="13"/>
        <v>0</v>
      </c>
      <c r="F80" s="320"/>
      <c r="G80" s="328">
        <f t="shared" si="14"/>
        <v>0</v>
      </c>
      <c r="H80" s="112"/>
      <c r="I80" s="112"/>
      <c r="J80" s="112"/>
      <c r="K80" s="231"/>
      <c r="L80" s="112"/>
      <c r="M80" s="96">
        <f t="shared" si="11"/>
        <v>0</v>
      </c>
      <c r="N80" s="96" t="e">
        <f t="shared" si="12"/>
        <v>#DIV/0!</v>
      </c>
      <c r="O80" s="107" t="s">
        <v>173</v>
      </c>
      <c r="P80" s="43" t="s">
        <v>196</v>
      </c>
    </row>
    <row r="81" spans="1:16" ht="15.5" x14ac:dyDescent="0.35">
      <c r="A81" s="103"/>
      <c r="B81" s="79"/>
      <c r="C81" s="79"/>
      <c r="D81" s="111">
        <f t="shared" si="5"/>
        <v>1</v>
      </c>
      <c r="E81" s="322">
        <f t="shared" si="13"/>
        <v>0</v>
      </c>
      <c r="F81" s="320"/>
      <c r="G81" s="328">
        <f t="shared" si="14"/>
        <v>0</v>
      </c>
      <c r="H81" s="112"/>
      <c r="I81" s="112"/>
      <c r="J81" s="112"/>
      <c r="K81" s="231"/>
      <c r="L81" s="112"/>
      <c r="M81" s="96">
        <f t="shared" si="11"/>
        <v>0</v>
      </c>
      <c r="N81" s="96" t="e">
        <f t="shared" si="12"/>
        <v>#DIV/0!</v>
      </c>
      <c r="O81" s="107" t="s">
        <v>175</v>
      </c>
      <c r="P81" s="43"/>
    </row>
    <row r="82" spans="1:16" ht="15.5" x14ac:dyDescent="0.35">
      <c r="A82" s="103"/>
      <c r="B82" s="79"/>
      <c r="C82" s="79"/>
      <c r="D82" s="111">
        <f t="shared" ref="D82:D99" si="15">1+C82-B82</f>
        <v>1</v>
      </c>
      <c r="E82" s="322">
        <f t="shared" si="13"/>
        <v>0</v>
      </c>
      <c r="F82" s="320"/>
      <c r="G82" s="328">
        <f t="shared" ref="G82:G116" si="16">(F82-E82)/100</f>
        <v>0</v>
      </c>
      <c r="H82" s="112"/>
      <c r="I82" s="112"/>
      <c r="J82" s="112"/>
      <c r="K82" s="231"/>
      <c r="L82" s="112"/>
      <c r="M82" s="96">
        <f t="shared" si="11"/>
        <v>0</v>
      </c>
      <c r="N82" s="96" t="e">
        <f t="shared" si="12"/>
        <v>#DIV/0!</v>
      </c>
      <c r="O82" s="107" t="s">
        <v>191</v>
      </c>
      <c r="P82" s="43"/>
    </row>
    <row r="83" spans="1:16" ht="15.5" x14ac:dyDescent="0.35">
      <c r="A83" s="103"/>
      <c r="B83" s="79"/>
      <c r="C83" s="79"/>
      <c r="D83" s="111">
        <f t="shared" si="15"/>
        <v>1</v>
      </c>
      <c r="E83" s="322">
        <f t="shared" si="13"/>
        <v>0</v>
      </c>
      <c r="F83" s="320"/>
      <c r="G83" s="328">
        <f t="shared" si="16"/>
        <v>0</v>
      </c>
      <c r="H83" s="112"/>
      <c r="I83" s="112"/>
      <c r="J83" s="112"/>
      <c r="K83" s="231"/>
      <c r="L83" s="112"/>
      <c r="M83" s="297">
        <f t="shared" si="11"/>
        <v>0</v>
      </c>
      <c r="N83" s="96" t="e">
        <f t="shared" si="12"/>
        <v>#DIV/0!</v>
      </c>
      <c r="O83" s="149" t="s">
        <v>164</v>
      </c>
      <c r="P83" s="43"/>
    </row>
    <row r="84" spans="1:16" s="228" customFormat="1" ht="15.5" x14ac:dyDescent="0.35">
      <c r="A84" s="103"/>
      <c r="B84" s="79"/>
      <c r="C84" s="79"/>
      <c r="D84" s="111">
        <f t="shared" si="15"/>
        <v>1</v>
      </c>
      <c r="E84" s="322">
        <f t="shared" ref="E84:E102" si="17">F83</f>
        <v>0</v>
      </c>
      <c r="F84" s="318"/>
      <c r="G84" s="328">
        <f t="shared" si="16"/>
        <v>0</v>
      </c>
      <c r="H84" s="112"/>
      <c r="I84" s="112"/>
      <c r="J84" s="112"/>
      <c r="K84" s="231"/>
      <c r="L84" s="112"/>
      <c r="M84" s="96">
        <f t="shared" si="11"/>
        <v>0</v>
      </c>
      <c r="N84" s="96" t="e">
        <f t="shared" si="12"/>
        <v>#DIV/0!</v>
      </c>
      <c r="O84" s="107" t="s">
        <v>173</v>
      </c>
      <c r="P84" s="239" t="s">
        <v>198</v>
      </c>
    </row>
    <row r="85" spans="1:16" ht="15.5" x14ac:dyDescent="0.35">
      <c r="A85" s="103"/>
      <c r="B85" s="79"/>
      <c r="C85" s="79"/>
      <c r="D85" s="111">
        <f t="shared" si="15"/>
        <v>1</v>
      </c>
      <c r="E85" s="322">
        <f t="shared" si="17"/>
        <v>0</v>
      </c>
      <c r="F85" s="318"/>
      <c r="G85" s="328">
        <f t="shared" si="16"/>
        <v>0</v>
      </c>
      <c r="H85" s="112"/>
      <c r="I85" s="112"/>
      <c r="J85" s="112"/>
      <c r="K85" s="231"/>
      <c r="L85" s="112"/>
      <c r="M85" s="96">
        <f t="shared" si="11"/>
        <v>0</v>
      </c>
      <c r="N85" s="96" t="e">
        <f t="shared" si="12"/>
        <v>#DIV/0!</v>
      </c>
      <c r="O85" s="107" t="s">
        <v>186</v>
      </c>
      <c r="P85" s="43"/>
    </row>
    <row r="86" spans="1:16" ht="15.5" x14ac:dyDescent="0.35">
      <c r="A86" s="103"/>
      <c r="B86" s="79"/>
      <c r="C86" s="79"/>
      <c r="D86" s="111">
        <f t="shared" si="15"/>
        <v>1</v>
      </c>
      <c r="E86" s="322">
        <f t="shared" si="17"/>
        <v>0</v>
      </c>
      <c r="F86" s="318"/>
      <c r="G86" s="328">
        <f t="shared" si="16"/>
        <v>0</v>
      </c>
      <c r="H86" s="112"/>
      <c r="I86" s="112"/>
      <c r="J86" s="112"/>
      <c r="K86" s="231"/>
      <c r="L86" s="112"/>
      <c r="M86" s="96">
        <f t="shared" si="11"/>
        <v>0</v>
      </c>
      <c r="N86" s="96" t="e">
        <f t="shared" si="12"/>
        <v>#DIV/0!</v>
      </c>
      <c r="O86" s="107" t="s">
        <v>170</v>
      </c>
      <c r="P86" s="43"/>
    </row>
    <row r="87" spans="1:16" ht="15.5" x14ac:dyDescent="0.35">
      <c r="A87" s="103"/>
      <c r="B87" s="79"/>
      <c r="C87" s="79"/>
      <c r="D87" s="111">
        <f t="shared" si="15"/>
        <v>1</v>
      </c>
      <c r="E87" s="322">
        <f t="shared" si="17"/>
        <v>0</v>
      </c>
      <c r="F87" s="318"/>
      <c r="G87" s="328">
        <f t="shared" si="16"/>
        <v>0</v>
      </c>
      <c r="H87" s="112"/>
      <c r="I87" s="112"/>
      <c r="J87" s="112"/>
      <c r="K87" s="231"/>
      <c r="L87" s="112"/>
      <c r="M87" s="96">
        <f t="shared" si="11"/>
        <v>0</v>
      </c>
      <c r="N87" s="96" t="e">
        <f t="shared" si="12"/>
        <v>#DIV/0!</v>
      </c>
      <c r="O87" s="107" t="s">
        <v>170</v>
      </c>
      <c r="P87" s="43"/>
    </row>
    <row r="88" spans="1:16" ht="15.5" x14ac:dyDescent="0.35">
      <c r="A88" s="103"/>
      <c r="B88" s="79"/>
      <c r="C88" s="79"/>
      <c r="D88" s="111">
        <f t="shared" si="15"/>
        <v>1</v>
      </c>
      <c r="E88" s="322">
        <f t="shared" si="17"/>
        <v>0</v>
      </c>
      <c r="F88" s="318"/>
      <c r="G88" s="328">
        <f t="shared" si="16"/>
        <v>0</v>
      </c>
      <c r="H88" s="112"/>
      <c r="I88" s="112"/>
      <c r="J88" s="112"/>
      <c r="K88" s="231"/>
      <c r="L88" s="112"/>
      <c r="M88" s="96">
        <f t="shared" si="11"/>
        <v>0</v>
      </c>
      <c r="N88" s="96" t="e">
        <f t="shared" si="12"/>
        <v>#DIV/0!</v>
      </c>
      <c r="O88" s="107" t="s">
        <v>173</v>
      </c>
      <c r="P88" s="43"/>
    </row>
    <row r="89" spans="1:16" ht="15.5" x14ac:dyDescent="0.35">
      <c r="A89" s="103"/>
      <c r="B89" s="79"/>
      <c r="C89" s="79"/>
      <c r="D89" s="111">
        <f t="shared" si="15"/>
        <v>1</v>
      </c>
      <c r="E89" s="322">
        <f t="shared" si="17"/>
        <v>0</v>
      </c>
      <c r="F89" s="318"/>
      <c r="G89" s="328">
        <f t="shared" si="16"/>
        <v>0</v>
      </c>
      <c r="H89" s="112"/>
      <c r="I89" s="112"/>
      <c r="J89" s="112"/>
      <c r="K89" s="231"/>
      <c r="L89" s="112"/>
      <c r="M89" s="96">
        <f t="shared" si="11"/>
        <v>0</v>
      </c>
      <c r="N89" s="96" t="e">
        <f t="shared" si="12"/>
        <v>#DIV/0!</v>
      </c>
      <c r="O89" s="107" t="s">
        <v>171</v>
      </c>
      <c r="P89" s="43" t="s">
        <v>199</v>
      </c>
    </row>
    <row r="90" spans="1:16" ht="15.5" x14ac:dyDescent="0.35">
      <c r="A90" s="103"/>
      <c r="B90" s="79"/>
      <c r="C90" s="79"/>
      <c r="D90" s="111">
        <f t="shared" si="15"/>
        <v>1</v>
      </c>
      <c r="E90" s="322">
        <f t="shared" si="17"/>
        <v>0</v>
      </c>
      <c r="F90" s="318"/>
      <c r="G90" s="328">
        <f t="shared" si="16"/>
        <v>0</v>
      </c>
      <c r="H90" s="112"/>
      <c r="I90" s="112"/>
      <c r="J90" s="112"/>
      <c r="K90" s="231"/>
      <c r="L90" s="112"/>
      <c r="M90" s="96">
        <f t="shared" si="11"/>
        <v>0</v>
      </c>
      <c r="N90" s="96" t="e">
        <f t="shared" si="12"/>
        <v>#DIV/0!</v>
      </c>
      <c r="O90" s="107" t="s">
        <v>164</v>
      </c>
      <c r="P90" s="43"/>
    </row>
    <row r="91" spans="1:16" ht="15.5" x14ac:dyDescent="0.35">
      <c r="A91" s="103"/>
      <c r="B91" s="79"/>
      <c r="C91" s="79"/>
      <c r="D91" s="111">
        <f t="shared" si="15"/>
        <v>1</v>
      </c>
      <c r="E91" s="322">
        <f t="shared" si="17"/>
        <v>0</v>
      </c>
      <c r="F91" s="318"/>
      <c r="G91" s="328">
        <f t="shared" si="16"/>
        <v>0</v>
      </c>
      <c r="H91" s="112"/>
      <c r="I91" s="112"/>
      <c r="J91" s="112"/>
      <c r="K91" s="231"/>
      <c r="L91" s="112"/>
      <c r="M91" s="96">
        <f t="shared" si="11"/>
        <v>0</v>
      </c>
      <c r="N91" s="96" t="e">
        <f t="shared" si="12"/>
        <v>#DIV/0!</v>
      </c>
      <c r="O91" s="107" t="s">
        <v>164</v>
      </c>
      <c r="P91" s="43"/>
    </row>
    <row r="92" spans="1:16" ht="15.5" x14ac:dyDescent="0.35">
      <c r="A92" s="103"/>
      <c r="B92" s="79"/>
      <c r="C92" s="79"/>
      <c r="D92" s="111">
        <f t="shared" si="15"/>
        <v>1</v>
      </c>
      <c r="E92" s="322">
        <f t="shared" si="17"/>
        <v>0</v>
      </c>
      <c r="F92" s="318"/>
      <c r="G92" s="328">
        <f t="shared" si="16"/>
        <v>0</v>
      </c>
      <c r="H92" s="112"/>
      <c r="I92" s="112"/>
      <c r="J92" s="112"/>
      <c r="K92" s="231"/>
      <c r="L92" s="112"/>
      <c r="M92" s="96">
        <f t="shared" si="11"/>
        <v>0</v>
      </c>
      <c r="N92" s="96" t="e">
        <f t="shared" si="12"/>
        <v>#DIV/0!</v>
      </c>
      <c r="O92" s="107" t="s">
        <v>173</v>
      </c>
      <c r="P92" s="43"/>
    </row>
    <row r="93" spans="1:16" ht="15.5" x14ac:dyDescent="0.35">
      <c r="A93" s="103"/>
      <c r="B93" s="79"/>
      <c r="C93" s="79"/>
      <c r="D93" s="111">
        <f t="shared" si="15"/>
        <v>1</v>
      </c>
      <c r="E93" s="322">
        <f t="shared" si="17"/>
        <v>0</v>
      </c>
      <c r="F93" s="318"/>
      <c r="G93" s="328">
        <f t="shared" si="16"/>
        <v>0</v>
      </c>
      <c r="H93" s="112"/>
      <c r="I93" s="112"/>
      <c r="J93" s="112"/>
      <c r="K93" s="231"/>
      <c r="L93" s="112"/>
      <c r="M93" s="96">
        <f t="shared" si="11"/>
        <v>0</v>
      </c>
      <c r="N93" s="96" t="e">
        <f t="shared" si="12"/>
        <v>#DIV/0!</v>
      </c>
      <c r="O93" s="107" t="s">
        <v>171</v>
      </c>
      <c r="P93" s="43" t="s">
        <v>200</v>
      </c>
    </row>
    <row r="94" spans="1:16" s="228" customFormat="1" ht="15.5" x14ac:dyDescent="0.35">
      <c r="A94" s="103"/>
      <c r="B94" s="79"/>
      <c r="C94" s="79"/>
      <c r="D94" s="111">
        <f t="shared" si="15"/>
        <v>1</v>
      </c>
      <c r="E94" s="322">
        <f t="shared" si="17"/>
        <v>0</v>
      </c>
      <c r="F94" s="318"/>
      <c r="G94" s="328">
        <f t="shared" si="16"/>
        <v>0</v>
      </c>
      <c r="H94" s="112"/>
      <c r="I94" s="112"/>
      <c r="J94" s="112"/>
      <c r="K94" s="231"/>
      <c r="L94" s="112"/>
      <c r="M94" s="96">
        <f t="shared" si="11"/>
        <v>0</v>
      </c>
      <c r="N94" s="96" t="e">
        <f t="shared" si="12"/>
        <v>#DIV/0!</v>
      </c>
      <c r="O94" s="107" t="s">
        <v>191</v>
      </c>
      <c r="P94" s="239"/>
    </row>
    <row r="95" spans="1:16" ht="15.5" x14ac:dyDescent="0.35">
      <c r="A95" s="103"/>
      <c r="B95" s="79"/>
      <c r="C95" s="79"/>
      <c r="D95" s="111">
        <f t="shared" si="15"/>
        <v>1</v>
      </c>
      <c r="E95" s="322">
        <f t="shared" si="17"/>
        <v>0</v>
      </c>
      <c r="F95" s="318"/>
      <c r="G95" s="328">
        <f t="shared" si="16"/>
        <v>0</v>
      </c>
      <c r="H95" s="112"/>
      <c r="I95" s="112"/>
      <c r="J95" s="112"/>
      <c r="K95" s="231"/>
      <c r="L95" s="112"/>
      <c r="M95" s="96">
        <f>+(($H$6*H95)+($I$6*I95)+($J$6*J95)+($K$6*K95)+(13*L95))</f>
        <v>0</v>
      </c>
      <c r="N95" s="96" t="e">
        <f t="shared" si="12"/>
        <v>#DIV/0!</v>
      </c>
      <c r="O95" s="107" t="s">
        <v>173</v>
      </c>
      <c r="P95" s="43"/>
    </row>
    <row r="96" spans="1:16" ht="15.5" x14ac:dyDescent="0.35">
      <c r="A96" s="103"/>
      <c r="B96" s="79"/>
      <c r="C96" s="79"/>
      <c r="D96" s="111">
        <f t="shared" si="15"/>
        <v>1</v>
      </c>
      <c r="E96" s="322">
        <f t="shared" si="17"/>
        <v>0</v>
      </c>
      <c r="F96" s="318"/>
      <c r="G96" s="328">
        <f t="shared" si="16"/>
        <v>0</v>
      </c>
      <c r="H96" s="112"/>
      <c r="I96" s="112"/>
      <c r="J96" s="112"/>
      <c r="K96" s="231"/>
      <c r="L96" s="112"/>
      <c r="M96" s="96">
        <f t="shared" si="11"/>
        <v>0</v>
      </c>
      <c r="N96" s="96" t="e">
        <f t="shared" si="12"/>
        <v>#DIV/0!</v>
      </c>
      <c r="O96" s="107" t="s">
        <v>171</v>
      </c>
      <c r="P96" s="43"/>
    </row>
    <row r="97" spans="1:16" ht="15.5" x14ac:dyDescent="0.35">
      <c r="A97" s="103"/>
      <c r="B97" s="79"/>
      <c r="C97" s="79"/>
      <c r="D97" s="111">
        <f t="shared" si="15"/>
        <v>1</v>
      </c>
      <c r="E97" s="322">
        <f t="shared" si="17"/>
        <v>0</v>
      </c>
      <c r="F97" s="318"/>
      <c r="G97" s="328">
        <f t="shared" si="16"/>
        <v>0</v>
      </c>
      <c r="H97" s="112"/>
      <c r="I97" s="112"/>
      <c r="J97" s="112"/>
      <c r="K97" s="231"/>
      <c r="L97" s="112"/>
      <c r="M97" s="96">
        <f t="shared" si="11"/>
        <v>0</v>
      </c>
      <c r="N97" s="96" t="e">
        <f t="shared" si="12"/>
        <v>#DIV/0!</v>
      </c>
      <c r="O97" s="107" t="s">
        <v>188</v>
      </c>
      <c r="P97" s="43"/>
    </row>
    <row r="98" spans="1:16" ht="15.5" x14ac:dyDescent="0.35">
      <c r="A98" s="103"/>
      <c r="B98" s="79"/>
      <c r="C98" s="79"/>
      <c r="D98" s="111">
        <f t="shared" si="15"/>
        <v>1</v>
      </c>
      <c r="E98" s="322">
        <f t="shared" si="17"/>
        <v>0</v>
      </c>
      <c r="F98" s="318"/>
      <c r="G98" s="328">
        <f t="shared" si="16"/>
        <v>0</v>
      </c>
      <c r="H98" s="112"/>
      <c r="I98" s="112"/>
      <c r="J98" s="112"/>
      <c r="K98" s="231"/>
      <c r="L98" s="112"/>
      <c r="M98" s="96">
        <f t="shared" si="11"/>
        <v>0</v>
      </c>
      <c r="N98" s="96" t="e">
        <f t="shared" si="12"/>
        <v>#DIV/0!</v>
      </c>
      <c r="O98" s="107" t="s">
        <v>173</v>
      </c>
      <c r="P98" s="43"/>
    </row>
    <row r="99" spans="1:16" ht="15.5" x14ac:dyDescent="0.35">
      <c r="A99" s="103"/>
      <c r="B99" s="79"/>
      <c r="C99" s="79"/>
      <c r="D99" s="111">
        <f t="shared" si="15"/>
        <v>1</v>
      </c>
      <c r="E99" s="322">
        <f t="shared" si="17"/>
        <v>0</v>
      </c>
      <c r="F99" s="318"/>
      <c r="G99" s="328">
        <f t="shared" si="16"/>
        <v>0</v>
      </c>
      <c r="H99" s="112"/>
      <c r="I99" s="112"/>
      <c r="J99" s="112"/>
      <c r="K99" s="231"/>
      <c r="L99" s="112"/>
      <c r="M99" s="96">
        <f t="shared" si="11"/>
        <v>0</v>
      </c>
      <c r="N99" s="96" t="e">
        <f t="shared" si="12"/>
        <v>#DIV/0!</v>
      </c>
      <c r="O99" s="107" t="s">
        <v>191</v>
      </c>
      <c r="P99" s="43"/>
    </row>
    <row r="100" spans="1:16" ht="15.5" x14ac:dyDescent="0.35">
      <c r="A100" s="103"/>
      <c r="B100" s="79"/>
      <c r="C100" s="79"/>
      <c r="D100" s="111">
        <f>1+C100-B100</f>
        <v>1</v>
      </c>
      <c r="E100" s="322">
        <f t="shared" si="17"/>
        <v>0</v>
      </c>
      <c r="F100" s="318"/>
      <c r="G100" s="328">
        <f t="shared" si="16"/>
        <v>0</v>
      </c>
      <c r="H100" s="112"/>
      <c r="I100" s="112"/>
      <c r="J100" s="112"/>
      <c r="K100" s="231"/>
      <c r="L100" s="112"/>
      <c r="M100" s="96">
        <f t="shared" si="11"/>
        <v>0</v>
      </c>
      <c r="N100" s="96" t="e">
        <f t="shared" si="12"/>
        <v>#DIV/0!</v>
      </c>
      <c r="O100" s="107" t="s">
        <v>186</v>
      </c>
      <c r="P100" s="43"/>
    </row>
    <row r="101" spans="1:16" ht="15.5" x14ac:dyDescent="0.35">
      <c r="A101" s="103"/>
      <c r="B101" s="79"/>
      <c r="C101" s="79"/>
      <c r="D101" s="111">
        <f>1+C101-B101</f>
        <v>1</v>
      </c>
      <c r="E101" s="322">
        <f t="shared" si="17"/>
        <v>0</v>
      </c>
      <c r="F101" s="318"/>
      <c r="G101" s="328">
        <f t="shared" si="16"/>
        <v>0</v>
      </c>
      <c r="H101" s="112"/>
      <c r="I101" s="112"/>
      <c r="J101" s="112"/>
      <c r="K101" s="231"/>
      <c r="L101" s="112"/>
      <c r="M101" s="96">
        <f t="shared" si="11"/>
        <v>0</v>
      </c>
      <c r="N101" s="96" t="e">
        <f t="shared" si="12"/>
        <v>#DIV/0!</v>
      </c>
      <c r="O101" s="107" t="s">
        <v>164</v>
      </c>
      <c r="P101" s="43"/>
    </row>
    <row r="102" spans="1:16" ht="15.5" x14ac:dyDescent="0.35">
      <c r="A102" s="103"/>
      <c r="B102" s="79"/>
      <c r="C102" s="79"/>
      <c r="D102" s="111">
        <f t="shared" ref="D102:D140" si="18">1+C102-B102</f>
        <v>1</v>
      </c>
      <c r="E102" s="322">
        <f t="shared" si="17"/>
        <v>0</v>
      </c>
      <c r="F102" s="318"/>
      <c r="G102" s="328">
        <f t="shared" si="16"/>
        <v>0</v>
      </c>
      <c r="H102" s="112"/>
      <c r="I102" s="112"/>
      <c r="J102" s="112"/>
      <c r="K102" s="231"/>
      <c r="L102" s="112"/>
      <c r="M102" s="96">
        <f t="shared" si="11"/>
        <v>0</v>
      </c>
      <c r="N102" s="96" t="e">
        <f t="shared" si="12"/>
        <v>#DIV/0!</v>
      </c>
      <c r="O102" s="107" t="s">
        <v>173</v>
      </c>
      <c r="P102" s="43"/>
    </row>
    <row r="103" spans="1:16" ht="15.5" x14ac:dyDescent="0.35">
      <c r="A103" s="103"/>
      <c r="B103" s="79"/>
      <c r="C103" s="79"/>
      <c r="D103" s="111">
        <f t="shared" si="18"/>
        <v>1</v>
      </c>
      <c r="E103" s="322"/>
      <c r="F103" s="318"/>
      <c r="G103" s="328">
        <f t="shared" si="16"/>
        <v>0</v>
      </c>
      <c r="H103" s="112"/>
      <c r="I103" s="112"/>
      <c r="J103" s="112"/>
      <c r="K103" s="231"/>
      <c r="L103" s="112"/>
      <c r="M103" s="96">
        <f t="shared" si="11"/>
        <v>0</v>
      </c>
      <c r="N103" s="96" t="e">
        <f t="shared" si="12"/>
        <v>#DIV/0!</v>
      </c>
      <c r="O103" s="107"/>
      <c r="P103" s="43"/>
    </row>
    <row r="104" spans="1:16" ht="15.5" x14ac:dyDescent="0.35">
      <c r="A104" s="103"/>
      <c r="B104" s="79"/>
      <c r="C104" s="79"/>
      <c r="D104" s="111">
        <f t="shared" si="18"/>
        <v>1</v>
      </c>
      <c r="E104" s="322">
        <f t="shared" ref="E104:E124" si="19">F103</f>
        <v>0</v>
      </c>
      <c r="F104" s="318"/>
      <c r="G104" s="328">
        <f t="shared" si="16"/>
        <v>0</v>
      </c>
      <c r="H104" s="112"/>
      <c r="I104" s="112"/>
      <c r="J104" s="112"/>
      <c r="K104" s="231"/>
      <c r="L104" s="112"/>
      <c r="M104" s="96">
        <f t="shared" ref="M104:M140" si="20">+(($H$6*H104)+($I$6*I104)+($J$6*J104)+($K$6*K104)+($L$6*L104))</f>
        <v>0</v>
      </c>
      <c r="N104" s="96" t="e">
        <f t="shared" si="12"/>
        <v>#DIV/0!</v>
      </c>
      <c r="O104" s="149"/>
      <c r="P104" s="43"/>
    </row>
    <row r="105" spans="1:16" ht="15.5" x14ac:dyDescent="0.35">
      <c r="A105" s="103"/>
      <c r="B105" s="79"/>
      <c r="C105" s="79"/>
      <c r="D105" s="111">
        <f t="shared" si="18"/>
        <v>1</v>
      </c>
      <c r="E105" s="322">
        <f t="shared" si="19"/>
        <v>0</v>
      </c>
      <c r="F105" s="318"/>
      <c r="G105" s="328">
        <f t="shared" si="16"/>
        <v>0</v>
      </c>
      <c r="H105" s="112"/>
      <c r="I105" s="112"/>
      <c r="J105" s="112"/>
      <c r="K105" s="231"/>
      <c r="L105" s="112"/>
      <c r="M105" s="96">
        <f t="shared" si="20"/>
        <v>0</v>
      </c>
      <c r="N105" s="96" t="e">
        <f t="shared" ref="N105:N140" si="21">M105/G105</f>
        <v>#DIV/0!</v>
      </c>
      <c r="O105" s="149"/>
      <c r="P105" s="43"/>
    </row>
    <row r="106" spans="1:16" ht="15.5" x14ac:dyDescent="0.35">
      <c r="A106" s="103"/>
      <c r="B106" s="79"/>
      <c r="C106" s="79"/>
      <c r="D106" s="111">
        <f t="shared" si="18"/>
        <v>1</v>
      </c>
      <c r="E106" s="322">
        <f t="shared" si="19"/>
        <v>0</v>
      </c>
      <c r="F106" s="318"/>
      <c r="G106" s="328">
        <f t="shared" si="16"/>
        <v>0</v>
      </c>
      <c r="H106" s="112"/>
      <c r="I106" s="112"/>
      <c r="J106" s="112"/>
      <c r="K106" s="231"/>
      <c r="L106" s="112"/>
      <c r="M106" s="96">
        <f t="shared" si="20"/>
        <v>0</v>
      </c>
      <c r="N106" s="96" t="e">
        <f t="shared" si="21"/>
        <v>#DIV/0!</v>
      </c>
      <c r="O106" s="149"/>
      <c r="P106" s="43"/>
    </row>
    <row r="107" spans="1:16" ht="15.5" x14ac:dyDescent="0.35">
      <c r="A107" s="103"/>
      <c r="B107" s="79"/>
      <c r="C107" s="79"/>
      <c r="D107" s="111">
        <f t="shared" si="18"/>
        <v>1</v>
      </c>
      <c r="E107" s="322">
        <f t="shared" si="19"/>
        <v>0</v>
      </c>
      <c r="F107" s="318"/>
      <c r="G107" s="328">
        <f t="shared" si="16"/>
        <v>0</v>
      </c>
      <c r="H107" s="112"/>
      <c r="I107" s="112"/>
      <c r="J107" s="112"/>
      <c r="K107" s="231"/>
      <c r="L107" s="112"/>
      <c r="M107" s="96">
        <f t="shared" si="20"/>
        <v>0</v>
      </c>
      <c r="N107" s="96" t="e">
        <f t="shared" si="21"/>
        <v>#DIV/0!</v>
      </c>
      <c r="O107" s="149"/>
      <c r="P107" s="43"/>
    </row>
    <row r="108" spans="1:16" ht="15.5" x14ac:dyDescent="0.35">
      <c r="A108" s="103"/>
      <c r="B108" s="79"/>
      <c r="C108" s="79"/>
      <c r="D108" s="111">
        <f t="shared" si="18"/>
        <v>1</v>
      </c>
      <c r="E108" s="322">
        <f t="shared" si="19"/>
        <v>0</v>
      </c>
      <c r="F108" s="318"/>
      <c r="G108" s="328">
        <f t="shared" si="16"/>
        <v>0</v>
      </c>
      <c r="H108" s="112"/>
      <c r="I108" s="112"/>
      <c r="J108" s="112"/>
      <c r="K108" s="231"/>
      <c r="L108" s="112"/>
      <c r="M108" s="96">
        <f t="shared" si="20"/>
        <v>0</v>
      </c>
      <c r="N108" s="96" t="e">
        <f t="shared" si="21"/>
        <v>#DIV/0!</v>
      </c>
      <c r="O108" s="107"/>
      <c r="P108" s="43"/>
    </row>
    <row r="109" spans="1:16" ht="15.5" x14ac:dyDescent="0.35">
      <c r="A109" s="103"/>
      <c r="B109" s="79"/>
      <c r="C109" s="79"/>
      <c r="D109" s="111">
        <f t="shared" si="18"/>
        <v>1</v>
      </c>
      <c r="E109" s="322">
        <f t="shared" si="19"/>
        <v>0</v>
      </c>
      <c r="F109" s="318"/>
      <c r="G109" s="328">
        <f t="shared" si="16"/>
        <v>0</v>
      </c>
      <c r="H109" s="112"/>
      <c r="I109" s="112"/>
      <c r="J109" s="112"/>
      <c r="K109" s="231"/>
      <c r="L109" s="112"/>
      <c r="M109" s="96">
        <f t="shared" si="20"/>
        <v>0</v>
      </c>
      <c r="N109" s="96" t="e">
        <f t="shared" si="21"/>
        <v>#DIV/0!</v>
      </c>
      <c r="O109" s="107"/>
      <c r="P109" s="43"/>
    </row>
    <row r="110" spans="1:16" ht="15.5" x14ac:dyDescent="0.35">
      <c r="A110" s="103"/>
      <c r="B110" s="79"/>
      <c r="C110" s="79"/>
      <c r="D110" s="111">
        <f t="shared" si="18"/>
        <v>1</v>
      </c>
      <c r="E110" s="322">
        <f t="shared" si="19"/>
        <v>0</v>
      </c>
      <c r="F110" s="318"/>
      <c r="G110" s="328">
        <f t="shared" si="16"/>
        <v>0</v>
      </c>
      <c r="H110" s="112"/>
      <c r="I110" s="112"/>
      <c r="J110" s="112"/>
      <c r="K110" s="231"/>
      <c r="L110" s="112"/>
      <c r="M110" s="96">
        <f t="shared" si="20"/>
        <v>0</v>
      </c>
      <c r="N110" s="96" t="e">
        <f t="shared" si="21"/>
        <v>#DIV/0!</v>
      </c>
      <c r="O110" s="107"/>
      <c r="P110" s="43"/>
    </row>
    <row r="111" spans="1:16" ht="15.5" x14ac:dyDescent="0.35">
      <c r="A111" s="103"/>
      <c r="B111" s="79"/>
      <c r="C111" s="79"/>
      <c r="D111" s="111">
        <f t="shared" si="18"/>
        <v>1</v>
      </c>
      <c r="E111" s="322">
        <f t="shared" si="19"/>
        <v>0</v>
      </c>
      <c r="F111" s="318"/>
      <c r="G111" s="328">
        <f t="shared" si="16"/>
        <v>0</v>
      </c>
      <c r="H111" s="112"/>
      <c r="I111" s="112"/>
      <c r="J111" s="112"/>
      <c r="K111" s="231"/>
      <c r="L111" s="112"/>
      <c r="M111" s="96">
        <f t="shared" si="20"/>
        <v>0</v>
      </c>
      <c r="N111" s="96" t="e">
        <f t="shared" si="21"/>
        <v>#DIV/0!</v>
      </c>
      <c r="O111" s="107"/>
      <c r="P111" s="43"/>
    </row>
    <row r="112" spans="1:16" ht="15.5" x14ac:dyDescent="0.35">
      <c r="A112" s="103"/>
      <c r="B112" s="79"/>
      <c r="C112" s="79"/>
      <c r="D112" s="111">
        <f t="shared" si="18"/>
        <v>1</v>
      </c>
      <c r="E112" s="322">
        <f t="shared" si="19"/>
        <v>0</v>
      </c>
      <c r="F112" s="318"/>
      <c r="G112" s="328">
        <f t="shared" si="16"/>
        <v>0</v>
      </c>
      <c r="H112" s="112"/>
      <c r="I112" s="112"/>
      <c r="J112" s="112"/>
      <c r="K112" s="231"/>
      <c r="L112" s="112"/>
      <c r="M112" s="96">
        <f t="shared" si="20"/>
        <v>0</v>
      </c>
      <c r="N112" s="96" t="e">
        <f t="shared" si="21"/>
        <v>#DIV/0!</v>
      </c>
      <c r="O112" s="107"/>
      <c r="P112" s="43"/>
    </row>
    <row r="113" spans="1:16" ht="15.5" x14ac:dyDescent="0.35">
      <c r="A113" s="103"/>
      <c r="B113" s="79"/>
      <c r="C113" s="79"/>
      <c r="D113" s="111">
        <f t="shared" si="18"/>
        <v>1</v>
      </c>
      <c r="E113" s="322">
        <f t="shared" si="19"/>
        <v>0</v>
      </c>
      <c r="F113" s="318"/>
      <c r="G113" s="328">
        <f t="shared" si="16"/>
        <v>0</v>
      </c>
      <c r="H113" s="112"/>
      <c r="I113" s="112"/>
      <c r="J113" s="112"/>
      <c r="K113" s="231"/>
      <c r="L113" s="112"/>
      <c r="M113" s="96">
        <f t="shared" si="20"/>
        <v>0</v>
      </c>
      <c r="N113" s="96" t="e">
        <f t="shared" si="21"/>
        <v>#DIV/0!</v>
      </c>
      <c r="O113" s="336"/>
      <c r="P113" s="43"/>
    </row>
    <row r="114" spans="1:16" ht="15.5" x14ac:dyDescent="0.35">
      <c r="A114" s="103"/>
      <c r="B114" s="79"/>
      <c r="C114" s="79"/>
      <c r="D114" s="111">
        <f t="shared" si="18"/>
        <v>1</v>
      </c>
      <c r="E114" s="322">
        <f t="shared" si="19"/>
        <v>0</v>
      </c>
      <c r="F114" s="318"/>
      <c r="G114" s="328">
        <f t="shared" si="16"/>
        <v>0</v>
      </c>
      <c r="H114" s="112"/>
      <c r="I114" s="112"/>
      <c r="J114" s="112"/>
      <c r="K114" s="231"/>
      <c r="L114" s="112"/>
      <c r="M114" s="96">
        <f t="shared" si="20"/>
        <v>0</v>
      </c>
      <c r="N114" s="96" t="e">
        <f t="shared" si="21"/>
        <v>#DIV/0!</v>
      </c>
      <c r="O114" s="336"/>
      <c r="P114" s="43"/>
    </row>
    <row r="115" spans="1:16" ht="15.5" x14ac:dyDescent="0.35">
      <c r="A115" s="103"/>
      <c r="B115" s="79"/>
      <c r="C115" s="79"/>
      <c r="D115" s="111">
        <f t="shared" si="18"/>
        <v>1</v>
      </c>
      <c r="E115" s="322">
        <f t="shared" si="19"/>
        <v>0</v>
      </c>
      <c r="F115" s="318"/>
      <c r="G115" s="328">
        <f t="shared" si="16"/>
        <v>0</v>
      </c>
      <c r="H115" s="112"/>
      <c r="I115" s="112"/>
      <c r="J115" s="112"/>
      <c r="K115" s="231"/>
      <c r="L115" s="112"/>
      <c r="M115" s="96">
        <f t="shared" si="20"/>
        <v>0</v>
      </c>
      <c r="N115" s="96" t="e">
        <f t="shared" si="21"/>
        <v>#DIV/0!</v>
      </c>
      <c r="O115" s="107"/>
      <c r="P115" s="43"/>
    </row>
    <row r="116" spans="1:16" ht="15.5" x14ac:dyDescent="0.35">
      <c r="A116" s="103"/>
      <c r="B116" s="79"/>
      <c r="C116" s="79"/>
      <c r="D116" s="111">
        <f t="shared" si="18"/>
        <v>1</v>
      </c>
      <c r="E116" s="322">
        <f t="shared" si="19"/>
        <v>0</v>
      </c>
      <c r="F116" s="318"/>
      <c r="G116" s="328">
        <f t="shared" si="16"/>
        <v>0</v>
      </c>
      <c r="H116" s="112"/>
      <c r="I116" s="112"/>
      <c r="J116" s="112"/>
      <c r="K116" s="231"/>
      <c r="L116" s="112"/>
      <c r="M116" s="96">
        <f t="shared" si="20"/>
        <v>0</v>
      </c>
      <c r="N116" s="96" t="e">
        <f t="shared" si="21"/>
        <v>#DIV/0!</v>
      </c>
      <c r="O116" s="107"/>
      <c r="P116" s="43"/>
    </row>
    <row r="117" spans="1:16" ht="15.5" x14ac:dyDescent="0.35">
      <c r="A117" s="103"/>
      <c r="B117" s="79"/>
      <c r="C117" s="79"/>
      <c r="D117" s="111">
        <f t="shared" si="18"/>
        <v>1</v>
      </c>
      <c r="E117" s="322">
        <f t="shared" si="19"/>
        <v>0</v>
      </c>
      <c r="F117" s="318"/>
      <c r="G117" s="328">
        <f t="shared" ref="G117:G140" si="22">(F117-E117)/100</f>
        <v>0</v>
      </c>
      <c r="H117" s="112"/>
      <c r="I117" s="112"/>
      <c r="J117" s="112"/>
      <c r="K117" s="231"/>
      <c r="L117" s="112"/>
      <c r="M117" s="96">
        <f t="shared" si="20"/>
        <v>0</v>
      </c>
      <c r="N117" s="96" t="e">
        <f t="shared" si="21"/>
        <v>#DIV/0!</v>
      </c>
      <c r="O117" s="107"/>
      <c r="P117" s="43"/>
    </row>
    <row r="118" spans="1:16" ht="15.5" x14ac:dyDescent="0.35">
      <c r="A118" s="103"/>
      <c r="B118" s="79"/>
      <c r="C118" s="79"/>
      <c r="D118" s="111">
        <f t="shared" si="18"/>
        <v>1</v>
      </c>
      <c r="E118" s="322">
        <f t="shared" si="19"/>
        <v>0</v>
      </c>
      <c r="F118" s="318"/>
      <c r="G118" s="328">
        <f t="shared" si="22"/>
        <v>0</v>
      </c>
      <c r="H118" s="112"/>
      <c r="I118" s="112"/>
      <c r="J118" s="112"/>
      <c r="K118" s="231"/>
      <c r="L118" s="112"/>
      <c r="M118" s="96">
        <f t="shared" si="20"/>
        <v>0</v>
      </c>
      <c r="N118" s="96" t="e">
        <f t="shared" si="21"/>
        <v>#DIV/0!</v>
      </c>
      <c r="O118" s="107"/>
      <c r="P118" s="43"/>
    </row>
    <row r="119" spans="1:16" ht="15.5" x14ac:dyDescent="0.35">
      <c r="A119" s="103"/>
      <c r="B119" s="79"/>
      <c r="C119" s="79"/>
      <c r="D119" s="111">
        <f t="shared" si="18"/>
        <v>1</v>
      </c>
      <c r="E119" s="322">
        <f t="shared" si="19"/>
        <v>0</v>
      </c>
      <c r="F119" s="318"/>
      <c r="G119" s="328">
        <f t="shared" si="22"/>
        <v>0</v>
      </c>
      <c r="H119" s="112"/>
      <c r="I119" s="112"/>
      <c r="J119" s="112"/>
      <c r="K119" s="231"/>
      <c r="L119" s="112"/>
      <c r="M119" s="96">
        <f t="shared" si="20"/>
        <v>0</v>
      </c>
      <c r="N119" s="96" t="e">
        <f t="shared" si="21"/>
        <v>#DIV/0!</v>
      </c>
      <c r="O119" s="107"/>
      <c r="P119" s="43"/>
    </row>
    <row r="120" spans="1:16" ht="15.5" x14ac:dyDescent="0.35">
      <c r="A120" s="103"/>
      <c r="B120" s="79"/>
      <c r="C120" s="79"/>
      <c r="D120" s="111">
        <f t="shared" si="18"/>
        <v>1</v>
      </c>
      <c r="E120" s="322">
        <f t="shared" si="19"/>
        <v>0</v>
      </c>
      <c r="F120" s="318"/>
      <c r="G120" s="328">
        <f t="shared" si="22"/>
        <v>0</v>
      </c>
      <c r="H120" s="112"/>
      <c r="I120" s="112"/>
      <c r="J120" s="112"/>
      <c r="K120" s="231"/>
      <c r="L120" s="112"/>
      <c r="M120" s="96">
        <f t="shared" si="20"/>
        <v>0</v>
      </c>
      <c r="N120" s="96" t="e">
        <f t="shared" si="21"/>
        <v>#DIV/0!</v>
      </c>
      <c r="O120" s="107"/>
      <c r="P120" s="43"/>
    </row>
    <row r="121" spans="1:16" s="247" customFormat="1" ht="15.5" x14ac:dyDescent="0.35">
      <c r="A121" s="103"/>
      <c r="B121" s="79"/>
      <c r="C121" s="79"/>
      <c r="D121" s="111">
        <f t="shared" si="18"/>
        <v>1</v>
      </c>
      <c r="E121" s="322">
        <f t="shared" si="19"/>
        <v>0</v>
      </c>
      <c r="F121" s="318"/>
      <c r="G121" s="328">
        <f t="shared" si="22"/>
        <v>0</v>
      </c>
      <c r="H121" s="112"/>
      <c r="I121" s="112"/>
      <c r="J121" s="112"/>
      <c r="K121" s="231"/>
      <c r="L121" s="112"/>
      <c r="M121" s="96">
        <f t="shared" si="20"/>
        <v>0</v>
      </c>
      <c r="N121" s="96" t="e">
        <f t="shared" si="21"/>
        <v>#DIV/0!</v>
      </c>
      <c r="O121" s="107"/>
      <c r="P121" s="295"/>
    </row>
    <row r="122" spans="1:16" ht="15.5" x14ac:dyDescent="0.35">
      <c r="A122" s="104"/>
      <c r="B122" s="79"/>
      <c r="C122" s="79"/>
      <c r="D122" s="111">
        <f t="shared" si="18"/>
        <v>1</v>
      </c>
      <c r="E122" s="322">
        <f t="shared" si="19"/>
        <v>0</v>
      </c>
      <c r="F122" s="319"/>
      <c r="G122" s="328">
        <f t="shared" si="22"/>
        <v>0</v>
      </c>
      <c r="H122" s="112"/>
      <c r="I122" s="112"/>
      <c r="J122" s="112"/>
      <c r="K122" s="231"/>
      <c r="L122" s="112"/>
      <c r="M122" s="96">
        <f t="shared" si="20"/>
        <v>0</v>
      </c>
      <c r="N122" s="96" t="e">
        <f t="shared" si="21"/>
        <v>#DIV/0!</v>
      </c>
      <c r="O122" s="238"/>
      <c r="P122" s="43"/>
    </row>
    <row r="123" spans="1:16" ht="15.5" x14ac:dyDescent="0.35">
      <c r="A123" s="103"/>
      <c r="B123" s="79"/>
      <c r="C123" s="79"/>
      <c r="D123" s="111">
        <f t="shared" si="18"/>
        <v>1</v>
      </c>
      <c r="E123" s="322">
        <f t="shared" si="19"/>
        <v>0</v>
      </c>
      <c r="F123" s="318"/>
      <c r="G123" s="328">
        <f t="shared" si="22"/>
        <v>0</v>
      </c>
      <c r="H123" s="112"/>
      <c r="I123" s="112"/>
      <c r="J123" s="112"/>
      <c r="K123" s="231"/>
      <c r="L123" s="112"/>
      <c r="M123" s="96">
        <f t="shared" si="20"/>
        <v>0</v>
      </c>
      <c r="N123" s="96" t="e">
        <f t="shared" si="21"/>
        <v>#DIV/0!</v>
      </c>
      <c r="O123" s="43"/>
      <c r="P123" s="43"/>
    </row>
    <row r="124" spans="1:16" ht="15.5" x14ac:dyDescent="0.35">
      <c r="A124" s="103"/>
      <c r="B124" s="79"/>
      <c r="C124" s="79"/>
      <c r="D124" s="111">
        <f t="shared" si="18"/>
        <v>1</v>
      </c>
      <c r="E124" s="322">
        <f t="shared" si="19"/>
        <v>0</v>
      </c>
      <c r="F124" s="318"/>
      <c r="G124" s="328">
        <f t="shared" si="22"/>
        <v>0</v>
      </c>
      <c r="H124" s="112"/>
      <c r="I124" s="112"/>
      <c r="J124" s="112"/>
      <c r="K124" s="231"/>
      <c r="L124" s="112"/>
      <c r="M124" s="96">
        <f t="shared" si="20"/>
        <v>0</v>
      </c>
      <c r="N124" s="96" t="e">
        <f t="shared" si="21"/>
        <v>#DIV/0!</v>
      </c>
      <c r="O124" s="43"/>
      <c r="P124" s="43"/>
    </row>
    <row r="125" spans="1:16" ht="15.5" x14ac:dyDescent="0.35">
      <c r="A125" s="103"/>
      <c r="B125" s="79"/>
      <c r="C125" s="79"/>
      <c r="D125" s="111">
        <f t="shared" si="18"/>
        <v>1</v>
      </c>
      <c r="E125" s="322">
        <f t="shared" ref="E125:E140" si="23">F124</f>
        <v>0</v>
      </c>
      <c r="F125" s="318"/>
      <c r="G125" s="328">
        <f t="shared" si="22"/>
        <v>0</v>
      </c>
      <c r="H125" s="112"/>
      <c r="I125" s="112"/>
      <c r="J125" s="112"/>
      <c r="K125" s="231"/>
      <c r="L125" s="112"/>
      <c r="M125" s="96">
        <f t="shared" si="20"/>
        <v>0</v>
      </c>
      <c r="N125" s="96" t="e">
        <f t="shared" si="21"/>
        <v>#DIV/0!</v>
      </c>
      <c r="O125" s="43"/>
      <c r="P125" s="43"/>
    </row>
    <row r="126" spans="1:16" ht="15.5" x14ac:dyDescent="0.35">
      <c r="A126" s="103"/>
      <c r="B126" s="79"/>
      <c r="C126" s="79"/>
      <c r="D126" s="111">
        <f t="shared" si="18"/>
        <v>1</v>
      </c>
      <c r="E126" s="322">
        <f t="shared" si="23"/>
        <v>0</v>
      </c>
      <c r="F126" s="318"/>
      <c r="G126" s="328">
        <f t="shared" si="22"/>
        <v>0</v>
      </c>
      <c r="H126" s="112"/>
      <c r="I126" s="112"/>
      <c r="J126" s="112"/>
      <c r="K126" s="231"/>
      <c r="L126" s="112"/>
      <c r="M126" s="96">
        <f t="shared" si="20"/>
        <v>0</v>
      </c>
      <c r="N126" s="96" t="e">
        <f t="shared" si="21"/>
        <v>#DIV/0!</v>
      </c>
      <c r="O126" s="43"/>
      <c r="P126" s="43"/>
    </row>
    <row r="127" spans="1:16" ht="15.5" x14ac:dyDescent="0.35">
      <c r="A127" s="103"/>
      <c r="B127" s="79"/>
      <c r="C127" s="79"/>
      <c r="D127" s="111">
        <f t="shared" si="18"/>
        <v>1</v>
      </c>
      <c r="E127" s="322">
        <f t="shared" si="23"/>
        <v>0</v>
      </c>
      <c r="F127" s="318"/>
      <c r="G127" s="328">
        <f t="shared" si="22"/>
        <v>0</v>
      </c>
      <c r="H127" s="112"/>
      <c r="I127" s="112"/>
      <c r="J127" s="112"/>
      <c r="K127" s="231"/>
      <c r="L127" s="112"/>
      <c r="M127" s="96">
        <f t="shared" si="20"/>
        <v>0</v>
      </c>
      <c r="N127" s="96" t="e">
        <f t="shared" si="21"/>
        <v>#DIV/0!</v>
      </c>
      <c r="O127" s="43"/>
      <c r="P127" s="43"/>
    </row>
    <row r="128" spans="1:16" ht="15.5" x14ac:dyDescent="0.35">
      <c r="A128" s="103"/>
      <c r="B128" s="79"/>
      <c r="C128" s="79"/>
      <c r="D128" s="111">
        <f t="shared" si="18"/>
        <v>1</v>
      </c>
      <c r="E128" s="322">
        <f t="shared" si="23"/>
        <v>0</v>
      </c>
      <c r="F128" s="318"/>
      <c r="G128" s="328">
        <f t="shared" si="22"/>
        <v>0</v>
      </c>
      <c r="H128" s="112"/>
      <c r="I128" s="112"/>
      <c r="J128" s="112"/>
      <c r="K128" s="231"/>
      <c r="L128" s="112"/>
      <c r="M128" s="96">
        <f t="shared" si="20"/>
        <v>0</v>
      </c>
      <c r="N128" s="96" t="e">
        <f t="shared" si="21"/>
        <v>#DIV/0!</v>
      </c>
      <c r="O128" s="43"/>
      <c r="P128" s="43"/>
    </row>
    <row r="129" spans="1:16" ht="15.5" x14ac:dyDescent="0.35">
      <c r="A129" s="103"/>
      <c r="B129" s="79"/>
      <c r="C129" s="79"/>
      <c r="D129" s="111">
        <f t="shared" si="18"/>
        <v>1</v>
      </c>
      <c r="E129" s="322">
        <f t="shared" si="23"/>
        <v>0</v>
      </c>
      <c r="F129" s="318"/>
      <c r="G129" s="328">
        <f t="shared" si="22"/>
        <v>0</v>
      </c>
      <c r="H129" s="112"/>
      <c r="I129" s="112"/>
      <c r="J129" s="112"/>
      <c r="K129" s="231"/>
      <c r="L129" s="112"/>
      <c r="M129" s="96">
        <f t="shared" si="20"/>
        <v>0</v>
      </c>
      <c r="N129" s="96" t="e">
        <f t="shared" si="21"/>
        <v>#DIV/0!</v>
      </c>
      <c r="O129" s="43"/>
      <c r="P129" s="43"/>
    </row>
    <row r="130" spans="1:16" ht="15.5" x14ac:dyDescent="0.35">
      <c r="A130" s="103"/>
      <c r="B130" s="79"/>
      <c r="C130" s="79"/>
      <c r="D130" s="111">
        <f t="shared" si="18"/>
        <v>1</v>
      </c>
      <c r="E130" s="322">
        <f t="shared" si="23"/>
        <v>0</v>
      </c>
      <c r="F130" s="319"/>
      <c r="G130" s="328">
        <f t="shared" si="22"/>
        <v>0</v>
      </c>
      <c r="H130" s="112"/>
      <c r="I130" s="112"/>
      <c r="J130" s="112"/>
      <c r="K130" s="231"/>
      <c r="L130" s="112"/>
      <c r="M130" s="96">
        <f t="shared" si="20"/>
        <v>0</v>
      </c>
      <c r="N130" s="96" t="e">
        <f t="shared" si="21"/>
        <v>#DIV/0!</v>
      </c>
      <c r="O130" s="296"/>
      <c r="P130" s="43"/>
    </row>
    <row r="131" spans="1:16" ht="15.5" x14ac:dyDescent="0.35">
      <c r="A131" s="103"/>
      <c r="B131" s="79"/>
      <c r="C131" s="79"/>
      <c r="D131" s="111">
        <f t="shared" si="18"/>
        <v>1</v>
      </c>
      <c r="E131" s="322">
        <f t="shared" si="23"/>
        <v>0</v>
      </c>
      <c r="F131" s="318"/>
      <c r="G131" s="328">
        <f t="shared" si="22"/>
        <v>0</v>
      </c>
      <c r="H131" s="112"/>
      <c r="I131" s="112"/>
      <c r="J131" s="112"/>
      <c r="K131" s="231"/>
      <c r="L131" s="112"/>
      <c r="M131" s="96">
        <f t="shared" si="20"/>
        <v>0</v>
      </c>
      <c r="N131" s="96" t="e">
        <f t="shared" si="21"/>
        <v>#DIV/0!</v>
      </c>
      <c r="O131" s="43"/>
      <c r="P131" s="43"/>
    </row>
    <row r="132" spans="1:16" ht="15.5" x14ac:dyDescent="0.35">
      <c r="A132" s="103"/>
      <c r="B132" s="79"/>
      <c r="C132" s="79"/>
      <c r="D132" s="111">
        <f t="shared" si="18"/>
        <v>1</v>
      </c>
      <c r="E132" s="322">
        <f t="shared" si="23"/>
        <v>0</v>
      </c>
      <c r="F132" s="318"/>
      <c r="G132" s="328">
        <f t="shared" si="22"/>
        <v>0</v>
      </c>
      <c r="H132" s="112"/>
      <c r="I132" s="112"/>
      <c r="J132" s="112"/>
      <c r="K132" s="231"/>
      <c r="L132" s="112"/>
      <c r="M132" s="96">
        <f t="shared" si="20"/>
        <v>0</v>
      </c>
      <c r="N132" s="96" t="e">
        <f t="shared" si="21"/>
        <v>#DIV/0!</v>
      </c>
      <c r="O132" s="43"/>
      <c r="P132" s="43"/>
    </row>
    <row r="133" spans="1:16" ht="15.5" x14ac:dyDescent="0.35">
      <c r="A133" s="103"/>
      <c r="B133" s="79"/>
      <c r="C133" s="79"/>
      <c r="D133" s="111">
        <f t="shared" si="18"/>
        <v>1</v>
      </c>
      <c r="E133" s="322">
        <f t="shared" si="23"/>
        <v>0</v>
      </c>
      <c r="F133" s="318"/>
      <c r="G133" s="328">
        <f t="shared" si="22"/>
        <v>0</v>
      </c>
      <c r="H133" s="112"/>
      <c r="I133" s="112"/>
      <c r="J133" s="112"/>
      <c r="K133" s="231"/>
      <c r="L133" s="112"/>
      <c r="M133" s="96">
        <f t="shared" si="20"/>
        <v>0</v>
      </c>
      <c r="N133" s="96" t="e">
        <f t="shared" si="21"/>
        <v>#DIV/0!</v>
      </c>
      <c r="O133" s="43"/>
      <c r="P133" s="43"/>
    </row>
    <row r="134" spans="1:16" ht="15.5" x14ac:dyDescent="0.35">
      <c r="A134" s="103"/>
      <c r="B134" s="79"/>
      <c r="C134" s="79"/>
      <c r="D134" s="111">
        <f t="shared" si="18"/>
        <v>1</v>
      </c>
      <c r="E134" s="322">
        <f t="shared" si="23"/>
        <v>0</v>
      </c>
      <c r="F134" s="318"/>
      <c r="G134" s="328">
        <f t="shared" si="22"/>
        <v>0</v>
      </c>
      <c r="H134" s="112"/>
      <c r="I134" s="112"/>
      <c r="J134" s="112"/>
      <c r="K134" s="231"/>
      <c r="L134" s="112"/>
      <c r="M134" s="96">
        <f t="shared" si="20"/>
        <v>0</v>
      </c>
      <c r="N134" s="96" t="e">
        <f t="shared" si="21"/>
        <v>#DIV/0!</v>
      </c>
      <c r="O134" s="43"/>
      <c r="P134" s="43"/>
    </row>
    <row r="135" spans="1:16" ht="15.5" x14ac:dyDescent="0.35">
      <c r="A135" s="103"/>
      <c r="B135" s="79"/>
      <c r="C135" s="79"/>
      <c r="D135" s="111">
        <f t="shared" si="18"/>
        <v>1</v>
      </c>
      <c r="E135" s="322">
        <f t="shared" si="23"/>
        <v>0</v>
      </c>
      <c r="F135" s="318"/>
      <c r="G135" s="328">
        <f t="shared" si="22"/>
        <v>0</v>
      </c>
      <c r="H135" s="112"/>
      <c r="I135" s="112"/>
      <c r="J135" s="112"/>
      <c r="K135" s="231"/>
      <c r="L135" s="112"/>
      <c r="M135" s="96">
        <f t="shared" si="20"/>
        <v>0</v>
      </c>
      <c r="N135" s="96" t="e">
        <f t="shared" si="21"/>
        <v>#DIV/0!</v>
      </c>
      <c r="O135" s="43"/>
      <c r="P135" s="43"/>
    </row>
    <row r="136" spans="1:16" ht="15.5" x14ac:dyDescent="0.35">
      <c r="A136" s="103"/>
      <c r="B136" s="79"/>
      <c r="C136" s="79"/>
      <c r="D136" s="111">
        <f t="shared" si="18"/>
        <v>1</v>
      </c>
      <c r="E136" s="322">
        <f t="shared" si="23"/>
        <v>0</v>
      </c>
      <c r="F136" s="319"/>
      <c r="G136" s="328">
        <f t="shared" si="22"/>
        <v>0</v>
      </c>
      <c r="H136" s="112"/>
      <c r="I136" s="112"/>
      <c r="J136" s="112"/>
      <c r="K136" s="231"/>
      <c r="L136" s="112"/>
      <c r="M136" s="96">
        <f t="shared" si="20"/>
        <v>0</v>
      </c>
      <c r="N136" s="96" t="e">
        <f t="shared" si="21"/>
        <v>#DIV/0!</v>
      </c>
      <c r="O136" s="239"/>
      <c r="P136" s="43"/>
    </row>
    <row r="137" spans="1:16" ht="15.5" x14ac:dyDescent="0.35">
      <c r="A137" s="103"/>
      <c r="B137" s="79"/>
      <c r="C137" s="79"/>
      <c r="D137" s="111">
        <f t="shared" si="18"/>
        <v>1</v>
      </c>
      <c r="E137" s="322">
        <f t="shared" si="23"/>
        <v>0</v>
      </c>
      <c r="F137" s="318"/>
      <c r="G137" s="328">
        <f t="shared" si="22"/>
        <v>0</v>
      </c>
      <c r="H137" s="112"/>
      <c r="I137" s="112"/>
      <c r="J137" s="112"/>
      <c r="K137" s="231"/>
      <c r="L137" s="112"/>
      <c r="M137" s="96">
        <f t="shared" si="20"/>
        <v>0</v>
      </c>
      <c r="N137" s="96" t="e">
        <f t="shared" si="21"/>
        <v>#DIV/0!</v>
      </c>
      <c r="O137" s="43"/>
      <c r="P137" s="43"/>
    </row>
    <row r="138" spans="1:16" ht="15.5" x14ac:dyDescent="0.35">
      <c r="A138" s="103"/>
      <c r="B138" s="79"/>
      <c r="C138" s="79"/>
      <c r="D138" s="111">
        <f t="shared" si="18"/>
        <v>1</v>
      </c>
      <c r="E138" s="322">
        <f t="shared" si="23"/>
        <v>0</v>
      </c>
      <c r="F138" s="318"/>
      <c r="G138" s="328">
        <f t="shared" si="22"/>
        <v>0</v>
      </c>
      <c r="H138" s="112"/>
      <c r="I138" s="112"/>
      <c r="J138" s="112"/>
      <c r="K138" s="231"/>
      <c r="L138" s="112"/>
      <c r="M138" s="96">
        <f t="shared" si="20"/>
        <v>0</v>
      </c>
      <c r="N138" s="96" t="e">
        <f t="shared" si="21"/>
        <v>#DIV/0!</v>
      </c>
      <c r="O138" s="43"/>
      <c r="P138" s="43"/>
    </row>
    <row r="139" spans="1:16" ht="15.5" x14ac:dyDescent="0.35">
      <c r="A139" s="103"/>
      <c r="B139" s="79"/>
      <c r="C139" s="79"/>
      <c r="D139" s="111">
        <f t="shared" si="18"/>
        <v>1</v>
      </c>
      <c r="E139" s="322">
        <f t="shared" si="23"/>
        <v>0</v>
      </c>
      <c r="F139" s="318"/>
      <c r="G139" s="328">
        <f t="shared" si="22"/>
        <v>0</v>
      </c>
      <c r="H139" s="112"/>
      <c r="I139" s="112"/>
      <c r="J139" s="112"/>
      <c r="K139" s="231"/>
      <c r="L139" s="112"/>
      <c r="M139" s="96">
        <f t="shared" si="20"/>
        <v>0</v>
      </c>
      <c r="N139" s="96" t="e">
        <f t="shared" si="21"/>
        <v>#DIV/0!</v>
      </c>
      <c r="O139" s="43"/>
      <c r="P139" s="43"/>
    </row>
    <row r="140" spans="1:16" ht="15.5" x14ac:dyDescent="0.35">
      <c r="A140" s="103"/>
      <c r="B140" s="79"/>
      <c r="C140" s="79"/>
      <c r="D140" s="111">
        <f t="shared" si="18"/>
        <v>1</v>
      </c>
      <c r="E140" s="322">
        <f t="shared" si="23"/>
        <v>0</v>
      </c>
      <c r="F140" s="318"/>
      <c r="G140" s="328">
        <f t="shared" si="22"/>
        <v>0</v>
      </c>
      <c r="H140" s="112"/>
      <c r="I140" s="112"/>
      <c r="J140" s="112"/>
      <c r="K140" s="231"/>
      <c r="L140" s="112"/>
      <c r="M140" s="96">
        <f t="shared" si="20"/>
        <v>0</v>
      </c>
      <c r="N140" s="96" t="e">
        <f t="shared" si="21"/>
        <v>#DIV/0!</v>
      </c>
      <c r="O140" s="43"/>
      <c r="P140" s="43"/>
    </row>
    <row r="141" spans="1:16" ht="15.5" x14ac:dyDescent="0.35">
      <c r="A141" s="26"/>
      <c r="B141" s="27"/>
      <c r="C141" s="27"/>
      <c r="D141" s="28"/>
      <c r="E141" s="98"/>
      <c r="F141" s="88" t="s">
        <v>70</v>
      </c>
      <c r="G141" s="75">
        <f>SUM(G7:G140)</f>
        <v>-50044.960000000006</v>
      </c>
      <c r="H141" s="99"/>
      <c r="I141" s="68"/>
      <c r="J141" s="68"/>
      <c r="K141" s="100"/>
      <c r="L141" s="68"/>
      <c r="M141" s="302">
        <f>SUM(M19:M140)</f>
        <v>46711</v>
      </c>
      <c r="N141" s="68"/>
      <c r="O141" s="68"/>
      <c r="P141" s="68"/>
    </row>
    <row r="142" spans="1:16" ht="15.5" x14ac:dyDescent="0.35">
      <c r="A142" s="26"/>
      <c r="B142" s="27"/>
      <c r="C142" s="27"/>
      <c r="D142" s="28"/>
      <c r="E142" s="98"/>
      <c r="F142" s="88" t="s">
        <v>71</v>
      </c>
      <c r="G142" s="302">
        <f>(G141*30)/720</f>
        <v>-2085.2066666666669</v>
      </c>
      <c r="H142" s="99"/>
      <c r="I142" s="68"/>
      <c r="J142" s="68"/>
      <c r="K142" s="100"/>
      <c r="L142" s="68"/>
      <c r="M142" s="102">
        <f>M141/1000</f>
        <v>46.710999999999999</v>
      </c>
      <c r="N142" s="68"/>
      <c r="O142" s="68"/>
      <c r="P142" s="68"/>
    </row>
    <row r="143" spans="1:16" x14ac:dyDescent="0.35">
      <c r="A143" s="26"/>
      <c r="B143" s="27"/>
      <c r="C143" s="27"/>
      <c r="D143" s="28"/>
      <c r="E143" s="29"/>
      <c r="F143" s="30"/>
      <c r="G143" s="16"/>
      <c r="H143" s="38"/>
      <c r="I143" s="15"/>
      <c r="J143" s="15"/>
      <c r="K143" s="19"/>
      <c r="L143" s="15"/>
      <c r="M143" s="15"/>
      <c r="N143" s="15"/>
      <c r="O143"/>
      <c r="P143"/>
    </row>
    <row r="144" spans="1:16" x14ac:dyDescent="0.35">
      <c r="A144" s="26"/>
      <c r="B144" s="27"/>
      <c r="C144" s="27"/>
      <c r="D144" s="28"/>
      <c r="E144" s="29"/>
      <c r="F144" s="30"/>
      <c r="G144" s="15"/>
      <c r="H144" s="38"/>
      <c r="I144" s="15"/>
      <c r="J144" s="15"/>
      <c r="K144" s="19"/>
      <c r="L144" s="15"/>
      <c r="M144" s="15"/>
      <c r="N144" s="15"/>
      <c r="O144"/>
      <c r="P144"/>
    </row>
    <row r="145" spans="1:16" x14ac:dyDescent="0.35">
      <c r="A145" s="26"/>
      <c r="B145" s="27"/>
      <c r="C145" s="27"/>
      <c r="D145" s="28"/>
      <c r="E145" s="29"/>
      <c r="F145" s="30"/>
      <c r="G145" s="15"/>
      <c r="H145" s="38"/>
      <c r="I145" s="15"/>
      <c r="J145" s="15"/>
      <c r="K145" s="19"/>
      <c r="L145" s="15"/>
      <c r="M145" s="15"/>
      <c r="N145" s="15"/>
      <c r="O145"/>
      <c r="P145"/>
    </row>
    <row r="146" spans="1:16" x14ac:dyDescent="0.35">
      <c r="A146" s="26"/>
      <c r="B146" s="27"/>
      <c r="C146" s="27"/>
      <c r="D146" s="28"/>
      <c r="E146" s="29"/>
      <c r="F146" s="30"/>
      <c r="G146" s="15"/>
      <c r="H146" s="38"/>
      <c r="I146" s="15"/>
      <c r="J146" s="15"/>
      <c r="K146" s="19"/>
      <c r="L146" s="15"/>
      <c r="M146" s="15"/>
      <c r="N146" s="15"/>
      <c r="O146"/>
      <c r="P146"/>
    </row>
    <row r="147" spans="1:16" x14ac:dyDescent="0.35">
      <c r="A147" s="305"/>
      <c r="B147" s="306"/>
      <c r="C147" s="306"/>
      <c r="D147" s="307"/>
      <c r="E147" s="308"/>
      <c r="F147" s="304"/>
      <c r="G147" s="227"/>
      <c r="H147" s="309"/>
      <c r="I147" s="227"/>
      <c r="J147" s="227"/>
      <c r="K147" s="37"/>
      <c r="L147" s="227"/>
      <c r="M147" s="227"/>
      <c r="N147" s="227"/>
      <c r="O147" s="228"/>
      <c r="P147" s="228"/>
    </row>
    <row r="148" spans="1:16" x14ac:dyDescent="0.35">
      <c r="A148" s="305"/>
      <c r="B148" s="306"/>
      <c r="C148" s="306"/>
      <c r="D148" s="307"/>
      <c r="E148" s="308"/>
      <c r="F148" s="304"/>
      <c r="G148" s="227"/>
      <c r="H148" s="309"/>
      <c r="I148" s="227"/>
      <c r="J148" s="227"/>
      <c r="K148" s="37"/>
      <c r="L148" s="227"/>
      <c r="M148" s="227"/>
      <c r="N148" s="227"/>
      <c r="O148" s="228"/>
      <c r="P148" s="228"/>
    </row>
    <row r="149" spans="1:16" x14ac:dyDescent="0.35">
      <c r="A149" s="227"/>
      <c r="B149" s="227"/>
      <c r="C149" s="227"/>
      <c r="D149" s="307"/>
      <c r="E149" s="227"/>
      <c r="F149" s="304"/>
      <c r="G149" s="227"/>
      <c r="H149" s="309"/>
      <c r="I149" s="227"/>
      <c r="J149" s="227"/>
      <c r="K149" s="37"/>
      <c r="L149" s="227"/>
      <c r="M149" s="227"/>
      <c r="N149" s="227"/>
      <c r="O149" s="228"/>
      <c r="P149" s="228"/>
    </row>
    <row r="150" spans="1:16" x14ac:dyDescent="0.35">
      <c r="A150" s="227"/>
      <c r="B150" s="227"/>
      <c r="C150" s="227"/>
      <c r="D150" s="307"/>
      <c r="E150" s="227"/>
      <c r="F150" s="304"/>
      <c r="G150" s="227"/>
      <c r="H150" s="309"/>
      <c r="I150" s="227"/>
      <c r="J150" s="227"/>
      <c r="K150" s="37"/>
      <c r="L150" s="227"/>
      <c r="M150" s="227"/>
      <c r="N150" s="227"/>
      <c r="O150" s="228"/>
      <c r="P150" s="228"/>
    </row>
    <row r="151" spans="1:16" x14ac:dyDescent="0.35">
      <c r="A151" s="227"/>
      <c r="B151" s="227"/>
      <c r="C151" s="227"/>
      <c r="D151" s="307"/>
      <c r="E151" s="227"/>
      <c r="F151" s="304"/>
      <c r="G151" s="227"/>
      <c r="H151" s="309"/>
      <c r="I151" s="227"/>
      <c r="J151" s="227"/>
      <c r="K151" s="37"/>
      <c r="L151" s="227"/>
      <c r="M151" s="227"/>
      <c r="N151" s="227"/>
      <c r="O151" s="228"/>
      <c r="P151" s="228"/>
    </row>
    <row r="152" spans="1:16" x14ac:dyDescent="0.35">
      <c r="A152" s="227"/>
      <c r="B152" s="227"/>
      <c r="C152" s="227"/>
      <c r="D152" s="307"/>
      <c r="E152" s="227"/>
      <c r="F152" s="304"/>
      <c r="G152" s="227"/>
      <c r="H152" s="309"/>
      <c r="I152" s="227"/>
      <c r="J152" s="227"/>
      <c r="K152" s="37"/>
      <c r="L152" s="227"/>
      <c r="M152" s="227"/>
      <c r="N152" s="227"/>
      <c r="O152" s="228"/>
      <c r="P152" s="228"/>
    </row>
    <row r="153" spans="1:16" x14ac:dyDescent="0.35">
      <c r="A153" s="227"/>
      <c r="B153" s="227"/>
      <c r="C153" s="227"/>
      <c r="D153" s="307"/>
      <c r="E153" s="227"/>
      <c r="F153" s="304"/>
      <c r="G153" s="227"/>
      <c r="H153" s="309"/>
      <c r="I153" s="227"/>
      <c r="J153" s="227"/>
      <c r="K153" s="37"/>
      <c r="L153" s="227"/>
      <c r="M153" s="227"/>
      <c r="N153" s="227"/>
      <c r="O153" s="228"/>
      <c r="P153" s="228"/>
    </row>
    <row r="154" spans="1:16" x14ac:dyDescent="0.35">
      <c r="A154" s="227"/>
      <c r="B154" s="227"/>
      <c r="C154" s="227"/>
      <c r="D154" s="307"/>
      <c r="E154" s="227"/>
      <c r="F154" s="304"/>
      <c r="G154" s="227"/>
      <c r="H154" s="309"/>
      <c r="I154" s="227"/>
      <c r="J154" s="227"/>
      <c r="K154" s="37"/>
      <c r="L154" s="227"/>
      <c r="M154" s="227"/>
      <c r="N154" s="227"/>
      <c r="O154" s="228"/>
      <c r="P154" s="228"/>
    </row>
    <row r="155" spans="1:16" x14ac:dyDescent="0.35">
      <c r="A155" s="227"/>
      <c r="B155" s="227"/>
      <c r="C155" s="227"/>
      <c r="D155" s="307"/>
      <c r="E155" s="227"/>
      <c r="F155" s="304"/>
      <c r="G155" s="227"/>
      <c r="H155" s="309"/>
      <c r="I155" s="227"/>
      <c r="J155" s="227"/>
      <c r="K155" s="37"/>
      <c r="L155" s="227"/>
      <c r="M155" s="227"/>
      <c r="N155" s="227"/>
      <c r="O155" s="228"/>
      <c r="P155" s="228"/>
    </row>
    <row r="156" spans="1:16" x14ac:dyDescent="0.35">
      <c r="A156" s="227"/>
      <c r="B156" s="227"/>
      <c r="C156" s="227"/>
      <c r="D156" s="307"/>
      <c r="E156" s="227"/>
      <c r="F156" s="304"/>
      <c r="G156" s="227"/>
      <c r="H156" s="309"/>
      <c r="I156" s="227"/>
      <c r="J156" s="227"/>
      <c r="K156" s="37"/>
      <c r="L156" s="227"/>
      <c r="M156" s="227"/>
      <c r="N156" s="227"/>
      <c r="O156" s="228"/>
      <c r="P156" s="228"/>
    </row>
    <row r="157" spans="1:16" x14ac:dyDescent="0.35">
      <c r="A157" s="227"/>
      <c r="B157" s="227"/>
      <c r="C157" s="227"/>
      <c r="D157" s="307"/>
      <c r="E157" s="227"/>
      <c r="F157" s="304"/>
      <c r="G157" s="227"/>
      <c r="H157" s="309"/>
      <c r="I157" s="227"/>
      <c r="J157" s="227"/>
      <c r="K157" s="37"/>
      <c r="L157" s="227"/>
      <c r="M157" s="227"/>
      <c r="N157" s="227"/>
      <c r="O157" s="228"/>
      <c r="P157" s="228"/>
    </row>
    <row r="158" spans="1:16" x14ac:dyDescent="0.35">
      <c r="A158" s="227"/>
      <c r="B158" s="227"/>
      <c r="C158" s="227"/>
      <c r="D158" s="307"/>
      <c r="E158" s="227"/>
      <c r="F158" s="304"/>
      <c r="G158" s="227"/>
      <c r="H158" s="309"/>
      <c r="I158" s="227"/>
      <c r="J158" s="227"/>
      <c r="K158" s="37"/>
      <c r="L158" s="227"/>
      <c r="M158" s="227"/>
      <c r="N158" s="227"/>
      <c r="O158" s="228"/>
      <c r="P158" s="228"/>
    </row>
    <row r="159" spans="1:16" x14ac:dyDescent="0.35">
      <c r="A159" s="227"/>
      <c r="B159" s="227"/>
      <c r="C159" s="227"/>
      <c r="D159" s="307"/>
      <c r="E159" s="227"/>
      <c r="F159" s="304"/>
      <c r="G159" s="227"/>
      <c r="H159" s="309"/>
      <c r="I159" s="227"/>
      <c r="J159" s="227"/>
      <c r="K159" s="37"/>
      <c r="L159" s="227"/>
      <c r="M159" s="227"/>
      <c r="N159" s="227"/>
      <c r="O159" s="228"/>
      <c r="P159" s="228"/>
    </row>
    <row r="160" spans="1:16" x14ac:dyDescent="0.35">
      <c r="A160" s="227"/>
      <c r="B160" s="227"/>
      <c r="C160" s="227"/>
      <c r="D160" s="307"/>
      <c r="E160" s="227"/>
      <c r="F160" s="304"/>
      <c r="G160" s="227"/>
      <c r="H160" s="309"/>
      <c r="I160" s="227"/>
      <c r="J160" s="227"/>
      <c r="K160" s="37"/>
      <c r="L160" s="227"/>
      <c r="M160" s="227"/>
      <c r="N160" s="227"/>
      <c r="O160" s="228"/>
      <c r="P160" s="228"/>
    </row>
    <row r="161" spans="1:16" x14ac:dyDescent="0.35">
      <c r="A161" s="227"/>
      <c r="B161" s="227"/>
      <c r="C161" s="227"/>
      <c r="D161" s="307"/>
      <c r="E161" s="227"/>
      <c r="F161" s="304"/>
      <c r="G161" s="227"/>
      <c r="H161" s="309"/>
      <c r="I161" s="227"/>
      <c r="J161" s="227"/>
      <c r="K161" s="37"/>
      <c r="L161" s="227"/>
      <c r="M161" s="227"/>
      <c r="N161" s="227"/>
      <c r="O161" s="228"/>
      <c r="P161" s="228"/>
    </row>
    <row r="162" spans="1:16" x14ac:dyDescent="0.35">
      <c r="A162" s="227"/>
      <c r="B162" s="227"/>
      <c r="C162" s="227"/>
      <c r="D162" s="307"/>
      <c r="E162" s="227"/>
      <c r="F162" s="304"/>
      <c r="G162" s="227"/>
      <c r="H162" s="309"/>
      <c r="I162" s="227"/>
      <c r="J162" s="227"/>
      <c r="K162" s="37"/>
      <c r="L162" s="227"/>
      <c r="M162" s="227"/>
      <c r="N162" s="227"/>
      <c r="O162" s="228"/>
      <c r="P162" s="228"/>
    </row>
    <row r="163" spans="1:16" x14ac:dyDescent="0.35">
      <c r="A163" s="227"/>
      <c r="B163" s="227"/>
      <c r="C163" s="227"/>
      <c r="D163" s="307"/>
      <c r="E163" s="227"/>
      <c r="F163" s="304"/>
      <c r="G163" s="227"/>
      <c r="H163" s="309"/>
      <c r="I163" s="227"/>
      <c r="J163" s="227"/>
      <c r="K163" s="37"/>
      <c r="L163" s="227"/>
      <c r="M163" s="227"/>
      <c r="N163" s="227"/>
      <c r="O163" s="228"/>
      <c r="P163" s="228"/>
    </row>
    <row r="164" spans="1:16" x14ac:dyDescent="0.35">
      <c r="A164" s="227"/>
      <c r="B164" s="227"/>
      <c r="C164" s="227"/>
      <c r="D164" s="307"/>
      <c r="E164" s="227"/>
      <c r="F164" s="304"/>
      <c r="G164" s="227"/>
      <c r="H164" s="309"/>
      <c r="I164" s="227"/>
      <c r="J164" s="227"/>
      <c r="K164" s="37"/>
      <c r="L164" s="227"/>
      <c r="M164" s="227"/>
      <c r="N164" s="227"/>
      <c r="O164" s="228"/>
      <c r="P164" s="228"/>
    </row>
    <row r="165" spans="1:16" x14ac:dyDescent="0.35">
      <c r="A165" s="227"/>
      <c r="B165" s="227"/>
      <c r="C165" s="227"/>
      <c r="D165" s="307"/>
      <c r="E165" s="227"/>
      <c r="F165" s="304"/>
      <c r="G165" s="227"/>
      <c r="H165" s="309"/>
      <c r="I165" s="227"/>
      <c r="J165" s="227"/>
      <c r="K165" s="37"/>
      <c r="L165" s="227"/>
      <c r="M165" s="227"/>
      <c r="N165" s="227"/>
      <c r="O165" s="228"/>
      <c r="P165" s="228"/>
    </row>
    <row r="166" spans="1:16" x14ac:dyDescent="0.35">
      <c r="A166" s="227"/>
      <c r="B166" s="227"/>
      <c r="C166" s="227"/>
      <c r="D166" s="307"/>
      <c r="E166" s="227"/>
      <c r="F166" s="304"/>
      <c r="G166" s="227"/>
      <c r="H166" s="309"/>
      <c r="I166" s="227"/>
      <c r="J166" s="227"/>
      <c r="K166" s="37"/>
      <c r="L166" s="227"/>
      <c r="M166" s="227"/>
      <c r="N166" s="227"/>
      <c r="O166" s="228"/>
      <c r="P166" s="228"/>
    </row>
    <row r="167" spans="1:16" x14ac:dyDescent="0.35">
      <c r="A167" s="227"/>
      <c r="B167" s="227"/>
      <c r="C167" s="227"/>
      <c r="D167" s="307"/>
      <c r="E167" s="227"/>
      <c r="F167" s="304"/>
      <c r="G167" s="227"/>
      <c r="H167" s="309"/>
      <c r="I167" s="227"/>
      <c r="J167" s="227"/>
      <c r="K167" s="37"/>
      <c r="L167" s="227"/>
      <c r="M167" s="227"/>
      <c r="N167" s="227"/>
      <c r="O167" s="228"/>
      <c r="P167" s="228"/>
    </row>
    <row r="168" spans="1:16" x14ac:dyDescent="0.35">
      <c r="A168" s="227"/>
      <c r="B168" s="227"/>
      <c r="C168" s="227"/>
      <c r="D168" s="307"/>
      <c r="E168" s="227"/>
      <c r="F168" s="304"/>
      <c r="G168" s="227"/>
      <c r="H168" s="309"/>
      <c r="I168" s="227"/>
      <c r="J168" s="227"/>
      <c r="K168" s="37"/>
      <c r="L168" s="227"/>
      <c r="M168" s="227"/>
      <c r="N168" s="227"/>
      <c r="O168" s="228"/>
      <c r="P168" s="228"/>
    </row>
    <row r="169" spans="1:16" x14ac:dyDescent="0.35">
      <c r="A169" s="227"/>
      <c r="B169" s="227"/>
      <c r="C169" s="227"/>
      <c r="D169" s="307"/>
      <c r="E169" s="227"/>
      <c r="F169" s="304"/>
      <c r="G169" s="227"/>
      <c r="H169" s="309"/>
      <c r="I169" s="227"/>
      <c r="J169" s="227"/>
      <c r="K169" s="37"/>
      <c r="L169" s="227"/>
      <c r="M169" s="227"/>
      <c r="N169" s="227"/>
      <c r="O169" s="228"/>
      <c r="P169" s="228"/>
    </row>
    <row r="170" spans="1:16" x14ac:dyDescent="0.35">
      <c r="A170" s="227"/>
      <c r="B170" s="227"/>
      <c r="C170" s="227"/>
      <c r="D170" s="307"/>
      <c r="E170" s="227"/>
      <c r="F170" s="304"/>
      <c r="G170" s="227"/>
      <c r="H170" s="309"/>
      <c r="I170" s="227"/>
      <c r="J170" s="227"/>
      <c r="K170" s="37"/>
      <c r="L170" s="227"/>
      <c r="M170" s="227"/>
      <c r="N170" s="227"/>
      <c r="O170" s="228"/>
      <c r="P170" s="228"/>
    </row>
    <row r="171" spans="1:16" x14ac:dyDescent="0.35">
      <c r="A171" s="227"/>
      <c r="B171" s="227"/>
      <c r="C171" s="227"/>
      <c r="D171" s="307"/>
      <c r="E171" s="227"/>
      <c r="F171" s="304"/>
      <c r="G171" s="227"/>
      <c r="H171" s="309"/>
      <c r="I171" s="227"/>
      <c r="J171" s="227"/>
      <c r="K171" s="37"/>
      <c r="L171" s="227"/>
      <c r="M171" s="227"/>
      <c r="N171" s="227"/>
      <c r="O171" s="228"/>
      <c r="P171" s="228"/>
    </row>
    <row r="172" spans="1:16" x14ac:dyDescent="0.35">
      <c r="A172" s="227"/>
      <c r="B172" s="227"/>
      <c r="C172" s="227"/>
      <c r="D172" s="307"/>
      <c r="E172" s="227"/>
      <c r="F172" s="304"/>
      <c r="G172" s="227"/>
      <c r="H172" s="309"/>
      <c r="I172" s="227"/>
      <c r="J172" s="227"/>
      <c r="K172" s="37"/>
      <c r="L172" s="227"/>
      <c r="M172" s="227"/>
      <c r="N172" s="227"/>
      <c r="O172" s="228"/>
      <c r="P172" s="228"/>
    </row>
    <row r="173" spans="1:16" x14ac:dyDescent="0.35">
      <c r="A173" s="227"/>
      <c r="B173" s="227"/>
      <c r="C173" s="227"/>
      <c r="D173" s="307"/>
      <c r="E173" s="227"/>
      <c r="F173" s="304"/>
      <c r="G173" s="227"/>
      <c r="H173" s="309"/>
      <c r="I173" s="227"/>
      <c r="J173" s="227"/>
      <c r="K173" s="37"/>
      <c r="L173" s="227"/>
      <c r="M173" s="227"/>
      <c r="N173" s="227"/>
      <c r="O173" s="228"/>
      <c r="P173" s="228"/>
    </row>
    <row r="174" spans="1:16" x14ac:dyDescent="0.35">
      <c r="A174" s="227"/>
      <c r="B174" s="227"/>
      <c r="C174" s="227"/>
      <c r="D174" s="307"/>
      <c r="E174" s="227"/>
      <c r="F174" s="304"/>
      <c r="G174" s="227"/>
      <c r="H174" s="309"/>
      <c r="I174" s="227"/>
      <c r="J174" s="227"/>
      <c r="K174" s="37"/>
      <c r="L174" s="227"/>
      <c r="M174" s="227"/>
      <c r="N174" s="227"/>
      <c r="O174" s="228"/>
      <c r="P174" s="228"/>
    </row>
    <row r="175" spans="1:16" x14ac:dyDescent="0.35">
      <c r="A175" s="227"/>
      <c r="B175" s="227"/>
      <c r="C175" s="227"/>
      <c r="D175" s="307"/>
      <c r="E175" s="227"/>
      <c r="F175" s="304"/>
      <c r="G175" s="227"/>
      <c r="H175" s="309"/>
      <c r="I175" s="227"/>
      <c r="J175" s="227"/>
      <c r="K175" s="37"/>
      <c r="L175" s="227"/>
      <c r="M175" s="227"/>
      <c r="N175" s="227"/>
      <c r="O175" s="228"/>
      <c r="P175" s="228"/>
    </row>
    <row r="176" spans="1:16" x14ac:dyDescent="0.35">
      <c r="A176" s="227"/>
      <c r="B176" s="227"/>
      <c r="C176" s="227"/>
      <c r="D176" s="307"/>
      <c r="E176" s="227"/>
      <c r="F176" s="304"/>
      <c r="G176" s="227"/>
      <c r="H176" s="309"/>
      <c r="I176" s="227"/>
      <c r="J176" s="227"/>
      <c r="K176" s="37"/>
      <c r="L176" s="227"/>
      <c r="M176" s="227"/>
      <c r="N176" s="227"/>
      <c r="O176" s="228"/>
      <c r="P176" s="228"/>
    </row>
    <row r="177" spans="1:16" x14ac:dyDescent="0.35">
      <c r="A177" s="227"/>
      <c r="B177" s="227"/>
      <c r="C177" s="227"/>
      <c r="D177" s="307"/>
      <c r="E177" s="227"/>
      <c r="F177" s="304"/>
      <c r="G177" s="227"/>
      <c r="H177" s="309"/>
      <c r="I177" s="227"/>
      <c r="J177" s="227"/>
      <c r="K177" s="37"/>
      <c r="L177" s="227"/>
      <c r="M177" s="227"/>
      <c r="N177" s="227"/>
      <c r="O177" s="228"/>
      <c r="P177" s="228"/>
    </row>
    <row r="178" spans="1:16" x14ac:dyDescent="0.35">
      <c r="A178" s="227"/>
      <c r="B178" s="227"/>
      <c r="C178" s="227"/>
      <c r="D178" s="307"/>
      <c r="E178" s="227"/>
      <c r="F178" s="304"/>
      <c r="G178" s="227"/>
      <c r="H178" s="309"/>
      <c r="I178" s="227"/>
      <c r="J178" s="227"/>
      <c r="K178" s="37"/>
      <c r="L178" s="227"/>
      <c r="M178" s="227"/>
      <c r="N178" s="227"/>
      <c r="O178" s="228"/>
      <c r="P178" s="228"/>
    </row>
    <row r="179" spans="1:16" x14ac:dyDescent="0.35">
      <c r="A179" s="227"/>
      <c r="B179" s="227"/>
      <c r="C179" s="227"/>
      <c r="D179" s="307"/>
      <c r="E179" s="227"/>
      <c r="F179" s="304"/>
      <c r="G179" s="227"/>
      <c r="H179" s="309"/>
      <c r="I179" s="227"/>
      <c r="J179" s="227"/>
      <c r="K179" s="37"/>
      <c r="L179" s="227"/>
      <c r="M179" s="227"/>
      <c r="N179" s="227"/>
      <c r="O179" s="228"/>
      <c r="P179" s="228"/>
    </row>
    <row r="180" spans="1:16" x14ac:dyDescent="0.35">
      <c r="A180" s="227"/>
      <c r="B180" s="227"/>
      <c r="C180" s="227"/>
      <c r="D180" s="307"/>
      <c r="E180" s="227"/>
      <c r="F180" s="304"/>
      <c r="G180" s="227"/>
      <c r="H180" s="309"/>
      <c r="I180" s="227"/>
      <c r="J180" s="227"/>
      <c r="K180" s="37"/>
      <c r="L180" s="227"/>
      <c r="M180" s="227"/>
      <c r="N180" s="227"/>
      <c r="O180" s="228"/>
      <c r="P180" s="228"/>
    </row>
    <row r="181" spans="1:16" x14ac:dyDescent="0.35">
      <c r="A181" s="227"/>
      <c r="B181" s="227"/>
      <c r="C181" s="227"/>
      <c r="D181" s="307"/>
      <c r="E181" s="227"/>
      <c r="F181" s="304"/>
      <c r="G181" s="227"/>
      <c r="H181" s="309"/>
      <c r="I181" s="227"/>
      <c r="J181" s="227"/>
      <c r="K181" s="37"/>
      <c r="L181" s="227"/>
      <c r="M181" s="227"/>
      <c r="N181" s="227"/>
      <c r="O181" s="228"/>
      <c r="P181" s="228"/>
    </row>
    <row r="182" spans="1:16" x14ac:dyDescent="0.35">
      <c r="A182" s="227"/>
      <c r="B182" s="227"/>
      <c r="C182" s="227"/>
      <c r="D182" s="307"/>
      <c r="E182" s="227"/>
      <c r="F182" s="304"/>
      <c r="G182" s="227"/>
      <c r="H182" s="309"/>
      <c r="I182" s="227"/>
      <c r="J182" s="227"/>
      <c r="K182" s="37"/>
      <c r="L182" s="227"/>
      <c r="M182" s="227"/>
      <c r="N182" s="227"/>
      <c r="O182" s="228"/>
      <c r="P182" s="228"/>
    </row>
    <row r="183" spans="1:16" x14ac:dyDescent="0.35">
      <c r="A183" s="227"/>
      <c r="B183" s="227"/>
      <c r="C183" s="227"/>
      <c r="D183" s="307"/>
      <c r="E183" s="227"/>
      <c r="F183" s="304"/>
      <c r="G183" s="227"/>
      <c r="H183" s="309"/>
      <c r="I183" s="227"/>
      <c r="J183" s="227"/>
      <c r="K183" s="37"/>
      <c r="L183" s="227"/>
      <c r="M183" s="227"/>
      <c r="N183" s="227"/>
      <c r="O183" s="228"/>
      <c r="P183" s="228"/>
    </row>
    <row r="184" spans="1:16" x14ac:dyDescent="0.35">
      <c r="A184" s="227"/>
      <c r="B184" s="227"/>
      <c r="C184" s="227"/>
      <c r="D184" s="307"/>
      <c r="E184" s="227"/>
      <c r="F184" s="304"/>
      <c r="G184" s="227"/>
      <c r="H184" s="309"/>
      <c r="I184" s="227"/>
      <c r="J184" s="227"/>
      <c r="K184" s="37"/>
      <c r="L184" s="227"/>
      <c r="M184" s="227"/>
      <c r="N184" s="227"/>
      <c r="O184" s="228"/>
      <c r="P184" s="228"/>
    </row>
    <row r="185" spans="1:16" x14ac:dyDescent="0.35">
      <c r="A185" s="227"/>
      <c r="B185" s="227"/>
      <c r="C185" s="227"/>
      <c r="D185" s="307"/>
      <c r="E185" s="227"/>
      <c r="F185" s="304"/>
      <c r="G185" s="227"/>
      <c r="H185" s="309"/>
      <c r="I185" s="227"/>
      <c r="J185" s="227"/>
      <c r="K185" s="37"/>
      <c r="L185" s="227"/>
      <c r="M185" s="227"/>
      <c r="N185" s="227"/>
      <c r="O185" s="228"/>
      <c r="P185" s="228"/>
    </row>
    <row r="186" spans="1:16" x14ac:dyDescent="0.35">
      <c r="A186" s="227"/>
      <c r="B186" s="227"/>
      <c r="C186" s="227"/>
      <c r="D186" s="307"/>
      <c r="E186" s="227"/>
      <c r="F186" s="304"/>
      <c r="G186" s="227"/>
      <c r="H186" s="309"/>
      <c r="I186" s="227"/>
      <c r="J186" s="227"/>
      <c r="K186" s="37"/>
      <c r="L186" s="227"/>
      <c r="M186" s="227"/>
      <c r="N186" s="227"/>
      <c r="O186" s="228"/>
      <c r="P186" s="228"/>
    </row>
    <row r="187" spans="1:16" x14ac:dyDescent="0.35">
      <c r="A187" s="227"/>
      <c r="B187" s="227"/>
      <c r="C187" s="227"/>
      <c r="D187" s="307"/>
      <c r="E187" s="227"/>
      <c r="F187" s="304"/>
      <c r="G187" s="227"/>
      <c r="H187" s="309"/>
      <c r="I187" s="227"/>
      <c r="J187" s="227"/>
      <c r="K187" s="37"/>
      <c r="L187" s="227"/>
      <c r="M187" s="227"/>
      <c r="N187" s="227"/>
      <c r="O187" s="228"/>
      <c r="P187" s="228"/>
    </row>
    <row r="188" spans="1:16" x14ac:dyDescent="0.35">
      <c r="A188" s="227"/>
      <c r="B188" s="227"/>
      <c r="C188" s="227"/>
      <c r="D188" s="307"/>
      <c r="E188" s="227"/>
      <c r="F188" s="304"/>
      <c r="G188" s="227"/>
      <c r="H188" s="309"/>
      <c r="I188" s="227"/>
      <c r="J188" s="227"/>
      <c r="K188" s="37"/>
      <c r="L188" s="227"/>
      <c r="M188" s="227"/>
      <c r="N188" s="227"/>
      <c r="O188" s="228"/>
      <c r="P188" s="228"/>
    </row>
    <row r="189" spans="1:16" x14ac:dyDescent="0.35">
      <c r="A189" s="227"/>
      <c r="B189" s="227"/>
      <c r="C189" s="227"/>
      <c r="D189" s="307"/>
      <c r="E189" s="227"/>
      <c r="F189" s="304"/>
      <c r="G189" s="227"/>
      <c r="H189" s="309"/>
      <c r="I189" s="227"/>
      <c r="J189" s="227"/>
      <c r="K189" s="37"/>
      <c r="L189" s="227"/>
      <c r="M189" s="227"/>
      <c r="N189" s="227"/>
      <c r="O189" s="228"/>
      <c r="P189" s="228"/>
    </row>
    <row r="190" spans="1:16" x14ac:dyDescent="0.35">
      <c r="A190" s="227"/>
      <c r="B190" s="227"/>
      <c r="C190" s="227"/>
      <c r="D190" s="307"/>
      <c r="E190" s="227"/>
      <c r="F190" s="304"/>
      <c r="G190" s="227"/>
      <c r="H190" s="309"/>
      <c r="I190" s="227"/>
      <c r="J190" s="227"/>
      <c r="K190" s="37"/>
      <c r="L190" s="227"/>
      <c r="M190" s="227"/>
      <c r="N190" s="227"/>
      <c r="O190" s="228"/>
      <c r="P190" s="228"/>
    </row>
    <row r="191" spans="1:16" x14ac:dyDescent="0.35">
      <c r="A191" s="227"/>
      <c r="B191" s="227"/>
      <c r="C191" s="227"/>
      <c r="D191" s="307"/>
      <c r="E191" s="227"/>
      <c r="F191" s="304"/>
      <c r="G191" s="227"/>
      <c r="H191" s="309"/>
      <c r="I191" s="227"/>
      <c r="J191" s="227"/>
      <c r="K191" s="37"/>
      <c r="L191" s="227"/>
      <c r="M191" s="227"/>
      <c r="N191" s="227"/>
      <c r="O191" s="228"/>
      <c r="P191" s="228"/>
    </row>
    <row r="192" spans="1:16" x14ac:dyDescent="0.35">
      <c r="A192" s="227"/>
      <c r="B192" s="227"/>
      <c r="C192" s="227"/>
      <c r="D192" s="307"/>
      <c r="E192" s="227"/>
      <c r="F192" s="304"/>
      <c r="G192" s="227"/>
      <c r="H192" s="309"/>
      <c r="I192" s="227"/>
      <c r="J192" s="227"/>
      <c r="K192" s="37"/>
      <c r="L192" s="227"/>
      <c r="M192" s="227"/>
      <c r="N192" s="227"/>
      <c r="O192" s="228"/>
      <c r="P192" s="228"/>
    </row>
    <row r="193" spans="1:16" x14ac:dyDescent="0.35">
      <c r="A193" s="227"/>
      <c r="B193" s="227"/>
      <c r="C193" s="227"/>
      <c r="D193" s="307"/>
      <c r="E193" s="227"/>
      <c r="F193" s="304"/>
      <c r="G193" s="227"/>
      <c r="H193" s="309"/>
      <c r="I193" s="227"/>
      <c r="J193" s="227"/>
      <c r="K193" s="37"/>
      <c r="L193" s="227"/>
      <c r="M193" s="227"/>
      <c r="N193" s="227"/>
      <c r="O193" s="228"/>
      <c r="P193" s="228"/>
    </row>
    <row r="194" spans="1:16" x14ac:dyDescent="0.35">
      <c r="A194" s="227"/>
      <c r="B194" s="227"/>
      <c r="C194" s="227"/>
      <c r="D194" s="307"/>
      <c r="E194" s="227"/>
      <c r="F194" s="304"/>
      <c r="G194" s="227"/>
      <c r="H194" s="309"/>
      <c r="I194" s="227"/>
      <c r="J194" s="227"/>
      <c r="K194" s="37"/>
      <c r="L194" s="227"/>
      <c r="M194" s="227"/>
      <c r="N194" s="227"/>
      <c r="O194" s="228"/>
      <c r="P194" s="228"/>
    </row>
    <row r="195" spans="1:16" x14ac:dyDescent="0.35">
      <c r="A195" s="227"/>
      <c r="B195" s="227"/>
      <c r="C195" s="227"/>
      <c r="D195" s="307"/>
      <c r="E195" s="227"/>
      <c r="F195" s="304"/>
      <c r="G195" s="227"/>
      <c r="H195" s="309"/>
      <c r="I195" s="227"/>
      <c r="J195" s="227"/>
      <c r="K195" s="37"/>
      <c r="L195" s="227"/>
      <c r="M195" s="227"/>
      <c r="N195" s="227"/>
      <c r="O195" s="228"/>
      <c r="P195" s="228"/>
    </row>
    <row r="196" spans="1:16" x14ac:dyDescent="0.35">
      <c r="A196" s="227"/>
      <c r="B196" s="227"/>
      <c r="C196" s="227"/>
      <c r="D196" s="307"/>
      <c r="E196" s="227"/>
      <c r="F196" s="304"/>
      <c r="G196" s="227"/>
      <c r="H196" s="309"/>
      <c r="I196" s="227"/>
      <c r="J196" s="227"/>
      <c r="K196" s="37"/>
      <c r="L196" s="227"/>
      <c r="M196" s="227"/>
      <c r="N196" s="227"/>
      <c r="O196" s="228"/>
      <c r="P196" s="228"/>
    </row>
    <row r="197" spans="1:16" x14ac:dyDescent="0.35">
      <c r="A197" s="227"/>
      <c r="B197" s="227"/>
      <c r="C197" s="227"/>
      <c r="D197" s="307"/>
      <c r="E197" s="227"/>
      <c r="F197" s="304"/>
      <c r="G197" s="227"/>
      <c r="H197" s="309"/>
      <c r="I197" s="227"/>
      <c r="J197" s="227"/>
      <c r="K197" s="37"/>
      <c r="L197" s="227"/>
      <c r="M197" s="227"/>
      <c r="N197" s="227"/>
      <c r="O197" s="228"/>
      <c r="P197" s="228"/>
    </row>
    <row r="198" spans="1:16" x14ac:dyDescent="0.35">
      <c r="A198" s="227"/>
      <c r="B198" s="227"/>
      <c r="C198" s="227"/>
      <c r="D198" s="307"/>
      <c r="E198" s="227"/>
      <c r="F198" s="304"/>
      <c r="G198" s="227"/>
      <c r="H198" s="309"/>
      <c r="I198" s="227"/>
      <c r="J198" s="227"/>
      <c r="K198" s="37"/>
      <c r="L198" s="227"/>
      <c r="M198" s="227"/>
      <c r="N198" s="227"/>
      <c r="O198" s="228"/>
      <c r="P198" s="228"/>
    </row>
    <row r="199" spans="1:16" x14ac:dyDescent="0.35">
      <c r="A199" s="227"/>
      <c r="B199" s="227"/>
      <c r="C199" s="227"/>
      <c r="D199" s="307"/>
      <c r="E199" s="227"/>
      <c r="F199" s="304"/>
      <c r="G199" s="227"/>
      <c r="H199" s="309"/>
      <c r="I199" s="227"/>
      <c r="J199" s="227"/>
      <c r="K199" s="37"/>
      <c r="L199" s="227"/>
      <c r="M199" s="227"/>
      <c r="N199" s="227"/>
      <c r="O199" s="228"/>
      <c r="P199" s="228"/>
    </row>
    <row r="200" spans="1:16" x14ac:dyDescent="0.35">
      <c r="A200" s="227"/>
      <c r="B200" s="227"/>
      <c r="C200" s="227"/>
      <c r="D200" s="307"/>
      <c r="E200" s="227"/>
      <c r="F200" s="304"/>
      <c r="G200" s="227"/>
      <c r="H200" s="309"/>
      <c r="I200" s="227"/>
      <c r="J200" s="227"/>
      <c r="K200" s="37"/>
      <c r="L200" s="227"/>
      <c r="M200" s="227"/>
      <c r="N200" s="227"/>
      <c r="O200" s="228"/>
      <c r="P200" s="228"/>
    </row>
    <row r="201" spans="1:16" x14ac:dyDescent="0.35">
      <c r="A201" s="227"/>
      <c r="B201" s="227"/>
      <c r="C201" s="227"/>
      <c r="D201" s="307"/>
      <c r="E201" s="227"/>
      <c r="F201" s="304"/>
      <c r="G201" s="227"/>
      <c r="H201" s="309"/>
      <c r="I201" s="227"/>
      <c r="J201" s="227"/>
      <c r="K201" s="37"/>
      <c r="L201" s="227"/>
      <c r="M201" s="227"/>
      <c r="N201" s="227"/>
      <c r="O201" s="228"/>
      <c r="P201" s="228"/>
    </row>
    <row r="202" spans="1:16" x14ac:dyDescent="0.35">
      <c r="A202" s="227"/>
      <c r="B202" s="227"/>
      <c r="C202" s="227"/>
      <c r="D202" s="307"/>
      <c r="E202" s="227"/>
      <c r="F202" s="304"/>
      <c r="G202" s="227"/>
      <c r="H202" s="309"/>
      <c r="I202" s="227"/>
      <c r="J202" s="227"/>
      <c r="K202" s="37"/>
      <c r="L202" s="227"/>
      <c r="M202" s="227"/>
      <c r="N202" s="227"/>
      <c r="O202" s="228"/>
      <c r="P202" s="228"/>
    </row>
    <row r="203" spans="1:16" x14ac:dyDescent="0.35">
      <c r="A203" s="227"/>
      <c r="B203" s="227"/>
      <c r="C203" s="227"/>
      <c r="D203" s="307"/>
      <c r="E203" s="227"/>
      <c r="F203" s="304"/>
      <c r="G203" s="227"/>
      <c r="H203" s="309"/>
      <c r="I203" s="227"/>
      <c r="J203" s="227"/>
      <c r="K203" s="37"/>
      <c r="L203" s="227"/>
      <c r="M203" s="227"/>
      <c r="N203" s="227"/>
      <c r="O203" s="228"/>
      <c r="P203" s="228"/>
    </row>
    <row r="204" spans="1:16" x14ac:dyDescent="0.35">
      <c r="A204" s="227"/>
      <c r="B204" s="227"/>
      <c r="C204" s="227"/>
      <c r="D204" s="307"/>
      <c r="E204" s="227"/>
      <c r="F204" s="304"/>
      <c r="G204" s="227"/>
      <c r="H204" s="309"/>
      <c r="I204" s="227"/>
      <c r="J204" s="227"/>
      <c r="K204" s="37"/>
      <c r="L204" s="227"/>
      <c r="M204" s="227"/>
      <c r="N204" s="227"/>
      <c r="O204" s="228"/>
      <c r="P204" s="228"/>
    </row>
    <row r="205" spans="1:16" x14ac:dyDescent="0.35">
      <c r="A205" s="227"/>
      <c r="B205" s="227"/>
      <c r="C205" s="227"/>
      <c r="D205" s="307"/>
      <c r="E205" s="227"/>
      <c r="F205" s="304"/>
      <c r="G205" s="227"/>
      <c r="H205" s="309"/>
      <c r="I205" s="227"/>
      <c r="J205" s="227"/>
      <c r="K205" s="37"/>
      <c r="L205" s="227"/>
      <c r="M205" s="227"/>
      <c r="N205" s="227"/>
      <c r="O205" s="228"/>
      <c r="P205" s="228"/>
    </row>
    <row r="206" spans="1:16" x14ac:dyDescent="0.35">
      <c r="A206" s="227"/>
      <c r="B206" s="227"/>
      <c r="C206" s="227"/>
      <c r="D206" s="307"/>
      <c r="E206" s="227"/>
      <c r="F206" s="304"/>
      <c r="G206" s="227"/>
      <c r="H206" s="309"/>
      <c r="I206" s="227"/>
      <c r="J206" s="227"/>
      <c r="K206" s="37"/>
      <c r="L206" s="227"/>
      <c r="M206" s="227"/>
      <c r="N206" s="227"/>
      <c r="O206" s="228"/>
      <c r="P206" s="228"/>
    </row>
    <row r="207" spans="1:16" x14ac:dyDescent="0.35">
      <c r="A207" s="227"/>
      <c r="B207" s="227"/>
      <c r="C207" s="227"/>
      <c r="D207" s="307"/>
      <c r="E207" s="227"/>
      <c r="F207" s="304"/>
      <c r="G207" s="227"/>
      <c r="H207" s="309"/>
      <c r="I207" s="227"/>
      <c r="J207" s="227"/>
      <c r="K207" s="37"/>
      <c r="L207" s="227"/>
      <c r="M207" s="227"/>
      <c r="N207" s="227"/>
      <c r="O207" s="228"/>
      <c r="P207" s="228"/>
    </row>
    <row r="208" spans="1:16" x14ac:dyDescent="0.35">
      <c r="A208" s="227"/>
      <c r="B208" s="227"/>
      <c r="C208" s="227"/>
      <c r="D208" s="307"/>
      <c r="E208" s="227"/>
      <c r="F208" s="304"/>
      <c r="G208" s="227"/>
      <c r="H208" s="309"/>
      <c r="I208" s="227"/>
      <c r="J208" s="227"/>
      <c r="K208" s="37"/>
      <c r="L208" s="227"/>
      <c r="M208" s="227"/>
      <c r="N208" s="227"/>
      <c r="O208" s="228"/>
      <c r="P208" s="228"/>
    </row>
    <row r="209" spans="1:16" x14ac:dyDescent="0.35">
      <c r="A209" s="227"/>
      <c r="B209" s="227"/>
      <c r="C209" s="227"/>
      <c r="D209" s="307"/>
      <c r="E209" s="227"/>
      <c r="F209" s="304"/>
      <c r="G209" s="227"/>
      <c r="H209" s="309"/>
      <c r="I209" s="227"/>
      <c r="J209" s="227"/>
      <c r="K209" s="37"/>
      <c r="L209" s="227"/>
      <c r="M209" s="227"/>
      <c r="N209" s="227"/>
      <c r="O209" s="228"/>
      <c r="P209" s="228"/>
    </row>
    <row r="210" spans="1:16" x14ac:dyDescent="0.35">
      <c r="A210" s="227"/>
      <c r="B210" s="227"/>
      <c r="C210" s="227"/>
      <c r="D210" s="307"/>
      <c r="E210" s="227"/>
      <c r="F210" s="304"/>
      <c r="G210" s="227"/>
      <c r="H210" s="309"/>
      <c r="I210" s="227"/>
      <c r="J210" s="227"/>
      <c r="K210" s="37"/>
      <c r="L210" s="227"/>
      <c r="M210" s="227"/>
      <c r="N210" s="227"/>
      <c r="O210" s="228"/>
      <c r="P210" s="228"/>
    </row>
    <row r="211" spans="1:16" x14ac:dyDescent="0.35">
      <c r="A211" s="227"/>
      <c r="B211" s="227"/>
      <c r="C211" s="227"/>
      <c r="D211" s="307"/>
      <c r="E211" s="227"/>
      <c r="F211" s="304"/>
      <c r="G211" s="227"/>
      <c r="H211" s="309"/>
      <c r="I211" s="227"/>
      <c r="J211" s="227"/>
      <c r="K211" s="37"/>
      <c r="L211" s="227"/>
      <c r="M211" s="227"/>
      <c r="N211" s="227"/>
      <c r="O211" s="228"/>
      <c r="P211" s="228"/>
    </row>
    <row r="212" spans="1:16" x14ac:dyDescent="0.35">
      <c r="A212" s="227"/>
      <c r="B212" s="227"/>
      <c r="C212" s="227"/>
      <c r="D212" s="307"/>
      <c r="E212" s="227"/>
      <c r="F212" s="304"/>
      <c r="G212" s="227"/>
      <c r="H212" s="309"/>
      <c r="I212" s="227"/>
      <c r="J212" s="227"/>
      <c r="K212" s="37"/>
      <c r="L212" s="227"/>
      <c r="M212" s="227"/>
      <c r="N212" s="227"/>
      <c r="O212" s="228"/>
      <c r="P212" s="228"/>
    </row>
    <row r="213" spans="1:16" x14ac:dyDescent="0.35">
      <c r="A213" s="227"/>
      <c r="B213" s="227"/>
      <c r="C213" s="227"/>
      <c r="D213" s="307"/>
      <c r="E213" s="227"/>
      <c r="F213" s="304"/>
      <c r="G213" s="227"/>
      <c r="H213" s="309"/>
      <c r="I213" s="227"/>
      <c r="J213" s="227"/>
      <c r="K213" s="37"/>
      <c r="L213" s="227"/>
      <c r="M213" s="227"/>
      <c r="N213" s="227"/>
      <c r="O213" s="228"/>
      <c r="P213" s="228"/>
    </row>
    <row r="214" spans="1:16" x14ac:dyDescent="0.35">
      <c r="A214" s="227"/>
      <c r="B214" s="227"/>
      <c r="C214" s="227"/>
      <c r="D214" s="307"/>
      <c r="E214" s="227"/>
      <c r="F214" s="304"/>
      <c r="G214" s="227"/>
      <c r="H214" s="309"/>
      <c r="I214" s="227"/>
      <c r="J214" s="227"/>
      <c r="K214" s="37"/>
      <c r="L214" s="227"/>
      <c r="M214" s="227"/>
      <c r="N214" s="227"/>
      <c r="O214" s="228"/>
      <c r="P214" s="228"/>
    </row>
    <row r="215" spans="1:16" x14ac:dyDescent="0.35">
      <c r="A215" s="227"/>
      <c r="B215" s="227"/>
      <c r="C215" s="227"/>
      <c r="D215" s="307"/>
      <c r="E215" s="227"/>
      <c r="F215" s="304"/>
      <c r="G215" s="227"/>
      <c r="H215" s="309"/>
      <c r="I215" s="227"/>
      <c r="J215" s="227"/>
      <c r="K215" s="37"/>
      <c r="L215" s="227"/>
      <c r="M215" s="227"/>
      <c r="N215" s="227"/>
      <c r="O215" s="228"/>
      <c r="P215" s="228"/>
    </row>
    <row r="216" spans="1:16" x14ac:dyDescent="0.35">
      <c r="A216" s="227"/>
      <c r="B216" s="227"/>
      <c r="C216" s="227"/>
      <c r="D216" s="307"/>
      <c r="E216" s="227"/>
      <c r="F216" s="304"/>
      <c r="G216" s="227"/>
      <c r="H216" s="309"/>
      <c r="I216" s="227"/>
      <c r="J216" s="227"/>
      <c r="K216" s="37"/>
      <c r="L216" s="227"/>
      <c r="M216" s="227"/>
      <c r="N216" s="227"/>
      <c r="O216" s="228"/>
      <c r="P216" s="228"/>
    </row>
    <row r="217" spans="1:16" x14ac:dyDescent="0.35">
      <c r="A217" s="227"/>
      <c r="B217" s="227"/>
      <c r="C217" s="227"/>
      <c r="D217" s="307"/>
      <c r="E217" s="227"/>
      <c r="F217" s="304"/>
      <c r="G217" s="227"/>
      <c r="H217" s="309"/>
      <c r="I217" s="227"/>
      <c r="J217" s="227"/>
      <c r="K217" s="37"/>
      <c r="L217" s="227"/>
      <c r="M217" s="227"/>
      <c r="N217" s="227"/>
      <c r="O217" s="228"/>
      <c r="P217" s="228"/>
    </row>
    <row r="218" spans="1:16" x14ac:dyDescent="0.35">
      <c r="A218" s="227"/>
      <c r="B218" s="227"/>
      <c r="C218" s="227"/>
      <c r="D218" s="307"/>
      <c r="E218" s="227"/>
      <c r="F218" s="304"/>
      <c r="G218" s="227"/>
      <c r="H218" s="309"/>
      <c r="I218" s="227"/>
      <c r="J218" s="227"/>
      <c r="K218" s="37"/>
      <c r="L218" s="227"/>
      <c r="M218" s="227"/>
      <c r="N218" s="227"/>
      <c r="O218" s="228"/>
      <c r="P218" s="228"/>
    </row>
    <row r="219" spans="1:16" x14ac:dyDescent="0.35">
      <c r="A219" s="227"/>
      <c r="B219" s="227"/>
      <c r="C219" s="227"/>
      <c r="D219" s="307"/>
      <c r="E219" s="227"/>
      <c r="F219" s="304"/>
      <c r="G219" s="227"/>
      <c r="H219" s="309"/>
      <c r="I219" s="227"/>
      <c r="J219" s="227"/>
      <c r="K219" s="37"/>
      <c r="L219" s="227"/>
      <c r="M219" s="227"/>
      <c r="N219" s="227"/>
      <c r="O219" s="228"/>
      <c r="P219" s="228"/>
    </row>
    <row r="220" spans="1:16" x14ac:dyDescent="0.35">
      <c r="A220" s="227"/>
      <c r="B220" s="227"/>
      <c r="C220" s="227"/>
      <c r="D220" s="307"/>
      <c r="E220" s="227"/>
      <c r="F220" s="304"/>
      <c r="G220" s="227"/>
      <c r="H220" s="309"/>
      <c r="I220" s="227"/>
      <c r="J220" s="227"/>
      <c r="K220" s="37"/>
      <c r="L220" s="227"/>
      <c r="M220" s="227"/>
      <c r="N220" s="227"/>
      <c r="O220" s="228"/>
      <c r="P220" s="228"/>
    </row>
    <row r="221" spans="1:16" x14ac:dyDescent="0.35">
      <c r="A221" s="227"/>
      <c r="B221" s="227"/>
      <c r="C221" s="227"/>
      <c r="D221" s="307"/>
      <c r="E221" s="227"/>
      <c r="F221" s="304"/>
      <c r="G221" s="227"/>
      <c r="H221" s="309"/>
      <c r="I221" s="227"/>
      <c r="J221" s="227"/>
      <c r="K221" s="37"/>
      <c r="L221" s="227"/>
      <c r="M221" s="227"/>
      <c r="N221" s="227"/>
      <c r="O221" s="228"/>
      <c r="P221" s="228"/>
    </row>
    <row r="222" spans="1:16" x14ac:dyDescent="0.35">
      <c r="A222" s="227"/>
      <c r="B222" s="227"/>
      <c r="C222" s="227"/>
      <c r="D222" s="307"/>
      <c r="E222" s="227"/>
      <c r="F222" s="304"/>
      <c r="G222" s="227"/>
      <c r="H222" s="309"/>
      <c r="I222" s="227"/>
      <c r="J222" s="227"/>
      <c r="K222" s="37"/>
      <c r="L222" s="227"/>
      <c r="M222" s="227"/>
      <c r="N222" s="227"/>
      <c r="O222" s="228"/>
      <c r="P222" s="228"/>
    </row>
    <row r="223" spans="1:16" x14ac:dyDescent="0.35">
      <c r="A223" s="227"/>
      <c r="B223" s="227"/>
      <c r="C223" s="227"/>
      <c r="D223" s="307"/>
      <c r="E223" s="227"/>
      <c r="F223" s="304"/>
      <c r="G223" s="227"/>
      <c r="H223" s="309"/>
      <c r="I223" s="227"/>
      <c r="J223" s="227"/>
      <c r="K223" s="37"/>
      <c r="L223" s="227"/>
      <c r="M223" s="227"/>
      <c r="N223" s="227"/>
      <c r="O223" s="228"/>
      <c r="P223" s="228"/>
    </row>
    <row r="224" spans="1:16" x14ac:dyDescent="0.35">
      <c r="A224" s="227"/>
      <c r="B224" s="227"/>
      <c r="C224" s="227"/>
      <c r="D224" s="307"/>
      <c r="E224" s="227"/>
      <c r="F224" s="304"/>
      <c r="G224" s="227"/>
      <c r="H224" s="309"/>
      <c r="I224" s="227"/>
      <c r="J224" s="227"/>
      <c r="K224" s="37"/>
      <c r="L224" s="227"/>
      <c r="M224" s="227"/>
      <c r="N224" s="227"/>
      <c r="O224" s="228"/>
      <c r="P224" s="228"/>
    </row>
    <row r="225" spans="1:16" x14ac:dyDescent="0.35">
      <c r="A225" s="227"/>
      <c r="B225" s="227"/>
      <c r="C225" s="227"/>
      <c r="D225" s="307"/>
      <c r="E225" s="227"/>
      <c r="F225" s="304"/>
      <c r="G225" s="227"/>
      <c r="H225" s="309"/>
      <c r="I225" s="227"/>
      <c r="J225" s="227"/>
      <c r="K225" s="37"/>
      <c r="L225" s="227"/>
      <c r="M225" s="227"/>
      <c r="N225" s="227"/>
      <c r="O225" s="228"/>
      <c r="P225" s="228"/>
    </row>
    <row r="226" spans="1:16" x14ac:dyDescent="0.35">
      <c r="A226" s="227"/>
      <c r="B226" s="227"/>
      <c r="C226" s="227"/>
      <c r="D226" s="307"/>
      <c r="E226" s="227"/>
      <c r="F226" s="304"/>
      <c r="G226" s="227"/>
      <c r="H226" s="309"/>
      <c r="I226" s="227"/>
      <c r="J226" s="227"/>
      <c r="K226" s="37"/>
      <c r="L226" s="227"/>
      <c r="M226" s="227"/>
      <c r="N226" s="227"/>
      <c r="O226" s="228"/>
      <c r="P226" s="228"/>
    </row>
    <row r="227" spans="1:16" x14ac:dyDescent="0.35">
      <c r="A227" s="227"/>
      <c r="B227" s="227"/>
      <c r="C227" s="227"/>
      <c r="D227" s="307"/>
      <c r="E227" s="227"/>
      <c r="F227" s="304"/>
      <c r="G227" s="227"/>
      <c r="H227" s="309"/>
      <c r="I227" s="227"/>
      <c r="J227" s="227"/>
      <c r="K227" s="37"/>
      <c r="L227" s="227"/>
      <c r="M227" s="227"/>
      <c r="N227" s="227"/>
      <c r="O227" s="228"/>
      <c r="P227" s="228"/>
    </row>
    <row r="228" spans="1:16" x14ac:dyDescent="0.35">
      <c r="A228" s="227"/>
      <c r="B228" s="227"/>
      <c r="C228" s="227"/>
      <c r="D228" s="307"/>
      <c r="E228" s="227"/>
      <c r="F228" s="304"/>
      <c r="G228" s="227"/>
      <c r="H228" s="309"/>
      <c r="I228" s="227"/>
      <c r="J228" s="227"/>
      <c r="K228" s="37"/>
      <c r="L228" s="227"/>
      <c r="M228" s="227"/>
      <c r="N228" s="227"/>
      <c r="O228" s="228"/>
      <c r="P228" s="228"/>
    </row>
    <row r="229" spans="1:16" x14ac:dyDescent="0.35">
      <c r="A229" s="227"/>
      <c r="B229" s="227"/>
      <c r="C229" s="227"/>
      <c r="D229" s="307"/>
      <c r="E229" s="227"/>
      <c r="F229" s="304"/>
      <c r="G229" s="227"/>
      <c r="H229" s="309"/>
      <c r="I229" s="227"/>
      <c r="J229" s="227"/>
      <c r="K229" s="37"/>
      <c r="L229" s="227"/>
      <c r="M229" s="227"/>
      <c r="N229" s="227"/>
      <c r="O229" s="228"/>
      <c r="P229" s="228"/>
    </row>
    <row r="230" spans="1:16" x14ac:dyDescent="0.35">
      <c r="A230" s="227"/>
      <c r="B230" s="227"/>
      <c r="C230" s="227"/>
      <c r="D230" s="307"/>
      <c r="E230" s="227"/>
      <c r="F230" s="304"/>
      <c r="G230" s="227"/>
      <c r="H230" s="309"/>
      <c r="I230" s="227"/>
      <c r="J230" s="227"/>
      <c r="K230" s="37"/>
      <c r="L230" s="227"/>
      <c r="M230" s="227"/>
      <c r="N230" s="227"/>
      <c r="O230" s="228"/>
      <c r="P230" s="228"/>
    </row>
    <row r="231" spans="1:16" x14ac:dyDescent="0.35">
      <c r="A231" s="227"/>
      <c r="B231" s="227"/>
      <c r="C231" s="227"/>
      <c r="D231" s="307"/>
      <c r="E231" s="227"/>
      <c r="F231" s="304"/>
      <c r="G231" s="227"/>
      <c r="H231" s="309"/>
      <c r="I231" s="227"/>
      <c r="J231" s="227"/>
      <c r="K231" s="37"/>
      <c r="L231" s="227"/>
      <c r="M231" s="227"/>
      <c r="N231" s="227"/>
      <c r="O231" s="228"/>
      <c r="P231" s="228"/>
    </row>
    <row r="232" spans="1:16" x14ac:dyDescent="0.35">
      <c r="A232" s="227"/>
      <c r="B232" s="227"/>
      <c r="C232" s="227"/>
      <c r="D232" s="307"/>
      <c r="E232" s="227"/>
      <c r="F232" s="304"/>
      <c r="G232" s="227"/>
      <c r="H232" s="309"/>
      <c r="I232" s="227"/>
      <c r="J232" s="227"/>
      <c r="K232" s="37"/>
      <c r="L232" s="227"/>
      <c r="M232" s="227"/>
      <c r="N232" s="227"/>
      <c r="O232" s="228"/>
      <c r="P232" s="228"/>
    </row>
    <row r="233" spans="1:16" x14ac:dyDescent="0.35">
      <c r="A233" s="227"/>
      <c r="B233" s="227"/>
      <c r="C233" s="227"/>
      <c r="D233" s="307"/>
      <c r="E233" s="227"/>
      <c r="F233" s="304"/>
      <c r="G233" s="227"/>
      <c r="H233" s="309"/>
      <c r="I233" s="227"/>
      <c r="J233" s="227"/>
      <c r="K233" s="37"/>
      <c r="L233" s="227"/>
      <c r="M233" s="227"/>
      <c r="N233" s="227"/>
      <c r="O233" s="228"/>
      <c r="P233" s="228"/>
    </row>
    <row r="234" spans="1:16" x14ac:dyDescent="0.35">
      <c r="A234" s="227"/>
      <c r="B234" s="227"/>
      <c r="C234" s="227"/>
      <c r="D234" s="307"/>
      <c r="E234" s="227"/>
      <c r="F234" s="304"/>
      <c r="G234" s="227"/>
      <c r="H234" s="309"/>
      <c r="I234" s="227"/>
      <c r="J234" s="227"/>
      <c r="K234" s="37"/>
      <c r="L234" s="227"/>
      <c r="M234" s="227"/>
      <c r="N234" s="227"/>
      <c r="O234" s="228"/>
      <c r="P234" s="228"/>
    </row>
    <row r="235" spans="1:16" x14ac:dyDescent="0.35">
      <c r="A235" s="227"/>
      <c r="B235" s="227"/>
      <c r="C235" s="227"/>
      <c r="D235" s="307"/>
      <c r="E235" s="227"/>
      <c r="F235" s="304"/>
      <c r="G235" s="227"/>
      <c r="H235" s="309"/>
      <c r="I235" s="227"/>
      <c r="J235" s="227"/>
      <c r="K235" s="37"/>
      <c r="L235" s="227"/>
      <c r="M235" s="227"/>
      <c r="N235" s="227"/>
      <c r="O235" s="228"/>
      <c r="P235" s="228"/>
    </row>
    <row r="236" spans="1:16" x14ac:dyDescent="0.35">
      <c r="A236" s="227"/>
      <c r="B236" s="227"/>
      <c r="C236" s="227"/>
      <c r="D236" s="307"/>
      <c r="E236" s="227"/>
      <c r="F236" s="304"/>
      <c r="G236" s="227"/>
      <c r="H236" s="309"/>
      <c r="I236" s="227"/>
      <c r="J236" s="227"/>
      <c r="K236" s="37"/>
      <c r="L236" s="227"/>
      <c r="M236" s="227"/>
      <c r="N236" s="227"/>
      <c r="O236" s="228"/>
      <c r="P236" s="228"/>
    </row>
    <row r="237" spans="1:16" x14ac:dyDescent="0.35">
      <c r="A237" s="227"/>
      <c r="B237" s="227"/>
      <c r="C237" s="227"/>
      <c r="D237" s="307"/>
      <c r="E237" s="227"/>
      <c r="F237" s="304"/>
      <c r="G237" s="227"/>
      <c r="H237" s="309"/>
      <c r="I237" s="227"/>
      <c r="J237" s="227"/>
      <c r="K237" s="37"/>
      <c r="L237" s="227"/>
      <c r="M237" s="227"/>
      <c r="N237" s="227"/>
      <c r="O237" s="228"/>
      <c r="P237" s="228"/>
    </row>
    <row r="238" spans="1:16" x14ac:dyDescent="0.35">
      <c r="A238" s="227"/>
      <c r="B238" s="227"/>
      <c r="C238" s="227"/>
      <c r="D238" s="307"/>
      <c r="E238" s="227"/>
      <c r="F238" s="304"/>
      <c r="G238" s="227"/>
      <c r="H238" s="309"/>
      <c r="I238" s="227"/>
      <c r="J238" s="227"/>
      <c r="K238" s="37"/>
      <c r="L238" s="227"/>
      <c r="M238" s="227"/>
      <c r="N238" s="227"/>
      <c r="O238" s="228"/>
      <c r="P238" s="228"/>
    </row>
    <row r="239" spans="1:16" x14ac:dyDescent="0.35">
      <c r="A239" s="227"/>
      <c r="B239" s="227"/>
      <c r="C239" s="227"/>
      <c r="D239" s="307"/>
      <c r="E239" s="227"/>
      <c r="F239" s="304"/>
      <c r="G239" s="227"/>
      <c r="H239" s="309"/>
      <c r="I239" s="227"/>
      <c r="J239" s="227"/>
      <c r="K239" s="37"/>
      <c r="L239" s="227"/>
      <c r="M239" s="227"/>
      <c r="N239" s="227"/>
      <c r="O239" s="228"/>
      <c r="P239" s="228"/>
    </row>
    <row r="240" spans="1:16" x14ac:dyDescent="0.35">
      <c r="A240" s="227"/>
      <c r="B240" s="227"/>
      <c r="C240" s="227"/>
      <c r="D240" s="307"/>
      <c r="E240" s="227"/>
      <c r="F240" s="304"/>
      <c r="G240" s="227"/>
      <c r="H240" s="309"/>
      <c r="I240" s="227"/>
      <c r="J240" s="227"/>
      <c r="K240" s="37"/>
      <c r="L240" s="227"/>
      <c r="M240" s="227"/>
      <c r="N240" s="227"/>
      <c r="O240" s="228"/>
      <c r="P240" s="228"/>
    </row>
    <row r="241" spans="1:16" x14ac:dyDescent="0.35">
      <c r="A241" s="227"/>
      <c r="B241" s="227"/>
      <c r="C241" s="227"/>
      <c r="D241" s="307"/>
      <c r="E241" s="227"/>
      <c r="F241" s="304"/>
      <c r="G241" s="227"/>
      <c r="H241" s="309"/>
      <c r="I241" s="227"/>
      <c r="J241" s="227"/>
      <c r="K241" s="37"/>
      <c r="L241" s="227"/>
      <c r="M241" s="227"/>
      <c r="N241" s="227"/>
      <c r="O241" s="228"/>
      <c r="P241" s="228"/>
    </row>
    <row r="242" spans="1:16" x14ac:dyDescent="0.35">
      <c r="A242" s="227"/>
      <c r="B242" s="227"/>
      <c r="C242" s="227"/>
      <c r="D242" s="307"/>
      <c r="E242" s="227"/>
      <c r="F242" s="304"/>
      <c r="G242" s="227"/>
      <c r="H242" s="309"/>
      <c r="I242" s="227"/>
      <c r="J242" s="227"/>
      <c r="K242" s="37"/>
      <c r="L242" s="227"/>
      <c r="M242" s="227"/>
      <c r="N242" s="227"/>
      <c r="O242" s="228"/>
      <c r="P242" s="228"/>
    </row>
    <row r="243" spans="1:16" x14ac:dyDescent="0.35">
      <c r="A243" s="227"/>
      <c r="B243" s="227"/>
      <c r="C243" s="227"/>
      <c r="D243" s="307"/>
      <c r="E243" s="227"/>
      <c r="F243" s="304"/>
      <c r="G243" s="227"/>
      <c r="H243" s="309"/>
      <c r="I243" s="227"/>
      <c r="J243" s="227"/>
      <c r="K243" s="37"/>
      <c r="L243" s="227"/>
      <c r="M243" s="227"/>
      <c r="N243" s="227"/>
      <c r="O243" s="228"/>
      <c r="P243" s="228"/>
    </row>
    <row r="244" spans="1:16" x14ac:dyDescent="0.35">
      <c r="A244" s="227"/>
      <c r="B244" s="227"/>
      <c r="C244" s="227"/>
      <c r="D244" s="307"/>
      <c r="E244" s="227"/>
      <c r="F244" s="304"/>
      <c r="G244" s="227"/>
      <c r="H244" s="309"/>
      <c r="I244" s="227"/>
      <c r="J244" s="227"/>
      <c r="K244" s="37"/>
      <c r="L244" s="227"/>
      <c r="M244" s="227"/>
      <c r="N244" s="227"/>
      <c r="O244" s="228"/>
      <c r="P244" s="228"/>
    </row>
    <row r="245" spans="1:16" x14ac:dyDescent="0.35">
      <c r="A245" s="227"/>
      <c r="B245" s="227"/>
      <c r="C245" s="227"/>
      <c r="D245" s="307"/>
      <c r="E245" s="227"/>
      <c r="F245" s="304"/>
      <c r="G245" s="227"/>
      <c r="H245" s="309"/>
      <c r="I245" s="227"/>
      <c r="J245" s="227"/>
      <c r="K245" s="37"/>
      <c r="L245" s="227"/>
      <c r="M245" s="227"/>
      <c r="N245" s="227"/>
      <c r="O245" s="228"/>
      <c r="P245" s="228"/>
    </row>
    <row r="246" spans="1:16" x14ac:dyDescent="0.35">
      <c r="A246" s="227"/>
      <c r="B246" s="227"/>
      <c r="C246" s="227"/>
      <c r="D246" s="307"/>
      <c r="E246" s="227"/>
      <c r="F246" s="304"/>
      <c r="G246" s="227"/>
      <c r="H246" s="309"/>
      <c r="I246" s="227"/>
      <c r="J246" s="227"/>
      <c r="K246" s="37"/>
      <c r="L246" s="227"/>
      <c r="M246" s="227"/>
      <c r="N246" s="227"/>
      <c r="O246" s="228"/>
      <c r="P246" s="228"/>
    </row>
    <row r="247" spans="1:16" x14ac:dyDescent="0.35">
      <c r="A247" s="227"/>
      <c r="B247" s="227"/>
      <c r="C247" s="227"/>
      <c r="D247" s="307"/>
      <c r="E247" s="227"/>
      <c r="F247" s="304"/>
      <c r="G247" s="227"/>
      <c r="H247" s="309"/>
      <c r="I247" s="227"/>
      <c r="J247" s="227"/>
      <c r="K247" s="37"/>
      <c r="L247" s="227"/>
      <c r="M247" s="227"/>
      <c r="N247" s="227"/>
      <c r="O247" s="228"/>
      <c r="P247" s="228"/>
    </row>
    <row r="248" spans="1:16" x14ac:dyDescent="0.35">
      <c r="A248" s="227"/>
      <c r="B248" s="227"/>
      <c r="C248" s="227"/>
      <c r="D248" s="307"/>
      <c r="E248" s="227"/>
      <c r="F248" s="304"/>
      <c r="G248" s="227"/>
      <c r="H248" s="309"/>
      <c r="I248" s="227"/>
      <c r="J248" s="227"/>
      <c r="K248" s="37"/>
      <c r="L248" s="227"/>
      <c r="M248" s="227"/>
      <c r="N248" s="227"/>
      <c r="O248" s="228"/>
      <c r="P248" s="228"/>
    </row>
    <row r="249" spans="1:16" x14ac:dyDescent="0.35">
      <c r="A249" s="227"/>
      <c r="B249" s="227"/>
      <c r="C249" s="227"/>
      <c r="D249" s="307"/>
      <c r="E249" s="227"/>
      <c r="F249" s="304"/>
      <c r="G249" s="227"/>
      <c r="H249" s="309"/>
      <c r="I249" s="227"/>
      <c r="J249" s="227"/>
      <c r="K249" s="37"/>
      <c r="L249" s="227"/>
      <c r="M249" s="227"/>
      <c r="N249" s="227"/>
      <c r="O249" s="228"/>
      <c r="P249" s="228"/>
    </row>
    <row r="250" spans="1:16" x14ac:dyDescent="0.35">
      <c r="A250" s="227"/>
      <c r="B250" s="227"/>
      <c r="C250" s="227"/>
      <c r="D250" s="307"/>
      <c r="E250" s="227"/>
      <c r="F250" s="304"/>
      <c r="G250" s="227"/>
      <c r="H250" s="309"/>
      <c r="I250" s="227"/>
      <c r="J250" s="227"/>
      <c r="K250" s="37"/>
      <c r="L250" s="227"/>
      <c r="M250" s="227"/>
      <c r="N250" s="227"/>
      <c r="O250" s="228"/>
      <c r="P250" s="228"/>
    </row>
    <row r="251" spans="1:16" x14ac:dyDescent="0.35">
      <c r="A251" s="227"/>
      <c r="B251" s="227"/>
      <c r="C251" s="227"/>
      <c r="D251" s="307"/>
      <c r="E251" s="227"/>
      <c r="F251" s="304"/>
      <c r="G251" s="227"/>
      <c r="H251" s="309"/>
      <c r="I251" s="227"/>
      <c r="J251" s="227"/>
      <c r="K251" s="37"/>
      <c r="L251" s="227"/>
      <c r="M251" s="227"/>
      <c r="N251" s="227"/>
      <c r="O251" s="228"/>
      <c r="P251" s="228"/>
    </row>
    <row r="252" spans="1:16" x14ac:dyDescent="0.35">
      <c r="A252" s="227"/>
      <c r="B252" s="227"/>
      <c r="C252" s="227"/>
      <c r="D252" s="307"/>
      <c r="E252" s="227"/>
      <c r="F252" s="304"/>
      <c r="G252" s="227"/>
      <c r="H252" s="309"/>
      <c r="I252" s="227"/>
      <c r="J252" s="227"/>
      <c r="K252" s="37"/>
      <c r="L252" s="227"/>
      <c r="M252" s="227"/>
      <c r="N252" s="227"/>
      <c r="O252" s="228"/>
      <c r="P252" s="228"/>
    </row>
    <row r="253" spans="1:16" x14ac:dyDescent="0.35">
      <c r="A253" s="227"/>
      <c r="B253" s="227"/>
      <c r="C253" s="227"/>
      <c r="D253" s="307"/>
      <c r="E253" s="227"/>
      <c r="F253" s="304"/>
      <c r="G253" s="227"/>
      <c r="H253" s="309"/>
      <c r="I253" s="227"/>
      <c r="J253" s="227"/>
      <c r="K253" s="37"/>
      <c r="L253" s="227"/>
      <c r="M253" s="227"/>
      <c r="N253" s="227"/>
      <c r="O253" s="228"/>
      <c r="P253" s="228"/>
    </row>
    <row r="254" spans="1:16" x14ac:dyDescent="0.35">
      <c r="A254" s="227"/>
      <c r="B254" s="227"/>
      <c r="C254" s="227"/>
      <c r="D254" s="307"/>
      <c r="E254" s="227"/>
      <c r="F254" s="304"/>
      <c r="G254" s="227"/>
      <c r="H254" s="309"/>
      <c r="I254" s="227"/>
      <c r="J254" s="227"/>
      <c r="K254" s="37"/>
      <c r="L254" s="227"/>
      <c r="M254" s="227"/>
      <c r="N254" s="227"/>
      <c r="O254" s="228"/>
      <c r="P254" s="228"/>
    </row>
    <row r="255" spans="1:16" x14ac:dyDescent="0.35">
      <c r="A255" s="227"/>
      <c r="B255" s="227"/>
      <c r="C255" s="227"/>
      <c r="D255" s="307"/>
      <c r="E255" s="227"/>
      <c r="F255" s="304"/>
      <c r="G255" s="227"/>
      <c r="H255" s="309"/>
      <c r="I255" s="227"/>
      <c r="J255" s="227"/>
      <c r="K255" s="37"/>
      <c r="L255" s="227"/>
      <c r="M255" s="227"/>
      <c r="N255" s="227"/>
      <c r="O255" s="228"/>
      <c r="P255" s="228"/>
    </row>
    <row r="256" spans="1:16" x14ac:dyDescent="0.35">
      <c r="A256" s="227"/>
      <c r="B256" s="227"/>
      <c r="C256" s="227"/>
      <c r="D256" s="307"/>
      <c r="E256" s="227"/>
      <c r="F256" s="304"/>
      <c r="G256" s="227"/>
      <c r="H256" s="309"/>
      <c r="I256" s="227"/>
      <c r="J256" s="227"/>
      <c r="K256" s="37"/>
      <c r="L256" s="227"/>
      <c r="M256" s="227"/>
      <c r="N256" s="227"/>
      <c r="O256" s="228"/>
      <c r="P256" s="228"/>
    </row>
    <row r="257" spans="1:16" x14ac:dyDescent="0.35">
      <c r="A257" s="227"/>
      <c r="B257" s="227"/>
      <c r="C257" s="227"/>
      <c r="D257" s="307"/>
      <c r="E257" s="227"/>
      <c r="F257" s="304"/>
      <c r="G257" s="227"/>
      <c r="H257" s="309"/>
      <c r="I257" s="227"/>
      <c r="J257" s="227"/>
      <c r="K257" s="37"/>
      <c r="L257" s="227"/>
      <c r="M257" s="227"/>
      <c r="N257" s="227"/>
      <c r="O257" s="228"/>
      <c r="P257" s="228"/>
    </row>
    <row r="258" spans="1:16" x14ac:dyDescent="0.35">
      <c r="A258" s="227"/>
      <c r="B258" s="227"/>
      <c r="C258" s="227"/>
      <c r="D258" s="307"/>
      <c r="E258" s="227"/>
      <c r="F258" s="304"/>
      <c r="G258" s="227"/>
      <c r="H258" s="309"/>
      <c r="I258" s="227"/>
      <c r="J258" s="227"/>
      <c r="K258" s="37"/>
      <c r="L258" s="227"/>
      <c r="M258" s="227"/>
      <c r="N258" s="227"/>
      <c r="O258" s="228"/>
      <c r="P258" s="228"/>
    </row>
    <row r="259" spans="1:16" x14ac:dyDescent="0.35">
      <c r="A259" s="227"/>
      <c r="B259" s="227"/>
      <c r="C259" s="227"/>
      <c r="D259" s="307"/>
      <c r="E259" s="227"/>
      <c r="F259" s="304"/>
      <c r="G259" s="227"/>
      <c r="H259" s="309"/>
      <c r="I259" s="227"/>
      <c r="J259" s="227"/>
      <c r="K259" s="37"/>
      <c r="L259" s="227"/>
      <c r="M259" s="227"/>
      <c r="N259" s="227"/>
      <c r="O259" s="228"/>
      <c r="P259" s="228"/>
    </row>
    <row r="260" spans="1:16" x14ac:dyDescent="0.35">
      <c r="A260" s="227"/>
      <c r="B260" s="227"/>
      <c r="C260" s="227"/>
      <c r="D260" s="307"/>
      <c r="E260" s="227"/>
      <c r="F260" s="304"/>
      <c r="G260" s="227"/>
      <c r="H260" s="309"/>
      <c r="I260" s="227"/>
      <c r="J260" s="227"/>
      <c r="K260" s="37"/>
      <c r="L260" s="227"/>
      <c r="M260" s="227"/>
      <c r="N260" s="227"/>
      <c r="O260" s="228"/>
      <c r="P260" s="228"/>
    </row>
    <row r="261" spans="1:16" x14ac:dyDescent="0.35">
      <c r="A261" s="227"/>
      <c r="B261" s="227"/>
      <c r="C261" s="227"/>
      <c r="D261" s="307"/>
      <c r="E261" s="227"/>
      <c r="F261" s="304"/>
      <c r="G261" s="227"/>
      <c r="H261" s="309"/>
      <c r="I261" s="227"/>
      <c r="J261" s="227"/>
      <c r="K261" s="37"/>
      <c r="L261" s="227"/>
      <c r="M261" s="227"/>
      <c r="N261" s="227"/>
      <c r="O261" s="228"/>
      <c r="P261" s="228"/>
    </row>
    <row r="262" spans="1:16" x14ac:dyDescent="0.35">
      <c r="A262" s="227"/>
      <c r="B262" s="227"/>
      <c r="C262" s="227"/>
      <c r="D262" s="307"/>
      <c r="E262" s="227"/>
      <c r="F262" s="304"/>
      <c r="G262" s="227"/>
      <c r="H262" s="309"/>
      <c r="I262" s="227"/>
      <c r="J262" s="227"/>
      <c r="K262" s="37"/>
      <c r="L262" s="227"/>
      <c r="M262" s="227"/>
      <c r="N262" s="227"/>
      <c r="O262" s="228"/>
      <c r="P262" s="228"/>
    </row>
    <row r="263" spans="1:16" x14ac:dyDescent="0.35">
      <c r="A263" s="227"/>
      <c r="B263" s="227"/>
      <c r="C263" s="227"/>
      <c r="D263" s="307"/>
      <c r="E263" s="227"/>
      <c r="F263" s="304"/>
      <c r="G263" s="227"/>
      <c r="H263" s="309"/>
      <c r="I263" s="227"/>
      <c r="J263" s="227"/>
      <c r="K263" s="37"/>
      <c r="L263" s="227"/>
      <c r="M263" s="227"/>
      <c r="N263" s="227"/>
      <c r="O263" s="228"/>
      <c r="P263" s="228"/>
    </row>
    <row r="264" spans="1:16" x14ac:dyDescent="0.35">
      <c r="A264" s="227"/>
      <c r="B264" s="227"/>
      <c r="C264" s="227"/>
      <c r="D264" s="307"/>
      <c r="E264" s="227"/>
      <c r="F264" s="304"/>
      <c r="G264" s="227"/>
      <c r="H264" s="309"/>
      <c r="I264" s="227"/>
      <c r="J264" s="227"/>
      <c r="K264" s="37"/>
      <c r="L264" s="227"/>
      <c r="M264" s="227"/>
      <c r="N264" s="227"/>
      <c r="O264" s="228"/>
      <c r="P264" s="228"/>
    </row>
    <row r="265" spans="1:16" x14ac:dyDescent="0.35">
      <c r="A265" s="227"/>
      <c r="B265" s="227"/>
      <c r="C265" s="227"/>
      <c r="D265" s="307"/>
      <c r="E265" s="227"/>
      <c r="F265" s="304"/>
      <c r="G265" s="227"/>
      <c r="H265" s="309"/>
      <c r="I265" s="227"/>
      <c r="J265" s="227"/>
      <c r="K265" s="37"/>
      <c r="L265" s="227"/>
      <c r="M265" s="227"/>
      <c r="N265" s="227"/>
      <c r="O265" s="228"/>
      <c r="P265" s="228"/>
    </row>
    <row r="266" spans="1:16" x14ac:dyDescent="0.35">
      <c r="A266" s="227"/>
      <c r="B266" s="227"/>
      <c r="C266" s="227"/>
      <c r="D266" s="307"/>
      <c r="E266" s="227"/>
      <c r="F266" s="304"/>
      <c r="G266" s="227"/>
      <c r="H266" s="309"/>
      <c r="I266" s="227"/>
      <c r="J266" s="227"/>
      <c r="K266" s="37"/>
      <c r="L266" s="227"/>
      <c r="M266" s="227"/>
      <c r="N266" s="227"/>
      <c r="O266" s="228"/>
      <c r="P266" s="228"/>
    </row>
    <row r="267" spans="1:16" x14ac:dyDescent="0.35">
      <c r="A267" s="227"/>
      <c r="B267" s="227"/>
      <c r="C267" s="227"/>
      <c r="D267" s="307"/>
      <c r="E267" s="227"/>
      <c r="F267" s="304"/>
      <c r="G267" s="227"/>
      <c r="H267" s="309"/>
      <c r="I267" s="227"/>
      <c r="J267" s="227"/>
      <c r="K267" s="37"/>
      <c r="L267" s="227"/>
      <c r="M267" s="227"/>
      <c r="N267" s="227"/>
      <c r="O267" s="228"/>
      <c r="P267" s="228"/>
    </row>
    <row r="268" spans="1:16" x14ac:dyDescent="0.35">
      <c r="A268" s="227"/>
      <c r="B268" s="227"/>
      <c r="C268" s="227"/>
      <c r="D268" s="307"/>
      <c r="E268" s="227"/>
      <c r="F268" s="304"/>
      <c r="G268" s="227"/>
      <c r="H268" s="309"/>
      <c r="I268" s="227"/>
      <c r="J268" s="227"/>
      <c r="K268" s="37"/>
      <c r="L268" s="227"/>
      <c r="M268" s="227"/>
      <c r="N268" s="227"/>
      <c r="O268" s="228"/>
      <c r="P268" s="228"/>
    </row>
    <row r="269" spans="1:16" x14ac:dyDescent="0.35">
      <c r="A269" s="227"/>
      <c r="B269" s="227"/>
      <c r="C269" s="227"/>
      <c r="D269" s="307"/>
      <c r="E269" s="227"/>
      <c r="F269" s="304"/>
      <c r="G269" s="227"/>
      <c r="H269" s="309"/>
      <c r="I269" s="227"/>
      <c r="J269" s="227"/>
      <c r="K269" s="37"/>
      <c r="L269" s="227"/>
      <c r="M269" s="227"/>
      <c r="N269" s="227"/>
      <c r="O269" s="228"/>
      <c r="P269" s="228"/>
    </row>
    <row r="270" spans="1:16" x14ac:dyDescent="0.35">
      <c r="A270" s="227"/>
      <c r="B270" s="227"/>
      <c r="C270" s="227"/>
      <c r="D270" s="307"/>
      <c r="E270" s="227"/>
      <c r="F270" s="304"/>
      <c r="G270" s="227"/>
      <c r="H270" s="309"/>
      <c r="I270" s="227"/>
      <c r="J270" s="227"/>
      <c r="K270" s="37"/>
      <c r="L270" s="227"/>
      <c r="M270" s="227"/>
      <c r="N270" s="227"/>
      <c r="O270" s="228"/>
      <c r="P270" s="228"/>
    </row>
    <row r="271" spans="1:16" x14ac:dyDescent="0.35">
      <c r="A271" s="227"/>
      <c r="B271" s="227"/>
      <c r="C271" s="227"/>
      <c r="D271" s="307"/>
      <c r="E271" s="227"/>
      <c r="F271" s="304"/>
      <c r="G271" s="227"/>
      <c r="H271" s="309"/>
      <c r="I271" s="227"/>
      <c r="J271" s="227"/>
      <c r="K271" s="37"/>
      <c r="L271" s="227"/>
      <c r="M271" s="227"/>
      <c r="N271" s="227"/>
      <c r="O271" s="228"/>
      <c r="P271" s="228"/>
    </row>
    <row r="272" spans="1:16" x14ac:dyDescent="0.35">
      <c r="A272" s="227"/>
      <c r="B272" s="227"/>
      <c r="C272" s="227"/>
      <c r="D272" s="307"/>
      <c r="E272" s="227"/>
      <c r="F272" s="304"/>
      <c r="G272" s="227"/>
      <c r="H272" s="309"/>
      <c r="I272" s="227"/>
      <c r="J272" s="227"/>
      <c r="K272" s="37"/>
      <c r="L272" s="227"/>
      <c r="M272" s="227"/>
      <c r="N272" s="227"/>
      <c r="O272" s="228"/>
      <c r="P272" s="228"/>
    </row>
    <row r="273" spans="1:16" x14ac:dyDescent="0.35">
      <c r="A273" s="227"/>
      <c r="B273" s="227"/>
      <c r="C273" s="227"/>
      <c r="D273" s="307"/>
      <c r="E273" s="227"/>
      <c r="F273" s="304"/>
      <c r="G273" s="227"/>
      <c r="H273" s="309"/>
      <c r="I273" s="227"/>
      <c r="J273" s="227"/>
      <c r="K273" s="37"/>
      <c r="L273" s="227"/>
      <c r="M273" s="227"/>
      <c r="N273" s="227"/>
      <c r="O273" s="228"/>
      <c r="P273" s="228"/>
    </row>
    <row r="274" spans="1:16" x14ac:dyDescent="0.35">
      <c r="A274" s="227"/>
      <c r="B274" s="227"/>
      <c r="C274" s="227"/>
      <c r="D274" s="307"/>
      <c r="E274" s="227"/>
      <c r="F274" s="304"/>
      <c r="G274" s="227"/>
      <c r="H274" s="309"/>
      <c r="I274" s="227"/>
      <c r="J274" s="227"/>
      <c r="K274" s="37"/>
      <c r="L274" s="227"/>
      <c r="M274" s="227"/>
      <c r="N274" s="227"/>
      <c r="O274" s="228"/>
      <c r="P274" s="228"/>
    </row>
    <row r="275" spans="1:16" x14ac:dyDescent="0.35">
      <c r="A275" s="227"/>
      <c r="B275" s="227"/>
      <c r="C275" s="227"/>
      <c r="D275" s="307"/>
      <c r="E275" s="227"/>
      <c r="F275" s="304"/>
      <c r="G275" s="227"/>
      <c r="H275" s="309"/>
      <c r="I275" s="227"/>
      <c r="J275" s="227"/>
      <c r="K275" s="37"/>
      <c r="L275" s="227"/>
      <c r="M275" s="227"/>
      <c r="N275" s="227"/>
      <c r="O275" s="228"/>
      <c r="P275" s="228"/>
    </row>
    <row r="276" spans="1:16" x14ac:dyDescent="0.35">
      <c r="A276" s="227"/>
      <c r="B276" s="227"/>
      <c r="C276" s="227"/>
      <c r="D276" s="307"/>
      <c r="E276" s="227"/>
      <c r="F276" s="304"/>
      <c r="G276" s="227"/>
      <c r="H276" s="309"/>
      <c r="I276" s="227"/>
      <c r="J276" s="227"/>
      <c r="K276" s="37"/>
      <c r="L276" s="227"/>
      <c r="M276" s="227"/>
      <c r="N276" s="227"/>
      <c r="O276" s="228"/>
      <c r="P276" s="228"/>
    </row>
    <row r="277" spans="1:16" x14ac:dyDescent="0.35">
      <c r="A277" s="227"/>
      <c r="B277" s="227"/>
      <c r="C277" s="227"/>
      <c r="D277" s="307"/>
      <c r="E277" s="227"/>
      <c r="F277" s="304"/>
      <c r="G277" s="227"/>
      <c r="H277" s="309"/>
      <c r="I277" s="227"/>
      <c r="J277" s="227"/>
      <c r="K277" s="37"/>
      <c r="L277" s="227"/>
      <c r="M277" s="227"/>
      <c r="N277" s="227"/>
      <c r="O277" s="228"/>
      <c r="P277" s="228"/>
    </row>
    <row r="278" spans="1:16" x14ac:dyDescent="0.35">
      <c r="A278" s="227"/>
      <c r="B278" s="227"/>
      <c r="C278" s="227"/>
      <c r="D278" s="307"/>
      <c r="E278" s="227"/>
      <c r="F278" s="304"/>
      <c r="G278" s="227"/>
      <c r="H278" s="309"/>
      <c r="I278" s="227"/>
      <c r="J278" s="227"/>
      <c r="K278" s="37"/>
      <c r="L278" s="227"/>
      <c r="M278" s="227"/>
      <c r="N278" s="227"/>
      <c r="O278" s="228"/>
      <c r="P278" s="228"/>
    </row>
    <row r="279" spans="1:16" x14ac:dyDescent="0.35">
      <c r="A279" s="227"/>
      <c r="B279" s="227"/>
      <c r="C279" s="227"/>
      <c r="D279" s="307"/>
      <c r="E279" s="227"/>
      <c r="F279" s="304"/>
      <c r="G279" s="227"/>
      <c r="H279" s="309"/>
      <c r="I279" s="227"/>
      <c r="J279" s="227"/>
      <c r="K279" s="37"/>
      <c r="L279" s="227"/>
      <c r="M279" s="227"/>
      <c r="N279" s="227"/>
      <c r="O279" s="228"/>
      <c r="P279" s="228"/>
    </row>
    <row r="280" spans="1:16" x14ac:dyDescent="0.35">
      <c r="A280" s="227"/>
      <c r="B280" s="227"/>
      <c r="C280" s="227"/>
      <c r="D280" s="307"/>
      <c r="E280" s="227"/>
      <c r="F280" s="304"/>
      <c r="G280" s="227"/>
      <c r="H280" s="309"/>
      <c r="I280" s="227"/>
      <c r="J280" s="227"/>
      <c r="K280" s="37"/>
      <c r="L280" s="227"/>
      <c r="M280" s="227"/>
      <c r="N280" s="227"/>
      <c r="O280" s="228"/>
      <c r="P280" s="228"/>
    </row>
    <row r="281" spans="1:16" x14ac:dyDescent="0.35">
      <c r="A281" s="227"/>
      <c r="B281" s="227"/>
      <c r="C281" s="227"/>
      <c r="D281" s="307"/>
      <c r="E281" s="227"/>
      <c r="F281" s="304"/>
      <c r="G281" s="227"/>
      <c r="H281" s="309"/>
      <c r="I281" s="227"/>
      <c r="J281" s="227"/>
      <c r="K281" s="37"/>
      <c r="L281" s="227"/>
      <c r="M281" s="227"/>
      <c r="N281" s="227"/>
      <c r="O281" s="228"/>
      <c r="P281" s="228"/>
    </row>
    <row r="282" spans="1:16" x14ac:dyDescent="0.35">
      <c r="A282" s="227"/>
      <c r="B282" s="227"/>
      <c r="C282" s="227"/>
      <c r="D282" s="307"/>
      <c r="E282" s="227"/>
      <c r="F282" s="304"/>
      <c r="G282" s="227"/>
      <c r="H282" s="309"/>
      <c r="I282" s="227"/>
      <c r="J282" s="227"/>
      <c r="K282" s="37"/>
      <c r="L282" s="227"/>
      <c r="M282" s="227"/>
      <c r="N282" s="227"/>
      <c r="O282" s="228"/>
      <c r="P282" s="228"/>
    </row>
    <row r="283" spans="1:16" x14ac:dyDescent="0.35">
      <c r="A283" s="227"/>
      <c r="B283" s="227"/>
      <c r="C283" s="227"/>
      <c r="D283" s="307"/>
      <c r="E283" s="227"/>
      <c r="F283" s="304"/>
      <c r="G283" s="227"/>
      <c r="H283" s="309"/>
      <c r="I283" s="227"/>
      <c r="J283" s="227"/>
      <c r="K283" s="37"/>
      <c r="L283" s="227"/>
      <c r="M283" s="227"/>
      <c r="N283" s="227"/>
      <c r="O283" s="228"/>
      <c r="P283" s="228"/>
    </row>
    <row r="284" spans="1:16" x14ac:dyDescent="0.35">
      <c r="A284" s="227"/>
      <c r="B284" s="227"/>
      <c r="C284" s="227"/>
      <c r="D284" s="307"/>
      <c r="E284" s="227"/>
      <c r="F284" s="304"/>
      <c r="G284" s="227"/>
      <c r="H284" s="309"/>
      <c r="I284" s="227"/>
      <c r="J284" s="227"/>
      <c r="K284" s="37"/>
      <c r="L284" s="227"/>
      <c r="M284" s="227"/>
      <c r="N284" s="227"/>
      <c r="O284" s="228"/>
      <c r="P284" s="228"/>
    </row>
    <row r="285" spans="1:16" x14ac:dyDescent="0.35">
      <c r="A285" s="227"/>
      <c r="B285" s="227"/>
      <c r="C285" s="227"/>
      <c r="D285" s="307"/>
      <c r="E285" s="227"/>
      <c r="F285" s="304"/>
      <c r="G285" s="227"/>
      <c r="H285" s="309"/>
      <c r="I285" s="227"/>
      <c r="J285" s="227"/>
      <c r="K285" s="37"/>
      <c r="L285" s="227"/>
      <c r="M285" s="227"/>
      <c r="N285" s="227"/>
      <c r="O285" s="228"/>
      <c r="P285" s="228"/>
    </row>
    <row r="286" spans="1:16" x14ac:dyDescent="0.35">
      <c r="A286" s="227"/>
      <c r="B286" s="227"/>
      <c r="C286" s="227"/>
      <c r="D286" s="307"/>
      <c r="E286" s="227"/>
      <c r="F286" s="304"/>
      <c r="G286" s="227"/>
      <c r="H286" s="309"/>
      <c r="I286" s="227"/>
      <c r="J286" s="227"/>
      <c r="K286" s="37"/>
      <c r="L286" s="227"/>
      <c r="M286" s="227"/>
      <c r="N286" s="227"/>
      <c r="O286" s="228"/>
      <c r="P286" s="228"/>
    </row>
    <row r="287" spans="1:16" x14ac:dyDescent="0.35">
      <c r="A287" s="227"/>
      <c r="B287" s="227"/>
      <c r="C287" s="227"/>
      <c r="D287" s="307"/>
      <c r="E287" s="227"/>
      <c r="F287" s="304"/>
      <c r="G287" s="227"/>
      <c r="H287" s="309"/>
      <c r="I287" s="227"/>
      <c r="J287" s="227"/>
      <c r="K287" s="37"/>
      <c r="L287" s="227"/>
      <c r="M287" s="227"/>
      <c r="N287" s="227"/>
      <c r="O287" s="228"/>
      <c r="P287" s="228"/>
    </row>
    <row r="288" spans="1:16" x14ac:dyDescent="0.35">
      <c r="A288" s="227"/>
      <c r="B288" s="227"/>
      <c r="C288" s="227"/>
      <c r="D288" s="307"/>
      <c r="E288" s="227"/>
      <c r="F288" s="304"/>
      <c r="G288" s="227"/>
      <c r="H288" s="309"/>
      <c r="I288" s="227"/>
      <c r="J288" s="227"/>
      <c r="K288" s="37"/>
      <c r="L288" s="227"/>
      <c r="M288" s="227"/>
      <c r="N288" s="227"/>
      <c r="O288" s="228"/>
      <c r="P288" s="228"/>
    </row>
    <row r="289" spans="1:16" x14ac:dyDescent="0.35">
      <c r="A289" s="227"/>
      <c r="B289" s="227"/>
      <c r="C289" s="227"/>
      <c r="D289" s="307"/>
      <c r="E289" s="227"/>
      <c r="F289" s="304"/>
      <c r="G289" s="227"/>
      <c r="H289" s="309"/>
      <c r="I289" s="227"/>
      <c r="J289" s="227"/>
      <c r="K289" s="37"/>
      <c r="L289" s="227"/>
      <c r="M289" s="227"/>
      <c r="N289" s="227"/>
      <c r="O289" s="228"/>
      <c r="P289" s="228"/>
    </row>
    <row r="290" spans="1:16" x14ac:dyDescent="0.35">
      <c r="A290" s="227"/>
      <c r="B290" s="227"/>
      <c r="C290" s="227"/>
      <c r="D290" s="307"/>
      <c r="E290" s="227"/>
      <c r="F290" s="304"/>
      <c r="G290" s="227"/>
      <c r="H290" s="309"/>
      <c r="I290" s="227"/>
      <c r="J290" s="227"/>
      <c r="K290" s="37"/>
      <c r="L290" s="227"/>
      <c r="M290" s="227"/>
      <c r="N290" s="227"/>
      <c r="O290" s="228"/>
      <c r="P290" s="228"/>
    </row>
    <row r="291" spans="1:16" x14ac:dyDescent="0.35">
      <c r="A291" s="227"/>
      <c r="B291" s="227"/>
      <c r="C291" s="227"/>
      <c r="D291" s="307"/>
      <c r="E291" s="227"/>
      <c r="F291" s="304"/>
      <c r="G291" s="227"/>
      <c r="H291" s="309"/>
      <c r="I291" s="227"/>
      <c r="J291" s="227"/>
      <c r="K291" s="37"/>
      <c r="L291" s="227"/>
      <c r="M291" s="227"/>
      <c r="N291" s="227"/>
      <c r="O291" s="228"/>
      <c r="P291" s="228"/>
    </row>
    <row r="292" spans="1:16" x14ac:dyDescent="0.35">
      <c r="A292" s="227"/>
      <c r="B292" s="227"/>
      <c r="C292" s="227"/>
      <c r="D292" s="307"/>
      <c r="E292" s="227"/>
      <c r="F292" s="304"/>
      <c r="G292" s="227"/>
      <c r="H292" s="309"/>
      <c r="I292" s="227"/>
      <c r="J292" s="227"/>
      <c r="K292" s="37"/>
      <c r="L292" s="227"/>
      <c r="M292" s="227"/>
      <c r="N292" s="227"/>
      <c r="O292" s="228"/>
      <c r="P292" s="228"/>
    </row>
    <row r="293" spans="1:16" x14ac:dyDescent="0.35">
      <c r="A293" s="227"/>
      <c r="B293" s="227"/>
      <c r="C293" s="227"/>
      <c r="D293" s="307"/>
      <c r="E293" s="227"/>
      <c r="F293" s="304"/>
      <c r="G293" s="227"/>
      <c r="H293" s="309"/>
      <c r="I293" s="227"/>
      <c r="J293" s="227"/>
      <c r="K293" s="37"/>
      <c r="L293" s="227"/>
      <c r="M293" s="227"/>
      <c r="N293" s="227"/>
      <c r="O293" s="228"/>
      <c r="P293" s="228"/>
    </row>
    <row r="294" spans="1:16" x14ac:dyDescent="0.35">
      <c r="A294" s="227"/>
      <c r="B294" s="227"/>
      <c r="C294" s="227"/>
      <c r="D294" s="307"/>
      <c r="E294" s="227"/>
      <c r="F294" s="304"/>
      <c r="G294" s="227"/>
      <c r="H294" s="309"/>
      <c r="I294" s="227"/>
      <c r="J294" s="227"/>
      <c r="K294" s="37"/>
      <c r="L294" s="227"/>
      <c r="M294" s="227"/>
      <c r="N294" s="227"/>
      <c r="O294" s="228"/>
      <c r="P294" s="228"/>
    </row>
    <row r="295" spans="1:16" x14ac:dyDescent="0.35">
      <c r="A295" s="227"/>
      <c r="B295" s="227"/>
      <c r="C295" s="227"/>
      <c r="D295" s="307"/>
      <c r="E295" s="227"/>
      <c r="F295" s="304"/>
      <c r="G295" s="227"/>
      <c r="H295" s="309"/>
      <c r="I295" s="227"/>
      <c r="J295" s="227"/>
      <c r="K295" s="37"/>
      <c r="L295" s="227"/>
      <c r="M295" s="227"/>
      <c r="N295" s="227"/>
      <c r="O295" s="228"/>
      <c r="P295" s="228"/>
    </row>
    <row r="296" spans="1:16" x14ac:dyDescent="0.35">
      <c r="A296" s="227"/>
      <c r="B296" s="227"/>
      <c r="C296" s="227"/>
      <c r="D296" s="307"/>
      <c r="E296" s="227"/>
      <c r="F296" s="304"/>
      <c r="G296" s="227"/>
      <c r="H296" s="309"/>
      <c r="I296" s="227"/>
      <c r="J296" s="227"/>
      <c r="K296" s="37"/>
      <c r="L296" s="227"/>
      <c r="M296" s="227"/>
      <c r="N296" s="227"/>
      <c r="O296" s="228"/>
      <c r="P296" s="228"/>
    </row>
    <row r="297" spans="1:16" x14ac:dyDescent="0.35">
      <c r="A297" s="227"/>
      <c r="B297" s="227"/>
      <c r="C297" s="227"/>
      <c r="D297" s="307"/>
      <c r="E297" s="227"/>
      <c r="F297" s="304"/>
      <c r="G297" s="227"/>
      <c r="H297" s="309"/>
      <c r="I297" s="227"/>
      <c r="J297" s="227"/>
      <c r="K297" s="37"/>
      <c r="L297" s="227"/>
      <c r="M297" s="227"/>
      <c r="N297" s="227"/>
      <c r="O297" s="228"/>
      <c r="P297" s="228"/>
    </row>
    <row r="298" spans="1:16" x14ac:dyDescent="0.35">
      <c r="A298" s="227"/>
      <c r="B298" s="227"/>
      <c r="C298" s="227"/>
      <c r="D298" s="307"/>
      <c r="E298" s="227"/>
      <c r="F298" s="304"/>
      <c r="G298" s="227"/>
      <c r="H298" s="309"/>
      <c r="I298" s="227"/>
      <c r="J298" s="227"/>
      <c r="K298" s="37"/>
      <c r="L298" s="227"/>
      <c r="M298" s="227"/>
      <c r="N298" s="227"/>
      <c r="O298" s="228"/>
      <c r="P298" s="228"/>
    </row>
    <row r="299" spans="1:16" x14ac:dyDescent="0.35">
      <c r="A299" s="227"/>
      <c r="B299" s="227"/>
      <c r="C299" s="227"/>
      <c r="D299" s="307"/>
      <c r="E299" s="227"/>
      <c r="F299" s="304"/>
      <c r="G299" s="227"/>
      <c r="H299" s="309"/>
      <c r="I299" s="227"/>
      <c r="J299" s="227"/>
      <c r="K299" s="37"/>
      <c r="L299" s="227"/>
      <c r="M299" s="227"/>
      <c r="N299" s="227"/>
      <c r="O299" s="228"/>
      <c r="P299" s="228"/>
    </row>
    <row r="300" spans="1:16" x14ac:dyDescent="0.35">
      <c r="A300" s="227"/>
      <c r="B300" s="227"/>
      <c r="C300" s="227"/>
      <c r="D300" s="307"/>
      <c r="E300" s="227"/>
      <c r="F300" s="304"/>
      <c r="G300" s="227"/>
      <c r="H300" s="309"/>
      <c r="I300" s="227"/>
      <c r="J300" s="227"/>
      <c r="K300" s="37"/>
      <c r="L300" s="227"/>
      <c r="M300" s="227"/>
      <c r="N300" s="227"/>
      <c r="O300" s="228"/>
      <c r="P300" s="228"/>
    </row>
    <row r="301" spans="1:16" x14ac:dyDescent="0.35">
      <c r="A301" s="227"/>
      <c r="B301" s="227"/>
      <c r="C301" s="227"/>
      <c r="D301" s="307"/>
      <c r="E301" s="227"/>
      <c r="F301" s="304"/>
      <c r="G301" s="227"/>
      <c r="H301" s="309"/>
      <c r="I301" s="227"/>
      <c r="J301" s="227"/>
      <c r="K301" s="37"/>
      <c r="L301" s="227"/>
      <c r="M301" s="227"/>
      <c r="N301" s="227"/>
      <c r="O301" s="228"/>
      <c r="P301" s="228"/>
    </row>
    <row r="302" spans="1:16" x14ac:dyDescent="0.35">
      <c r="A302" s="227"/>
      <c r="B302" s="227"/>
      <c r="C302" s="227"/>
      <c r="D302" s="307"/>
      <c r="E302" s="227"/>
      <c r="F302" s="304"/>
      <c r="G302" s="227"/>
      <c r="H302" s="309"/>
      <c r="I302" s="227"/>
      <c r="J302" s="227"/>
      <c r="K302" s="37"/>
      <c r="L302" s="227"/>
      <c r="M302" s="227"/>
      <c r="N302" s="227"/>
      <c r="O302" s="228"/>
      <c r="P302" s="228"/>
    </row>
    <row r="303" spans="1:16" x14ac:dyDescent="0.35">
      <c r="A303" s="227"/>
      <c r="B303" s="227"/>
      <c r="C303" s="227"/>
      <c r="D303" s="307"/>
      <c r="E303" s="227"/>
      <c r="F303" s="304"/>
      <c r="G303" s="227"/>
      <c r="H303" s="309"/>
      <c r="I303" s="227"/>
      <c r="J303" s="227"/>
      <c r="K303" s="37"/>
      <c r="L303" s="227"/>
      <c r="M303" s="227"/>
      <c r="N303" s="227"/>
      <c r="O303" s="228"/>
      <c r="P303" s="228"/>
    </row>
    <row r="304" spans="1:16" x14ac:dyDescent="0.35">
      <c r="A304" s="227"/>
      <c r="B304" s="227"/>
      <c r="C304" s="227"/>
      <c r="D304" s="307"/>
      <c r="E304" s="227"/>
      <c r="F304" s="304"/>
      <c r="G304" s="227"/>
      <c r="H304" s="309"/>
      <c r="I304" s="227"/>
      <c r="J304" s="227"/>
      <c r="K304" s="37"/>
      <c r="L304" s="227"/>
      <c r="M304" s="227"/>
      <c r="N304" s="227"/>
      <c r="O304" s="228"/>
      <c r="P304" s="228"/>
    </row>
    <row r="305" spans="1:16" x14ac:dyDescent="0.35">
      <c r="A305" s="227"/>
      <c r="B305" s="227"/>
      <c r="C305" s="227"/>
      <c r="D305" s="307"/>
      <c r="E305" s="227"/>
      <c r="F305" s="304"/>
      <c r="G305" s="227"/>
      <c r="H305" s="309"/>
      <c r="I305" s="227"/>
      <c r="J305" s="227"/>
      <c r="K305" s="37"/>
      <c r="L305" s="227"/>
      <c r="M305" s="227"/>
      <c r="N305" s="227"/>
      <c r="O305" s="228"/>
      <c r="P305" s="228"/>
    </row>
    <row r="306" spans="1:16" x14ac:dyDescent="0.35">
      <c r="A306" s="227"/>
      <c r="B306" s="227"/>
      <c r="C306" s="227"/>
      <c r="D306" s="307"/>
      <c r="E306" s="227"/>
      <c r="F306" s="304"/>
      <c r="G306" s="227"/>
      <c r="H306" s="309"/>
      <c r="I306" s="227"/>
      <c r="J306" s="227"/>
      <c r="K306" s="37"/>
      <c r="L306" s="227"/>
      <c r="M306" s="227"/>
      <c r="N306" s="227"/>
      <c r="O306" s="228"/>
      <c r="P306" s="228"/>
    </row>
    <row r="307" spans="1:16" x14ac:dyDescent="0.35">
      <c r="A307" s="227"/>
      <c r="B307" s="227"/>
      <c r="C307" s="227"/>
      <c r="D307" s="307"/>
      <c r="E307" s="227"/>
      <c r="F307" s="304"/>
      <c r="G307" s="227"/>
      <c r="H307" s="309"/>
      <c r="I307" s="227"/>
      <c r="J307" s="227"/>
      <c r="K307" s="37"/>
      <c r="L307" s="227"/>
      <c r="M307" s="227"/>
      <c r="N307" s="227"/>
      <c r="O307" s="228"/>
      <c r="P307" s="228"/>
    </row>
    <row r="308" spans="1:16" x14ac:dyDescent="0.35">
      <c r="A308" s="227"/>
      <c r="B308" s="227"/>
      <c r="C308" s="227"/>
      <c r="D308" s="307"/>
      <c r="E308" s="227"/>
      <c r="F308" s="304"/>
      <c r="G308" s="227"/>
      <c r="H308" s="309"/>
      <c r="I308" s="227"/>
      <c r="J308" s="227"/>
      <c r="K308" s="37"/>
      <c r="L308" s="227"/>
      <c r="M308" s="227"/>
      <c r="N308" s="227"/>
      <c r="O308" s="228"/>
      <c r="P308" s="228"/>
    </row>
    <row r="309" spans="1:16" x14ac:dyDescent="0.35">
      <c r="A309" s="227"/>
      <c r="B309" s="227"/>
      <c r="C309" s="227"/>
      <c r="D309" s="307"/>
      <c r="E309" s="227"/>
      <c r="F309" s="304"/>
      <c r="G309" s="227"/>
      <c r="H309" s="309"/>
      <c r="I309" s="227"/>
      <c r="J309" s="227"/>
      <c r="K309" s="37"/>
      <c r="L309" s="227"/>
      <c r="M309" s="227"/>
      <c r="N309" s="227"/>
      <c r="O309" s="228"/>
      <c r="P309" s="228"/>
    </row>
    <row r="310" spans="1:16" x14ac:dyDescent="0.35">
      <c r="A310" s="227"/>
      <c r="B310" s="227"/>
      <c r="C310" s="227"/>
      <c r="D310" s="307"/>
      <c r="E310" s="227"/>
      <c r="F310" s="304"/>
      <c r="G310" s="227"/>
      <c r="H310" s="309"/>
      <c r="I310" s="227"/>
      <c r="J310" s="227"/>
      <c r="K310" s="37"/>
      <c r="L310" s="227"/>
      <c r="M310" s="227"/>
      <c r="N310" s="227"/>
      <c r="O310" s="228"/>
      <c r="P310" s="228"/>
    </row>
    <row r="311" spans="1:16" x14ac:dyDescent="0.35">
      <c r="A311" s="227"/>
      <c r="B311" s="227"/>
      <c r="C311" s="227"/>
      <c r="D311" s="307"/>
      <c r="E311" s="227"/>
      <c r="F311" s="304"/>
      <c r="G311" s="227"/>
      <c r="H311" s="309"/>
      <c r="I311" s="227"/>
      <c r="J311" s="227"/>
      <c r="K311" s="37"/>
      <c r="L311" s="227"/>
      <c r="M311" s="227"/>
      <c r="N311" s="227"/>
      <c r="O311" s="228"/>
      <c r="P311" s="228"/>
    </row>
    <row r="312" spans="1:16" x14ac:dyDescent="0.35">
      <c r="A312" s="227"/>
      <c r="B312" s="227"/>
      <c r="C312" s="227"/>
      <c r="D312" s="307"/>
      <c r="E312" s="227"/>
      <c r="F312" s="304"/>
      <c r="G312" s="227"/>
      <c r="H312" s="309"/>
      <c r="I312" s="227"/>
      <c r="J312" s="227"/>
      <c r="K312" s="37"/>
      <c r="L312" s="227"/>
      <c r="M312" s="227"/>
      <c r="N312" s="227"/>
      <c r="O312" s="228"/>
      <c r="P312" s="228"/>
    </row>
    <row r="313" spans="1:16" x14ac:dyDescent="0.35">
      <c r="A313" s="227"/>
      <c r="B313" s="227"/>
      <c r="C313" s="227"/>
      <c r="D313" s="307"/>
      <c r="E313" s="227"/>
      <c r="F313" s="304"/>
      <c r="G313" s="227"/>
      <c r="H313" s="309"/>
      <c r="I313" s="227"/>
      <c r="J313" s="227"/>
      <c r="K313" s="37"/>
      <c r="L313" s="227"/>
      <c r="M313" s="227"/>
      <c r="N313" s="227"/>
      <c r="O313" s="228"/>
      <c r="P313" s="228"/>
    </row>
    <row r="314" spans="1:16" x14ac:dyDescent="0.35">
      <c r="A314" s="227"/>
      <c r="B314" s="227"/>
      <c r="C314" s="227"/>
      <c r="D314" s="307"/>
      <c r="E314" s="227"/>
      <c r="F314" s="304"/>
      <c r="G314" s="227"/>
      <c r="H314" s="309"/>
      <c r="I314" s="227"/>
      <c r="J314" s="227"/>
      <c r="K314" s="37"/>
      <c r="L314" s="227"/>
      <c r="M314" s="227"/>
      <c r="N314" s="227"/>
      <c r="O314" s="228"/>
      <c r="P314" s="228"/>
    </row>
    <row r="315" spans="1:16" x14ac:dyDescent="0.35">
      <c r="A315" s="227"/>
      <c r="B315" s="227"/>
      <c r="C315" s="227"/>
      <c r="D315" s="307"/>
      <c r="E315" s="227"/>
      <c r="F315" s="304"/>
      <c r="G315" s="227"/>
      <c r="H315" s="309"/>
      <c r="I315" s="227"/>
      <c r="J315" s="227"/>
      <c r="K315" s="37"/>
      <c r="L315" s="227"/>
      <c r="M315" s="227"/>
      <c r="N315" s="227"/>
      <c r="O315" s="228"/>
      <c r="P315" s="228"/>
    </row>
    <row r="316" spans="1:16" x14ac:dyDescent="0.35">
      <c r="A316" s="227"/>
      <c r="B316" s="227"/>
      <c r="C316" s="227"/>
      <c r="D316" s="307"/>
      <c r="E316" s="227"/>
      <c r="F316" s="304"/>
      <c r="G316" s="227"/>
      <c r="H316" s="309"/>
      <c r="I316" s="227"/>
      <c r="J316" s="227"/>
      <c r="K316" s="37"/>
      <c r="L316" s="227"/>
      <c r="M316" s="227"/>
      <c r="N316" s="227"/>
      <c r="O316" s="228"/>
      <c r="P316" s="228"/>
    </row>
    <row r="317" spans="1:16" x14ac:dyDescent="0.35">
      <c r="A317" s="227"/>
      <c r="B317" s="227"/>
      <c r="C317" s="227"/>
      <c r="D317" s="307"/>
      <c r="E317" s="227"/>
      <c r="F317" s="304"/>
      <c r="G317" s="227"/>
      <c r="H317" s="309"/>
      <c r="I317" s="227"/>
      <c r="J317" s="227"/>
      <c r="K317" s="37"/>
      <c r="L317" s="227"/>
      <c r="M317" s="227"/>
      <c r="N317" s="227"/>
      <c r="O317" s="228"/>
      <c r="P317" s="228"/>
    </row>
    <row r="318" spans="1:16" x14ac:dyDescent="0.35">
      <c r="A318" s="227"/>
      <c r="B318" s="227"/>
      <c r="C318" s="227"/>
      <c r="D318" s="307"/>
      <c r="E318" s="227"/>
      <c r="F318" s="304"/>
      <c r="G318" s="227"/>
      <c r="H318" s="309"/>
      <c r="I318" s="227"/>
      <c r="J318" s="227"/>
      <c r="K318" s="37"/>
      <c r="L318" s="227"/>
      <c r="M318" s="227"/>
      <c r="N318" s="227"/>
      <c r="O318" s="228"/>
      <c r="P318" s="228"/>
    </row>
    <row r="319" spans="1:16" x14ac:dyDescent="0.35">
      <c r="A319" s="227"/>
      <c r="B319" s="227"/>
      <c r="C319" s="227"/>
      <c r="D319" s="307"/>
      <c r="E319" s="227"/>
      <c r="F319" s="304"/>
      <c r="G319" s="227"/>
      <c r="H319" s="309"/>
      <c r="I319" s="227"/>
      <c r="J319" s="227"/>
      <c r="K319" s="37"/>
      <c r="L319" s="227"/>
      <c r="M319" s="227"/>
      <c r="N319" s="227"/>
      <c r="O319" s="228"/>
      <c r="P319" s="228"/>
    </row>
    <row r="320" spans="1:16" x14ac:dyDescent="0.35">
      <c r="A320" s="227"/>
      <c r="B320" s="227"/>
      <c r="C320" s="227"/>
      <c r="D320" s="307"/>
      <c r="E320" s="227"/>
      <c r="F320" s="304"/>
      <c r="G320" s="227"/>
      <c r="H320" s="309"/>
      <c r="I320" s="227"/>
      <c r="J320" s="227"/>
      <c r="K320" s="37"/>
      <c r="L320" s="227"/>
      <c r="M320" s="227"/>
      <c r="N320" s="227"/>
      <c r="O320" s="228"/>
      <c r="P320" s="228"/>
    </row>
    <row r="321" spans="1:16" x14ac:dyDescent="0.35">
      <c r="A321" s="227"/>
      <c r="B321" s="227"/>
      <c r="C321" s="227"/>
      <c r="D321" s="307"/>
      <c r="E321" s="227"/>
      <c r="F321" s="304"/>
      <c r="G321" s="227"/>
      <c r="H321" s="309"/>
      <c r="I321" s="227"/>
      <c r="J321" s="227"/>
      <c r="K321" s="37"/>
      <c r="L321" s="227"/>
      <c r="M321" s="227"/>
      <c r="N321" s="227"/>
      <c r="O321" s="228"/>
      <c r="P321" s="228"/>
    </row>
    <row r="322" spans="1:16" x14ac:dyDescent="0.35">
      <c r="A322" s="227"/>
      <c r="B322" s="227"/>
      <c r="C322" s="227"/>
      <c r="D322" s="307"/>
      <c r="E322" s="227"/>
      <c r="F322" s="304"/>
      <c r="G322" s="227"/>
      <c r="H322" s="309"/>
      <c r="I322" s="227"/>
      <c r="J322" s="227"/>
      <c r="K322" s="37"/>
      <c r="L322" s="227"/>
      <c r="M322" s="227"/>
      <c r="N322" s="227"/>
      <c r="O322" s="228"/>
      <c r="P322" s="228"/>
    </row>
    <row r="323" spans="1:16" x14ac:dyDescent="0.35">
      <c r="A323" s="227"/>
      <c r="B323" s="227"/>
      <c r="C323" s="227"/>
      <c r="D323" s="307"/>
      <c r="E323" s="227"/>
      <c r="F323" s="304"/>
      <c r="G323" s="227"/>
      <c r="H323" s="309"/>
      <c r="I323" s="227"/>
      <c r="J323" s="227"/>
      <c r="K323" s="37"/>
      <c r="L323" s="227"/>
      <c r="M323" s="227"/>
      <c r="N323" s="227"/>
      <c r="O323" s="228"/>
      <c r="P323" s="228"/>
    </row>
    <row r="324" spans="1:16" x14ac:dyDescent="0.35">
      <c r="A324" s="227"/>
      <c r="B324" s="227"/>
      <c r="C324" s="227"/>
      <c r="D324" s="307"/>
      <c r="E324" s="227"/>
      <c r="F324" s="304"/>
      <c r="G324" s="227"/>
      <c r="H324" s="309"/>
      <c r="I324" s="227"/>
      <c r="J324" s="227"/>
      <c r="K324" s="37"/>
      <c r="L324" s="227"/>
      <c r="M324" s="227"/>
      <c r="N324" s="227"/>
      <c r="O324" s="228"/>
      <c r="P324" s="228"/>
    </row>
    <row r="325" spans="1:16" x14ac:dyDescent="0.35">
      <c r="A325" s="227"/>
      <c r="B325" s="227"/>
      <c r="C325" s="227"/>
      <c r="D325" s="307"/>
      <c r="E325" s="227"/>
      <c r="F325" s="304"/>
      <c r="G325" s="227"/>
      <c r="H325" s="309"/>
      <c r="I325" s="227"/>
      <c r="J325" s="227"/>
      <c r="K325" s="37"/>
      <c r="L325" s="227"/>
      <c r="M325" s="227"/>
      <c r="N325" s="227"/>
      <c r="O325" s="228"/>
      <c r="P325" s="228"/>
    </row>
    <row r="326" spans="1:16" x14ac:dyDescent="0.35">
      <c r="A326" s="227"/>
      <c r="B326" s="227"/>
      <c r="C326" s="227"/>
      <c r="D326" s="307"/>
      <c r="E326" s="227"/>
      <c r="F326" s="304"/>
      <c r="G326" s="227"/>
      <c r="H326" s="309"/>
      <c r="I326" s="227"/>
      <c r="J326" s="227"/>
      <c r="K326" s="37"/>
      <c r="L326" s="227"/>
      <c r="M326" s="227"/>
      <c r="N326" s="227"/>
      <c r="O326" s="228"/>
      <c r="P326" s="228"/>
    </row>
    <row r="327" spans="1:16" x14ac:dyDescent="0.35">
      <c r="A327" s="227"/>
      <c r="B327" s="227"/>
      <c r="C327" s="227"/>
      <c r="D327" s="307"/>
      <c r="E327" s="227"/>
      <c r="F327" s="304"/>
      <c r="G327" s="227"/>
      <c r="H327" s="309"/>
      <c r="I327" s="227"/>
      <c r="J327" s="227"/>
      <c r="K327" s="37"/>
      <c r="L327" s="227"/>
      <c r="M327" s="227"/>
      <c r="N327" s="227"/>
      <c r="O327" s="228"/>
      <c r="P327" s="228"/>
    </row>
    <row r="328" spans="1:16" x14ac:dyDescent="0.35">
      <c r="A328" s="227"/>
      <c r="B328" s="227"/>
      <c r="C328" s="227"/>
      <c r="D328" s="307"/>
      <c r="E328" s="227"/>
      <c r="F328" s="304"/>
      <c r="G328" s="227"/>
      <c r="H328" s="309"/>
      <c r="I328" s="227"/>
      <c r="J328" s="227"/>
      <c r="K328" s="37"/>
      <c r="L328" s="227"/>
      <c r="M328" s="227"/>
      <c r="N328" s="227"/>
      <c r="O328" s="228"/>
      <c r="P328" s="228"/>
    </row>
    <row r="329" spans="1:16" x14ac:dyDescent="0.35">
      <c r="A329" s="227"/>
      <c r="B329" s="227"/>
      <c r="C329" s="227"/>
      <c r="D329" s="307"/>
      <c r="E329" s="227"/>
      <c r="F329" s="304"/>
      <c r="G329" s="227"/>
      <c r="H329" s="309"/>
      <c r="I329" s="227"/>
      <c r="J329" s="227"/>
      <c r="K329" s="37"/>
      <c r="L329" s="227"/>
      <c r="M329" s="227"/>
      <c r="N329" s="227"/>
      <c r="O329" s="228"/>
      <c r="P329" s="228"/>
    </row>
    <row r="330" spans="1:16" x14ac:dyDescent="0.35">
      <c r="A330" s="227"/>
      <c r="B330" s="227"/>
      <c r="C330" s="227"/>
      <c r="D330" s="307"/>
      <c r="E330" s="227"/>
      <c r="F330" s="304"/>
      <c r="G330" s="227"/>
      <c r="H330" s="309"/>
      <c r="I330" s="227"/>
      <c r="J330" s="227"/>
      <c r="K330" s="37"/>
      <c r="L330" s="227"/>
      <c r="M330" s="227"/>
      <c r="N330" s="227"/>
      <c r="O330" s="228"/>
      <c r="P330" s="228"/>
    </row>
    <row r="331" spans="1:16" x14ac:dyDescent="0.35">
      <c r="A331" s="227"/>
      <c r="B331" s="227"/>
      <c r="C331" s="227"/>
      <c r="D331" s="307"/>
      <c r="E331" s="227"/>
      <c r="F331" s="304"/>
      <c r="G331" s="227"/>
      <c r="H331" s="309"/>
      <c r="I331" s="227"/>
      <c r="J331" s="227"/>
      <c r="K331" s="37"/>
      <c r="L331" s="227"/>
      <c r="M331" s="227"/>
      <c r="N331" s="227"/>
      <c r="O331" s="228"/>
      <c r="P331" s="228"/>
    </row>
    <row r="332" spans="1:16" x14ac:dyDescent="0.35">
      <c r="A332" s="227"/>
      <c r="B332" s="227"/>
      <c r="C332" s="227"/>
      <c r="D332" s="307"/>
      <c r="E332" s="227"/>
      <c r="F332" s="304"/>
      <c r="G332" s="227"/>
      <c r="H332" s="309"/>
      <c r="I332" s="227"/>
      <c r="J332" s="227"/>
      <c r="K332" s="37"/>
      <c r="L332" s="227"/>
      <c r="M332" s="227"/>
      <c r="N332" s="227"/>
      <c r="O332" s="228"/>
      <c r="P332" s="228"/>
    </row>
    <row r="333" spans="1:16" x14ac:dyDescent="0.35">
      <c r="A333" s="227"/>
      <c r="B333" s="227"/>
      <c r="C333" s="227"/>
      <c r="D333" s="307"/>
      <c r="E333" s="227"/>
      <c r="F333" s="304"/>
      <c r="G333" s="227"/>
      <c r="H333" s="309"/>
      <c r="I333" s="227"/>
      <c r="J333" s="227"/>
      <c r="K333" s="37"/>
      <c r="L333" s="227"/>
      <c r="M333" s="227"/>
      <c r="N333" s="227"/>
      <c r="O333" s="228"/>
      <c r="P333" s="228"/>
    </row>
    <row r="334" spans="1:16" x14ac:dyDescent="0.35">
      <c r="A334" s="227"/>
      <c r="B334" s="227"/>
      <c r="C334" s="227"/>
      <c r="D334" s="307"/>
      <c r="E334" s="227"/>
      <c r="F334" s="304"/>
      <c r="G334" s="227"/>
      <c r="H334" s="309"/>
      <c r="I334" s="227"/>
      <c r="J334" s="227"/>
      <c r="K334" s="37"/>
      <c r="L334" s="227"/>
      <c r="M334" s="227"/>
      <c r="N334" s="227"/>
      <c r="O334" s="228"/>
      <c r="P334" s="228"/>
    </row>
    <row r="335" spans="1:16" x14ac:dyDescent="0.35">
      <c r="A335" s="227"/>
      <c r="B335" s="227"/>
      <c r="C335" s="227"/>
      <c r="D335" s="307"/>
      <c r="E335" s="227"/>
      <c r="F335" s="304"/>
      <c r="G335" s="227"/>
      <c r="H335" s="309"/>
      <c r="I335" s="227"/>
      <c r="J335" s="227"/>
      <c r="K335" s="37"/>
      <c r="L335" s="227"/>
      <c r="M335" s="227"/>
      <c r="N335" s="227"/>
      <c r="O335" s="228"/>
      <c r="P335" s="228"/>
    </row>
    <row r="336" spans="1:16" x14ac:dyDescent="0.35">
      <c r="A336" s="227"/>
      <c r="B336" s="227"/>
      <c r="C336" s="227"/>
      <c r="D336" s="307"/>
      <c r="E336" s="227"/>
      <c r="F336" s="304"/>
      <c r="G336" s="227"/>
      <c r="H336" s="309"/>
      <c r="I336" s="227"/>
      <c r="J336" s="227"/>
      <c r="K336" s="37"/>
      <c r="L336" s="227"/>
      <c r="M336" s="227"/>
      <c r="N336" s="227"/>
      <c r="O336" s="228"/>
      <c r="P336" s="228"/>
    </row>
    <row r="337" spans="1:16" x14ac:dyDescent="0.35">
      <c r="A337" s="227"/>
      <c r="B337" s="227"/>
      <c r="C337" s="227"/>
      <c r="D337" s="307"/>
      <c r="E337" s="227"/>
      <c r="F337" s="304"/>
      <c r="G337" s="227"/>
      <c r="H337" s="309"/>
      <c r="I337" s="227"/>
      <c r="J337" s="227"/>
      <c r="K337" s="37"/>
      <c r="L337" s="227"/>
      <c r="M337" s="227"/>
      <c r="N337" s="227"/>
      <c r="O337" s="228"/>
      <c r="P337" s="228"/>
    </row>
    <row r="338" spans="1:16" x14ac:dyDescent="0.35">
      <c r="A338" s="227"/>
      <c r="B338" s="227"/>
      <c r="C338" s="227"/>
      <c r="D338" s="307"/>
      <c r="E338" s="227"/>
      <c r="F338" s="304"/>
      <c r="G338" s="227"/>
      <c r="H338" s="309"/>
      <c r="I338" s="227"/>
      <c r="J338" s="227"/>
      <c r="K338" s="37"/>
      <c r="L338" s="227"/>
      <c r="M338" s="227"/>
      <c r="N338" s="227"/>
      <c r="O338" s="228"/>
      <c r="P338" s="228"/>
    </row>
    <row r="339" spans="1:16" x14ac:dyDescent="0.35">
      <c r="A339" s="227"/>
      <c r="B339" s="227"/>
      <c r="C339" s="227"/>
      <c r="D339" s="307"/>
      <c r="E339" s="227"/>
      <c r="F339" s="304"/>
      <c r="G339" s="227"/>
      <c r="H339" s="309"/>
      <c r="I339" s="227"/>
      <c r="J339" s="227"/>
      <c r="K339" s="37"/>
      <c r="L339" s="227"/>
      <c r="M339" s="227"/>
      <c r="N339" s="227"/>
      <c r="O339" s="228"/>
      <c r="P339" s="228"/>
    </row>
    <row r="340" spans="1:16" x14ac:dyDescent="0.35">
      <c r="A340" s="227"/>
      <c r="B340" s="227"/>
      <c r="C340" s="227"/>
      <c r="D340" s="307"/>
      <c r="E340" s="227"/>
      <c r="F340" s="304"/>
      <c r="G340" s="227"/>
      <c r="H340" s="309"/>
      <c r="I340" s="227"/>
      <c r="J340" s="227"/>
      <c r="K340" s="37"/>
      <c r="L340" s="227"/>
      <c r="M340" s="227"/>
      <c r="N340" s="227"/>
      <c r="O340" s="228"/>
      <c r="P340" s="228"/>
    </row>
    <row r="341" spans="1:16" x14ac:dyDescent="0.35">
      <c r="A341" s="227"/>
      <c r="B341" s="227"/>
      <c r="C341" s="227"/>
      <c r="D341" s="307"/>
      <c r="E341" s="227"/>
      <c r="F341" s="304"/>
      <c r="G341" s="227"/>
      <c r="H341" s="309"/>
      <c r="I341" s="227"/>
      <c r="J341" s="227"/>
      <c r="K341" s="37"/>
      <c r="L341" s="227"/>
      <c r="M341" s="227"/>
      <c r="N341" s="227"/>
      <c r="O341" s="228"/>
      <c r="P341" s="228"/>
    </row>
    <row r="342" spans="1:16" x14ac:dyDescent="0.35">
      <c r="A342" s="227"/>
      <c r="B342" s="227"/>
      <c r="C342" s="227"/>
      <c r="D342" s="307"/>
      <c r="E342" s="227"/>
      <c r="F342" s="304"/>
      <c r="G342" s="227"/>
      <c r="H342" s="309"/>
      <c r="I342" s="227"/>
      <c r="J342" s="227"/>
      <c r="K342" s="37"/>
      <c r="L342" s="227"/>
      <c r="M342" s="227"/>
      <c r="N342" s="227"/>
      <c r="O342" s="228"/>
      <c r="P342" s="228"/>
    </row>
    <row r="343" spans="1:16" x14ac:dyDescent="0.35">
      <c r="A343" s="227"/>
      <c r="B343" s="227"/>
      <c r="C343" s="227"/>
      <c r="D343" s="307"/>
      <c r="E343" s="227"/>
      <c r="F343" s="304"/>
      <c r="G343" s="227"/>
      <c r="H343" s="309"/>
      <c r="I343" s="227"/>
      <c r="J343" s="227"/>
      <c r="K343" s="37"/>
      <c r="L343" s="227"/>
      <c r="M343" s="227"/>
      <c r="N343" s="227"/>
      <c r="O343" s="228"/>
      <c r="P343" s="228"/>
    </row>
    <row r="344" spans="1:16" x14ac:dyDescent="0.35">
      <c r="A344" s="227"/>
      <c r="B344" s="227"/>
      <c r="C344" s="227"/>
      <c r="D344" s="307"/>
      <c r="E344" s="227"/>
      <c r="F344" s="304"/>
      <c r="G344" s="227"/>
      <c r="H344" s="309"/>
      <c r="I344" s="227"/>
      <c r="J344" s="227"/>
      <c r="K344" s="37"/>
      <c r="L344" s="227"/>
      <c r="M344" s="227"/>
      <c r="N344" s="227"/>
      <c r="O344" s="228"/>
      <c r="P344" s="228"/>
    </row>
    <row r="345" spans="1:16" x14ac:dyDescent="0.35">
      <c r="A345" s="227"/>
      <c r="B345" s="227"/>
      <c r="C345" s="227"/>
      <c r="D345" s="307"/>
      <c r="E345" s="227"/>
      <c r="F345" s="304"/>
      <c r="G345" s="227"/>
      <c r="H345" s="309"/>
      <c r="I345" s="227"/>
      <c r="J345" s="227"/>
      <c r="K345" s="37"/>
      <c r="L345" s="227"/>
      <c r="M345" s="227"/>
      <c r="N345" s="227"/>
      <c r="O345" s="228"/>
      <c r="P345" s="228"/>
    </row>
    <row r="346" spans="1:16" x14ac:dyDescent="0.35">
      <c r="A346" s="227"/>
      <c r="B346" s="227"/>
      <c r="C346" s="227"/>
      <c r="D346" s="307"/>
      <c r="E346" s="227"/>
      <c r="F346" s="304"/>
      <c r="G346" s="227"/>
      <c r="H346" s="309"/>
      <c r="I346" s="227"/>
      <c r="J346" s="227"/>
      <c r="K346" s="37"/>
      <c r="L346" s="227"/>
      <c r="M346" s="227"/>
      <c r="N346" s="227"/>
      <c r="O346" s="228"/>
      <c r="P346" s="228"/>
    </row>
    <row r="347" spans="1:16" x14ac:dyDescent="0.35">
      <c r="A347" s="227"/>
      <c r="B347" s="227"/>
      <c r="C347" s="227"/>
      <c r="D347" s="307"/>
      <c r="E347" s="227"/>
      <c r="F347" s="304"/>
      <c r="G347" s="227"/>
      <c r="H347" s="309"/>
      <c r="I347" s="227"/>
      <c r="J347" s="227"/>
      <c r="K347" s="37"/>
      <c r="L347" s="227"/>
      <c r="M347" s="227"/>
      <c r="N347" s="227"/>
      <c r="O347" s="228"/>
      <c r="P347" s="228"/>
    </row>
    <row r="348" spans="1:16" x14ac:dyDescent="0.35">
      <c r="A348" s="227"/>
      <c r="B348" s="227"/>
      <c r="C348" s="227"/>
      <c r="D348" s="307"/>
      <c r="E348" s="227"/>
      <c r="F348" s="304"/>
      <c r="G348" s="227"/>
      <c r="H348" s="309"/>
      <c r="I348" s="227"/>
      <c r="J348" s="227"/>
      <c r="K348" s="37"/>
      <c r="L348" s="227"/>
      <c r="M348" s="227"/>
      <c r="N348" s="227"/>
      <c r="O348" s="228"/>
      <c r="P348" s="228"/>
    </row>
    <row r="349" spans="1:16" x14ac:dyDescent="0.35">
      <c r="A349" s="227"/>
      <c r="B349" s="227"/>
      <c r="C349" s="227"/>
      <c r="D349" s="307"/>
      <c r="E349" s="227"/>
      <c r="F349" s="304"/>
      <c r="G349" s="227"/>
      <c r="H349" s="309"/>
      <c r="I349" s="227"/>
      <c r="J349" s="227"/>
      <c r="K349" s="37"/>
      <c r="L349" s="227"/>
      <c r="M349" s="227"/>
      <c r="N349" s="227"/>
      <c r="O349" s="228"/>
      <c r="P349" s="228"/>
    </row>
    <row r="350" spans="1:16" x14ac:dyDescent="0.35">
      <c r="A350" s="227"/>
      <c r="B350" s="227"/>
      <c r="C350" s="227"/>
      <c r="D350" s="307"/>
      <c r="E350" s="227"/>
      <c r="F350" s="304"/>
      <c r="G350" s="227"/>
      <c r="H350" s="309"/>
      <c r="I350" s="227"/>
      <c r="J350" s="227"/>
      <c r="K350" s="37"/>
      <c r="L350" s="227"/>
      <c r="M350" s="227"/>
      <c r="N350" s="227"/>
      <c r="O350" s="228"/>
      <c r="P350" s="228"/>
    </row>
    <row r="351" spans="1:16" x14ac:dyDescent="0.35">
      <c r="A351" s="227"/>
      <c r="B351" s="227"/>
      <c r="C351" s="227"/>
      <c r="D351" s="307"/>
      <c r="E351" s="227"/>
      <c r="F351" s="304"/>
      <c r="G351" s="227"/>
      <c r="H351" s="309"/>
      <c r="I351" s="227"/>
      <c r="J351" s="227"/>
      <c r="K351" s="37"/>
      <c r="L351" s="227"/>
      <c r="M351" s="227"/>
      <c r="N351" s="227"/>
      <c r="O351" s="228"/>
      <c r="P351" s="228"/>
    </row>
    <row r="352" spans="1:16" x14ac:dyDescent="0.35">
      <c r="A352" s="227"/>
      <c r="B352" s="227"/>
      <c r="C352" s="227"/>
      <c r="D352" s="307"/>
      <c r="E352" s="227"/>
      <c r="F352" s="304"/>
      <c r="G352" s="227"/>
      <c r="H352" s="309"/>
      <c r="I352" s="227"/>
      <c r="J352" s="227"/>
      <c r="K352" s="37"/>
      <c r="L352" s="227"/>
      <c r="M352" s="227"/>
      <c r="N352" s="227"/>
      <c r="O352" s="228"/>
      <c r="P352" s="228"/>
    </row>
    <row r="353" spans="1:16" x14ac:dyDescent="0.35">
      <c r="A353" s="227"/>
      <c r="B353" s="227"/>
      <c r="C353" s="227"/>
      <c r="D353" s="307"/>
      <c r="E353" s="227"/>
      <c r="F353" s="304"/>
      <c r="G353" s="227"/>
      <c r="H353" s="309"/>
      <c r="I353" s="227"/>
      <c r="J353" s="227"/>
      <c r="K353" s="37"/>
      <c r="L353" s="227"/>
      <c r="M353" s="227"/>
      <c r="N353" s="227"/>
      <c r="O353" s="228"/>
      <c r="P353" s="228"/>
    </row>
    <row r="354" spans="1:16" x14ac:dyDescent="0.35">
      <c r="A354" s="227"/>
      <c r="B354" s="227"/>
      <c r="C354" s="227"/>
      <c r="D354" s="307"/>
      <c r="E354" s="227"/>
      <c r="F354" s="304"/>
      <c r="G354" s="227"/>
      <c r="H354" s="309"/>
      <c r="I354" s="227"/>
      <c r="J354" s="227"/>
      <c r="K354" s="37"/>
      <c r="L354" s="227"/>
      <c r="M354" s="227"/>
      <c r="N354" s="227"/>
      <c r="O354" s="228"/>
      <c r="P354" s="228"/>
    </row>
    <row r="355" spans="1:16" x14ac:dyDescent="0.35">
      <c r="A355" s="227"/>
      <c r="B355" s="227"/>
      <c r="C355" s="227"/>
      <c r="D355" s="307"/>
      <c r="E355" s="227"/>
      <c r="F355" s="304"/>
      <c r="G355" s="227"/>
      <c r="H355" s="309"/>
      <c r="I355" s="227"/>
      <c r="J355" s="227"/>
      <c r="K355" s="37"/>
      <c r="L355" s="227"/>
      <c r="M355" s="227"/>
      <c r="N355" s="227"/>
      <c r="O355" s="228"/>
      <c r="P355" s="228"/>
    </row>
    <row r="356" spans="1:16" x14ac:dyDescent="0.35">
      <c r="A356" s="227"/>
      <c r="B356" s="227"/>
      <c r="C356" s="227"/>
      <c r="D356" s="307"/>
      <c r="E356" s="227"/>
      <c r="F356" s="304"/>
      <c r="G356" s="227"/>
      <c r="H356" s="309"/>
      <c r="I356" s="227"/>
      <c r="J356" s="227"/>
      <c r="K356" s="37"/>
      <c r="L356" s="227"/>
      <c r="M356" s="227"/>
      <c r="N356" s="227"/>
      <c r="O356" s="228"/>
      <c r="P356" s="228"/>
    </row>
    <row r="357" spans="1:16" x14ac:dyDescent="0.35">
      <c r="A357" s="227"/>
      <c r="B357" s="227"/>
      <c r="C357" s="227"/>
      <c r="D357" s="307"/>
      <c r="E357" s="227"/>
      <c r="F357" s="304"/>
      <c r="G357" s="227"/>
      <c r="H357" s="309"/>
      <c r="I357" s="227"/>
      <c r="J357" s="227"/>
      <c r="K357" s="37"/>
      <c r="L357" s="227"/>
      <c r="M357" s="227"/>
      <c r="N357" s="227"/>
      <c r="O357" s="228"/>
      <c r="P357" s="228"/>
    </row>
    <row r="358" spans="1:16" x14ac:dyDescent="0.35">
      <c r="A358" s="227"/>
      <c r="B358" s="227"/>
      <c r="C358" s="227"/>
      <c r="D358" s="307"/>
      <c r="E358" s="227"/>
      <c r="F358" s="304"/>
      <c r="G358" s="227"/>
      <c r="H358" s="309"/>
      <c r="I358" s="227"/>
      <c r="J358" s="227"/>
      <c r="K358" s="37"/>
      <c r="L358" s="227"/>
      <c r="M358" s="227"/>
      <c r="N358" s="227"/>
      <c r="O358" s="228"/>
      <c r="P358" s="228"/>
    </row>
    <row r="359" spans="1:16" x14ac:dyDescent="0.35">
      <c r="A359" s="227"/>
      <c r="B359" s="227"/>
      <c r="C359" s="227"/>
      <c r="D359" s="307"/>
      <c r="E359" s="227"/>
      <c r="F359" s="304"/>
      <c r="G359" s="227"/>
      <c r="H359" s="309"/>
      <c r="I359" s="227"/>
      <c r="J359" s="227"/>
      <c r="K359" s="37"/>
      <c r="L359" s="227"/>
      <c r="M359" s="227"/>
      <c r="N359" s="227"/>
      <c r="O359" s="228"/>
      <c r="P359" s="228"/>
    </row>
    <row r="360" spans="1:16" x14ac:dyDescent="0.35">
      <c r="A360" s="227"/>
      <c r="B360" s="227"/>
      <c r="C360" s="227"/>
      <c r="D360" s="307"/>
      <c r="E360" s="227"/>
      <c r="F360" s="304"/>
      <c r="G360" s="227"/>
      <c r="H360" s="309"/>
      <c r="I360" s="227"/>
      <c r="J360" s="227"/>
      <c r="K360" s="37"/>
      <c r="L360" s="227"/>
      <c r="M360" s="227"/>
      <c r="N360" s="227"/>
      <c r="O360" s="228"/>
      <c r="P360" s="228"/>
    </row>
    <row r="361" spans="1:16" x14ac:dyDescent="0.35">
      <c r="A361" s="227"/>
      <c r="B361" s="227"/>
      <c r="C361" s="227"/>
      <c r="D361" s="307"/>
      <c r="E361" s="227"/>
      <c r="F361" s="304"/>
      <c r="G361" s="227"/>
      <c r="H361" s="309"/>
      <c r="I361" s="227"/>
      <c r="J361" s="227"/>
      <c r="K361" s="37"/>
      <c r="L361" s="227"/>
      <c r="M361" s="227"/>
      <c r="N361" s="227"/>
      <c r="O361" s="228"/>
      <c r="P361" s="228"/>
    </row>
    <row r="362" spans="1:16" x14ac:dyDescent="0.35">
      <c r="A362" s="227"/>
      <c r="B362" s="227"/>
      <c r="C362" s="227"/>
      <c r="D362" s="307"/>
      <c r="E362" s="227"/>
      <c r="F362" s="304"/>
      <c r="G362" s="227"/>
      <c r="H362" s="309"/>
      <c r="I362" s="227"/>
      <c r="J362" s="227"/>
      <c r="K362" s="37"/>
      <c r="L362" s="227"/>
      <c r="M362" s="227"/>
      <c r="N362" s="227"/>
      <c r="O362" s="228"/>
      <c r="P362" s="228"/>
    </row>
    <row r="363" spans="1:16" x14ac:dyDescent="0.35">
      <c r="A363" s="227"/>
      <c r="B363" s="227"/>
      <c r="C363" s="227"/>
      <c r="D363" s="307"/>
      <c r="E363" s="227"/>
      <c r="F363" s="304"/>
      <c r="G363" s="227"/>
      <c r="H363" s="309"/>
      <c r="I363" s="227"/>
      <c r="J363" s="227"/>
      <c r="K363" s="37"/>
      <c r="L363" s="227"/>
      <c r="M363" s="227"/>
      <c r="N363" s="227"/>
      <c r="O363" s="228"/>
      <c r="P363" s="228"/>
    </row>
    <row r="364" spans="1:16" x14ac:dyDescent="0.35">
      <c r="A364" s="227"/>
      <c r="B364" s="227"/>
      <c r="C364" s="227"/>
      <c r="D364" s="307"/>
      <c r="E364" s="227"/>
      <c r="F364" s="304"/>
      <c r="G364" s="227"/>
      <c r="H364" s="309"/>
      <c r="I364" s="227"/>
      <c r="J364" s="227"/>
      <c r="K364" s="37"/>
      <c r="L364" s="227"/>
      <c r="M364" s="227"/>
      <c r="N364" s="227"/>
      <c r="O364" s="228"/>
      <c r="P364" s="228"/>
    </row>
    <row r="365" spans="1:16" x14ac:dyDescent="0.35">
      <c r="A365" s="227"/>
      <c r="B365" s="227"/>
      <c r="C365" s="227"/>
      <c r="D365" s="307"/>
      <c r="E365" s="227"/>
      <c r="F365" s="304"/>
      <c r="G365" s="227"/>
      <c r="H365" s="309"/>
      <c r="I365" s="227"/>
      <c r="J365" s="227"/>
      <c r="K365" s="37"/>
      <c r="L365" s="227"/>
      <c r="M365" s="227"/>
      <c r="N365" s="227"/>
      <c r="O365" s="228"/>
      <c r="P365" s="228"/>
    </row>
    <row r="366" spans="1:16" x14ac:dyDescent="0.35">
      <c r="A366" s="227"/>
      <c r="B366" s="227"/>
      <c r="C366" s="227"/>
      <c r="D366" s="307"/>
      <c r="E366" s="227"/>
      <c r="F366" s="304"/>
      <c r="G366" s="227"/>
      <c r="H366" s="309"/>
      <c r="I366" s="227"/>
      <c r="J366" s="227"/>
      <c r="K366" s="37"/>
      <c r="L366" s="227"/>
      <c r="M366" s="227"/>
      <c r="N366" s="227"/>
      <c r="O366" s="228"/>
      <c r="P366" s="228"/>
    </row>
    <row r="367" spans="1:16" x14ac:dyDescent="0.35">
      <c r="A367" s="227"/>
      <c r="B367" s="227"/>
      <c r="C367" s="227"/>
      <c r="D367" s="307"/>
      <c r="E367" s="227"/>
      <c r="F367" s="304"/>
      <c r="G367" s="227"/>
      <c r="H367" s="309"/>
      <c r="I367" s="227"/>
      <c r="J367" s="227"/>
      <c r="K367" s="37"/>
      <c r="L367" s="227"/>
      <c r="M367" s="227"/>
      <c r="N367" s="227"/>
      <c r="O367" s="228"/>
      <c r="P367" s="228"/>
    </row>
    <row r="368" spans="1:16" x14ac:dyDescent="0.35">
      <c r="A368" s="227"/>
      <c r="B368" s="227"/>
      <c r="C368" s="227"/>
      <c r="D368" s="307"/>
      <c r="E368" s="227"/>
      <c r="F368" s="304"/>
      <c r="G368" s="227"/>
      <c r="H368" s="309"/>
      <c r="I368" s="227"/>
      <c r="J368" s="227"/>
      <c r="K368" s="37"/>
      <c r="L368" s="227"/>
      <c r="M368" s="227"/>
      <c r="N368" s="227"/>
      <c r="O368" s="228"/>
      <c r="P368" s="228"/>
    </row>
    <row r="369" spans="1:16" x14ac:dyDescent="0.35">
      <c r="A369" s="227"/>
      <c r="B369" s="227"/>
      <c r="C369" s="227"/>
      <c r="D369" s="307"/>
      <c r="E369" s="227"/>
      <c r="F369" s="304"/>
      <c r="G369" s="227"/>
      <c r="H369" s="309"/>
      <c r="I369" s="227"/>
      <c r="J369" s="227"/>
      <c r="K369" s="37"/>
      <c r="L369" s="227"/>
      <c r="M369" s="227"/>
      <c r="N369" s="227"/>
      <c r="O369" s="228"/>
      <c r="P369" s="228"/>
    </row>
    <row r="370" spans="1:16" x14ac:dyDescent="0.35">
      <c r="A370" s="227"/>
      <c r="B370" s="227"/>
      <c r="C370" s="227"/>
      <c r="D370" s="307"/>
      <c r="E370" s="227"/>
      <c r="F370" s="304"/>
      <c r="G370" s="227"/>
      <c r="H370" s="309"/>
      <c r="I370" s="227"/>
      <c r="J370" s="227"/>
      <c r="K370" s="37"/>
      <c r="L370" s="227"/>
      <c r="M370" s="227"/>
      <c r="N370" s="227"/>
      <c r="O370" s="228"/>
      <c r="P370" s="228"/>
    </row>
    <row r="371" spans="1:16" x14ac:dyDescent="0.35">
      <c r="A371" s="227"/>
      <c r="B371" s="227"/>
      <c r="C371" s="227"/>
      <c r="D371" s="307"/>
      <c r="E371" s="227"/>
      <c r="F371" s="304"/>
      <c r="G371" s="227"/>
      <c r="H371" s="309"/>
      <c r="I371" s="227"/>
      <c r="J371" s="227"/>
      <c r="K371" s="37"/>
      <c r="L371" s="227"/>
      <c r="M371" s="227"/>
      <c r="N371" s="227"/>
      <c r="O371" s="228"/>
      <c r="P371" s="228"/>
    </row>
    <row r="372" spans="1:16" x14ac:dyDescent="0.35">
      <c r="A372" s="227"/>
      <c r="B372" s="227"/>
      <c r="C372" s="227"/>
      <c r="D372" s="307"/>
      <c r="E372" s="227"/>
      <c r="F372" s="304"/>
      <c r="G372" s="227"/>
      <c r="H372" s="309"/>
      <c r="I372" s="227"/>
      <c r="J372" s="227"/>
      <c r="K372" s="37"/>
      <c r="L372" s="227"/>
      <c r="M372" s="227"/>
      <c r="N372" s="227"/>
      <c r="O372" s="228"/>
      <c r="P372" s="228"/>
    </row>
    <row r="373" spans="1:16" x14ac:dyDescent="0.35">
      <c r="A373" s="227"/>
      <c r="B373" s="227"/>
      <c r="C373" s="227"/>
      <c r="D373" s="307"/>
      <c r="E373" s="227"/>
      <c r="F373" s="304"/>
      <c r="G373" s="227"/>
      <c r="H373" s="309"/>
      <c r="I373" s="227"/>
      <c r="J373" s="227"/>
      <c r="K373" s="37"/>
      <c r="L373" s="227"/>
      <c r="M373" s="227"/>
      <c r="N373" s="227"/>
      <c r="O373" s="228"/>
      <c r="P373" s="228"/>
    </row>
    <row r="374" spans="1:16" x14ac:dyDescent="0.35">
      <c r="A374" s="227"/>
      <c r="B374" s="227"/>
      <c r="C374" s="227"/>
      <c r="D374" s="307"/>
      <c r="E374" s="227"/>
      <c r="F374" s="304"/>
      <c r="G374" s="227"/>
      <c r="H374" s="309"/>
      <c r="I374" s="227"/>
      <c r="J374" s="227"/>
      <c r="K374" s="37"/>
      <c r="L374" s="227"/>
      <c r="M374" s="227"/>
      <c r="N374" s="227"/>
      <c r="O374" s="228"/>
      <c r="P374" s="228"/>
    </row>
    <row r="375" spans="1:16" x14ac:dyDescent="0.35">
      <c r="A375" s="227"/>
      <c r="B375" s="227"/>
      <c r="C375" s="227"/>
      <c r="D375" s="307"/>
      <c r="E375" s="227"/>
      <c r="F375" s="304"/>
      <c r="G375" s="227"/>
      <c r="H375" s="309"/>
      <c r="I375" s="227"/>
      <c r="J375" s="227"/>
      <c r="K375" s="37"/>
      <c r="L375" s="227"/>
      <c r="M375" s="227"/>
      <c r="N375" s="227"/>
      <c r="O375" s="228"/>
      <c r="P375" s="228"/>
    </row>
    <row r="376" spans="1:16" x14ac:dyDescent="0.35">
      <c r="A376" s="227"/>
      <c r="B376" s="227"/>
      <c r="C376" s="227"/>
      <c r="D376" s="307"/>
      <c r="E376" s="227"/>
      <c r="F376" s="304"/>
      <c r="G376" s="227"/>
      <c r="H376" s="309"/>
      <c r="I376" s="227"/>
      <c r="J376" s="227"/>
      <c r="K376" s="37"/>
      <c r="L376" s="227"/>
      <c r="M376" s="227"/>
      <c r="N376" s="227"/>
      <c r="O376" s="228"/>
      <c r="P376" s="228"/>
    </row>
    <row r="377" spans="1:16" x14ac:dyDescent="0.35">
      <c r="A377" s="227"/>
      <c r="B377" s="227"/>
      <c r="C377" s="227"/>
      <c r="D377" s="307"/>
      <c r="E377" s="227"/>
      <c r="F377" s="304"/>
      <c r="G377" s="227"/>
      <c r="H377" s="309"/>
      <c r="I377" s="227"/>
      <c r="J377" s="227"/>
      <c r="K377" s="37"/>
      <c r="L377" s="227"/>
      <c r="M377" s="227"/>
      <c r="N377" s="227"/>
      <c r="O377" s="228"/>
      <c r="P377" s="228"/>
    </row>
    <row r="378" spans="1:16" x14ac:dyDescent="0.35">
      <c r="A378" s="227"/>
      <c r="B378" s="227"/>
      <c r="C378" s="227"/>
      <c r="D378" s="307"/>
      <c r="E378" s="227"/>
      <c r="F378" s="304"/>
      <c r="G378" s="227"/>
      <c r="H378" s="309"/>
      <c r="I378" s="227"/>
      <c r="J378" s="227"/>
      <c r="K378" s="37"/>
      <c r="L378" s="227"/>
      <c r="M378" s="227"/>
      <c r="N378" s="227"/>
      <c r="O378" s="228"/>
      <c r="P378" s="228"/>
    </row>
    <row r="379" spans="1:16" x14ac:dyDescent="0.35">
      <c r="A379" s="227"/>
      <c r="B379" s="227"/>
      <c r="C379" s="227"/>
      <c r="D379" s="307"/>
      <c r="E379" s="227"/>
      <c r="F379" s="304"/>
      <c r="G379" s="227"/>
      <c r="H379" s="309"/>
      <c r="I379" s="227"/>
      <c r="J379" s="227"/>
      <c r="K379" s="37"/>
      <c r="L379" s="227"/>
      <c r="M379" s="227"/>
      <c r="N379" s="227"/>
      <c r="O379" s="228"/>
      <c r="P379" s="228"/>
    </row>
    <row r="380" spans="1:16" x14ac:dyDescent="0.35">
      <c r="A380" s="227"/>
      <c r="B380" s="227"/>
      <c r="C380" s="227"/>
      <c r="D380" s="307"/>
      <c r="E380" s="227"/>
      <c r="F380" s="304"/>
      <c r="G380" s="227"/>
      <c r="H380" s="309"/>
      <c r="I380" s="227"/>
      <c r="J380" s="227"/>
      <c r="K380" s="37"/>
      <c r="L380" s="227"/>
      <c r="M380" s="227"/>
      <c r="N380" s="227"/>
      <c r="O380" s="228"/>
      <c r="P380" s="228"/>
    </row>
    <row r="381" spans="1:16" x14ac:dyDescent="0.35">
      <c r="A381" s="227"/>
      <c r="B381" s="227"/>
      <c r="C381" s="227"/>
      <c r="D381" s="307"/>
      <c r="E381" s="227"/>
      <c r="F381" s="304"/>
      <c r="G381" s="227"/>
      <c r="H381" s="309"/>
      <c r="I381" s="227"/>
      <c r="J381" s="227"/>
      <c r="K381" s="37"/>
      <c r="L381" s="227"/>
      <c r="M381" s="227"/>
      <c r="N381" s="227"/>
      <c r="O381" s="228"/>
      <c r="P381" s="228"/>
    </row>
    <row r="382" spans="1:16" x14ac:dyDescent="0.35">
      <c r="A382" s="227"/>
      <c r="B382" s="227"/>
      <c r="C382" s="227"/>
      <c r="D382" s="307"/>
      <c r="E382" s="227"/>
      <c r="F382" s="304"/>
      <c r="G382" s="227"/>
      <c r="H382" s="309"/>
      <c r="I382" s="227"/>
      <c r="J382" s="227"/>
      <c r="K382" s="37"/>
      <c r="L382" s="227"/>
      <c r="M382" s="227"/>
      <c r="N382" s="227"/>
      <c r="O382" s="228"/>
      <c r="P382" s="228"/>
    </row>
    <row r="383" spans="1:16" x14ac:dyDescent="0.35">
      <c r="A383" s="227"/>
      <c r="B383" s="227"/>
      <c r="C383" s="227"/>
      <c r="D383" s="307"/>
      <c r="E383" s="227"/>
      <c r="F383" s="304"/>
      <c r="G383" s="227"/>
      <c r="H383" s="309"/>
      <c r="I383" s="227"/>
      <c r="J383" s="227"/>
      <c r="K383" s="37"/>
      <c r="L383" s="227"/>
      <c r="M383" s="227"/>
      <c r="N383" s="227"/>
      <c r="O383" s="228"/>
      <c r="P383" s="228"/>
    </row>
    <row r="384" spans="1:16" x14ac:dyDescent="0.35">
      <c r="A384" s="227"/>
      <c r="B384" s="227"/>
      <c r="C384" s="227"/>
      <c r="D384" s="307"/>
      <c r="E384" s="227"/>
      <c r="F384" s="304"/>
      <c r="G384" s="227"/>
      <c r="H384" s="309"/>
      <c r="I384" s="227"/>
      <c r="J384" s="227"/>
      <c r="K384" s="37"/>
      <c r="L384" s="227"/>
      <c r="M384" s="227"/>
      <c r="N384" s="227"/>
      <c r="O384" s="228"/>
      <c r="P384" s="228"/>
    </row>
    <row r="385" spans="1:16" x14ac:dyDescent="0.35">
      <c r="A385" s="227"/>
      <c r="B385" s="227"/>
      <c r="C385" s="227"/>
      <c r="D385" s="307"/>
      <c r="E385" s="227"/>
      <c r="F385" s="304"/>
      <c r="G385" s="227"/>
      <c r="H385" s="309"/>
      <c r="I385" s="227"/>
      <c r="J385" s="227"/>
      <c r="K385" s="37"/>
      <c r="L385" s="227"/>
      <c r="M385" s="227"/>
      <c r="N385" s="227"/>
      <c r="O385" s="228"/>
      <c r="P385" s="228"/>
    </row>
    <row r="386" spans="1:16" x14ac:dyDescent="0.35">
      <c r="A386" s="227"/>
      <c r="B386" s="227"/>
      <c r="C386" s="227"/>
      <c r="D386" s="307"/>
      <c r="E386" s="227"/>
      <c r="F386" s="304"/>
      <c r="G386" s="227"/>
      <c r="H386" s="309"/>
      <c r="I386" s="227"/>
      <c r="J386" s="227"/>
      <c r="K386" s="37"/>
      <c r="L386" s="227"/>
      <c r="M386" s="227"/>
      <c r="N386" s="227"/>
      <c r="O386" s="228"/>
      <c r="P386" s="228"/>
    </row>
    <row r="387" spans="1:16" x14ac:dyDescent="0.35">
      <c r="A387" s="227"/>
      <c r="B387" s="227"/>
      <c r="C387" s="227"/>
      <c r="D387" s="307"/>
      <c r="E387" s="227"/>
      <c r="F387" s="304"/>
      <c r="G387" s="227"/>
      <c r="H387" s="309"/>
      <c r="I387" s="227"/>
      <c r="J387" s="227"/>
      <c r="K387" s="37"/>
      <c r="L387" s="227"/>
      <c r="M387" s="227"/>
      <c r="N387" s="227"/>
      <c r="O387" s="228"/>
      <c r="P387" s="228"/>
    </row>
    <row r="388" spans="1:16" x14ac:dyDescent="0.35">
      <c r="A388" s="227"/>
      <c r="B388" s="227"/>
      <c r="C388" s="227"/>
      <c r="D388" s="307"/>
      <c r="E388" s="227"/>
      <c r="F388" s="304"/>
      <c r="G388" s="227"/>
      <c r="H388" s="309"/>
      <c r="I388" s="227"/>
      <c r="J388" s="227"/>
      <c r="K388" s="37"/>
      <c r="L388" s="227"/>
      <c r="M388" s="227"/>
      <c r="N388" s="227"/>
      <c r="O388" s="228"/>
      <c r="P388" s="228"/>
    </row>
    <row r="389" spans="1:16" x14ac:dyDescent="0.35">
      <c r="A389" s="227"/>
      <c r="B389" s="227"/>
      <c r="C389" s="227"/>
      <c r="D389" s="307"/>
      <c r="E389" s="227"/>
      <c r="F389" s="304"/>
      <c r="G389" s="227"/>
      <c r="H389" s="309"/>
      <c r="I389" s="227"/>
      <c r="J389" s="227"/>
      <c r="K389" s="37"/>
      <c r="L389" s="227"/>
      <c r="M389" s="227"/>
      <c r="N389" s="227"/>
      <c r="O389" s="228"/>
      <c r="P389" s="228"/>
    </row>
    <row r="390" spans="1:16" x14ac:dyDescent="0.35">
      <c r="A390" s="227"/>
      <c r="B390" s="227"/>
      <c r="C390" s="227"/>
      <c r="D390" s="307"/>
      <c r="E390" s="227"/>
      <c r="F390" s="304"/>
      <c r="G390" s="227"/>
      <c r="H390" s="309"/>
      <c r="I390" s="227"/>
      <c r="J390" s="227"/>
      <c r="K390" s="37"/>
      <c r="L390" s="227"/>
      <c r="M390" s="227"/>
      <c r="N390" s="227"/>
      <c r="O390" s="228"/>
      <c r="P390" s="228"/>
    </row>
    <row r="391" spans="1:16" x14ac:dyDescent="0.35">
      <c r="A391" s="227"/>
      <c r="B391" s="227"/>
      <c r="C391" s="227"/>
      <c r="D391" s="307"/>
      <c r="E391" s="227"/>
      <c r="F391" s="304"/>
      <c r="G391" s="227"/>
      <c r="H391" s="309"/>
      <c r="I391" s="227"/>
      <c r="J391" s="227"/>
      <c r="K391" s="37"/>
      <c r="L391" s="227"/>
      <c r="M391" s="227"/>
      <c r="N391" s="227"/>
      <c r="O391" s="228"/>
      <c r="P391" s="228"/>
    </row>
    <row r="392" spans="1:16" x14ac:dyDescent="0.35">
      <c r="A392" s="227"/>
      <c r="B392" s="227"/>
      <c r="C392" s="227"/>
      <c r="D392" s="307"/>
      <c r="E392" s="227"/>
      <c r="F392" s="304"/>
      <c r="G392" s="227"/>
      <c r="H392" s="309"/>
      <c r="I392" s="227"/>
      <c r="J392" s="227"/>
      <c r="K392" s="37"/>
      <c r="L392" s="227"/>
      <c r="M392" s="227"/>
      <c r="N392" s="227"/>
      <c r="O392" s="228"/>
      <c r="P392" s="228"/>
    </row>
    <row r="393" spans="1:16" x14ac:dyDescent="0.35">
      <c r="A393" s="227"/>
      <c r="B393" s="227"/>
      <c r="C393" s="227"/>
      <c r="D393" s="307"/>
      <c r="E393" s="227"/>
      <c r="F393" s="304"/>
      <c r="G393" s="227"/>
      <c r="H393" s="309"/>
      <c r="I393" s="227"/>
      <c r="J393" s="227"/>
      <c r="K393" s="37"/>
      <c r="L393" s="227"/>
      <c r="M393" s="227"/>
      <c r="N393" s="227"/>
      <c r="O393" s="228"/>
      <c r="P393" s="228"/>
    </row>
    <row r="394" spans="1:16" x14ac:dyDescent="0.35">
      <c r="A394" s="227"/>
      <c r="B394" s="227"/>
      <c r="C394" s="227"/>
      <c r="D394" s="307"/>
      <c r="E394" s="227"/>
      <c r="F394" s="304"/>
      <c r="G394" s="227"/>
      <c r="H394" s="309"/>
      <c r="I394" s="227"/>
      <c r="J394" s="227"/>
      <c r="K394" s="37"/>
      <c r="L394" s="227"/>
      <c r="M394" s="227"/>
      <c r="N394" s="227"/>
      <c r="O394" s="228"/>
      <c r="P394" s="228"/>
    </row>
    <row r="395" spans="1:16" x14ac:dyDescent="0.35">
      <c r="A395" s="227"/>
      <c r="B395" s="227"/>
      <c r="C395" s="227"/>
      <c r="D395" s="307"/>
      <c r="E395" s="227"/>
      <c r="F395" s="304"/>
      <c r="G395" s="227"/>
      <c r="H395" s="309"/>
      <c r="I395" s="227"/>
      <c r="J395" s="227"/>
      <c r="K395" s="37"/>
      <c r="L395" s="227"/>
      <c r="M395" s="227"/>
      <c r="N395" s="227"/>
      <c r="O395" s="228"/>
      <c r="P395" s="228"/>
    </row>
    <row r="396" spans="1:16" x14ac:dyDescent="0.35">
      <c r="A396" s="227"/>
      <c r="B396" s="227"/>
      <c r="C396" s="227"/>
      <c r="D396" s="307"/>
      <c r="E396" s="227"/>
      <c r="F396" s="304"/>
      <c r="G396" s="227"/>
      <c r="H396" s="309"/>
      <c r="I396" s="227"/>
      <c r="J396" s="227"/>
      <c r="K396" s="37"/>
      <c r="L396" s="227"/>
      <c r="M396" s="227"/>
      <c r="N396" s="227"/>
      <c r="O396" s="228"/>
      <c r="P396" s="228"/>
    </row>
    <row r="397" spans="1:16" x14ac:dyDescent="0.35">
      <c r="A397" s="227"/>
      <c r="B397" s="227"/>
      <c r="C397" s="227"/>
      <c r="D397" s="307"/>
      <c r="E397" s="227"/>
      <c r="F397" s="304"/>
      <c r="G397" s="227"/>
      <c r="H397" s="309"/>
      <c r="I397" s="227"/>
      <c r="J397" s="227"/>
      <c r="K397" s="37"/>
      <c r="L397" s="227"/>
      <c r="M397" s="227"/>
      <c r="N397" s="227"/>
      <c r="O397" s="228"/>
      <c r="P397" s="228"/>
    </row>
    <row r="398" spans="1:16" x14ac:dyDescent="0.35">
      <c r="A398" s="227"/>
      <c r="B398" s="227"/>
      <c r="C398" s="227"/>
      <c r="D398" s="307"/>
      <c r="E398" s="227"/>
      <c r="F398" s="304"/>
      <c r="G398" s="227"/>
      <c r="H398" s="309"/>
      <c r="I398" s="227"/>
      <c r="J398" s="227"/>
      <c r="K398" s="37"/>
      <c r="L398" s="227"/>
      <c r="M398" s="227"/>
      <c r="N398" s="227"/>
      <c r="O398" s="228"/>
      <c r="P398" s="228"/>
    </row>
    <row r="399" spans="1:16" x14ac:dyDescent="0.35">
      <c r="A399" s="227"/>
      <c r="B399" s="227"/>
      <c r="C399" s="227"/>
      <c r="D399" s="307"/>
      <c r="E399" s="227"/>
      <c r="F399" s="304"/>
      <c r="G399" s="227"/>
      <c r="H399" s="309"/>
      <c r="I399" s="227"/>
      <c r="J399" s="227"/>
      <c r="K399" s="37"/>
      <c r="L399" s="227"/>
      <c r="M399" s="227"/>
      <c r="N399" s="227"/>
      <c r="O399" s="228"/>
      <c r="P399" s="228"/>
    </row>
    <row r="400" spans="1:16" x14ac:dyDescent="0.35">
      <c r="A400" s="227"/>
      <c r="B400" s="227"/>
      <c r="C400" s="227"/>
      <c r="D400" s="307"/>
      <c r="E400" s="227"/>
      <c r="F400" s="304"/>
      <c r="G400" s="227"/>
      <c r="H400" s="309"/>
      <c r="I400" s="227"/>
      <c r="J400" s="227"/>
      <c r="K400" s="37"/>
      <c r="L400" s="227"/>
      <c r="M400" s="227"/>
      <c r="N400" s="227"/>
      <c r="O400" s="228"/>
      <c r="P400" s="228"/>
    </row>
    <row r="401" spans="1:16" x14ac:dyDescent="0.35">
      <c r="A401" s="227"/>
      <c r="B401" s="227"/>
      <c r="C401" s="227"/>
      <c r="D401" s="307"/>
      <c r="E401" s="227"/>
      <c r="F401" s="304"/>
      <c r="G401" s="227"/>
      <c r="H401" s="309"/>
      <c r="I401" s="227"/>
      <c r="J401" s="227"/>
      <c r="K401" s="37"/>
      <c r="L401" s="227"/>
      <c r="M401" s="227"/>
      <c r="N401" s="227"/>
      <c r="O401" s="228"/>
      <c r="P401" s="228"/>
    </row>
    <row r="402" spans="1:16" x14ac:dyDescent="0.35">
      <c r="A402" s="227"/>
      <c r="B402" s="227"/>
      <c r="C402" s="227"/>
      <c r="D402" s="307"/>
      <c r="E402" s="227"/>
      <c r="F402" s="304"/>
      <c r="G402" s="227"/>
      <c r="H402" s="309"/>
      <c r="I402" s="227"/>
      <c r="J402" s="227"/>
      <c r="K402" s="37"/>
      <c r="L402" s="227"/>
      <c r="M402" s="227"/>
      <c r="N402" s="227"/>
      <c r="O402" s="228"/>
      <c r="P402" s="228"/>
    </row>
    <row r="403" spans="1:16" x14ac:dyDescent="0.35">
      <c r="A403" s="227"/>
      <c r="B403" s="227"/>
      <c r="C403" s="227"/>
      <c r="D403" s="307"/>
      <c r="E403" s="227"/>
      <c r="F403" s="304"/>
      <c r="G403" s="227"/>
      <c r="H403" s="309"/>
      <c r="I403" s="227"/>
      <c r="J403" s="227"/>
      <c r="K403" s="37"/>
      <c r="L403" s="227"/>
      <c r="M403" s="227"/>
      <c r="N403" s="227"/>
      <c r="O403" s="228"/>
      <c r="P403" s="228"/>
    </row>
    <row r="404" spans="1:16" x14ac:dyDescent="0.35">
      <c r="A404" s="227"/>
      <c r="B404" s="227"/>
      <c r="C404" s="227"/>
      <c r="D404" s="307"/>
      <c r="E404" s="227"/>
      <c r="F404" s="304"/>
      <c r="G404" s="227"/>
      <c r="H404" s="309"/>
      <c r="I404" s="227"/>
      <c r="J404" s="227"/>
      <c r="K404" s="37"/>
      <c r="L404" s="227"/>
      <c r="M404" s="227"/>
      <c r="N404" s="227"/>
      <c r="O404" s="228"/>
      <c r="P404" s="228"/>
    </row>
    <row r="405" spans="1:16" x14ac:dyDescent="0.35">
      <c r="A405" s="227"/>
      <c r="B405" s="227"/>
      <c r="C405" s="227"/>
      <c r="D405" s="307"/>
      <c r="E405" s="227"/>
      <c r="F405" s="304"/>
      <c r="G405" s="227"/>
      <c r="H405" s="309"/>
      <c r="I405" s="227"/>
      <c r="J405" s="227"/>
      <c r="K405" s="37"/>
      <c r="L405" s="227"/>
      <c r="M405" s="227"/>
      <c r="N405" s="227"/>
      <c r="O405" s="228"/>
      <c r="P405" s="228"/>
    </row>
    <row r="406" spans="1:16" x14ac:dyDescent="0.35">
      <c r="A406" s="227"/>
      <c r="B406" s="227"/>
      <c r="C406" s="227"/>
      <c r="D406" s="307"/>
      <c r="E406" s="227"/>
      <c r="F406" s="304"/>
      <c r="G406" s="227"/>
      <c r="H406" s="309"/>
      <c r="I406" s="227"/>
      <c r="J406" s="227"/>
      <c r="K406" s="37"/>
      <c r="L406" s="227"/>
      <c r="M406" s="227"/>
      <c r="N406" s="227"/>
      <c r="O406" s="228"/>
      <c r="P406" s="228"/>
    </row>
    <row r="407" spans="1:16" x14ac:dyDescent="0.35">
      <c r="A407" s="227"/>
      <c r="B407" s="227"/>
      <c r="C407" s="227"/>
      <c r="D407" s="307"/>
      <c r="E407" s="227"/>
      <c r="F407" s="304"/>
      <c r="G407" s="227"/>
      <c r="H407" s="309"/>
      <c r="I407" s="227"/>
      <c r="J407" s="227"/>
      <c r="K407" s="37"/>
      <c r="L407" s="227"/>
      <c r="M407" s="227"/>
      <c r="N407" s="227"/>
      <c r="O407" s="228"/>
      <c r="P407" s="228"/>
    </row>
    <row r="408" spans="1:16" x14ac:dyDescent="0.35">
      <c r="A408" s="227"/>
      <c r="B408" s="227"/>
      <c r="C408" s="227"/>
      <c r="D408" s="307"/>
      <c r="E408" s="227"/>
      <c r="F408" s="304"/>
      <c r="G408" s="227"/>
      <c r="H408" s="309"/>
      <c r="I408" s="227"/>
      <c r="J408" s="227"/>
      <c r="K408" s="37"/>
      <c r="L408" s="227"/>
      <c r="M408" s="227"/>
      <c r="N408" s="227"/>
      <c r="O408" s="228"/>
      <c r="P408" s="228"/>
    </row>
    <row r="409" spans="1:16" x14ac:dyDescent="0.35">
      <c r="A409" s="227"/>
      <c r="B409" s="227"/>
      <c r="C409" s="227"/>
      <c r="D409" s="307"/>
      <c r="E409" s="227"/>
      <c r="F409" s="304"/>
      <c r="G409" s="227"/>
      <c r="H409" s="309"/>
      <c r="I409" s="227"/>
      <c r="J409" s="227"/>
      <c r="K409" s="37"/>
      <c r="L409" s="227"/>
      <c r="M409" s="227"/>
      <c r="N409" s="227"/>
      <c r="O409" s="228"/>
      <c r="P409" s="228"/>
    </row>
    <row r="410" spans="1:16" x14ac:dyDescent="0.35">
      <c r="A410" s="227"/>
      <c r="B410" s="227"/>
      <c r="C410" s="227"/>
      <c r="D410" s="307"/>
      <c r="E410" s="227"/>
      <c r="F410" s="304"/>
      <c r="G410" s="227"/>
      <c r="H410" s="309"/>
      <c r="I410" s="227"/>
      <c r="J410" s="227"/>
      <c r="K410" s="37"/>
      <c r="L410" s="227"/>
      <c r="M410" s="227"/>
      <c r="N410" s="227"/>
      <c r="O410" s="228"/>
      <c r="P410" s="228"/>
    </row>
    <row r="411" spans="1:16" x14ac:dyDescent="0.35">
      <c r="A411" s="227"/>
      <c r="B411" s="227"/>
      <c r="C411" s="227"/>
      <c r="D411" s="307"/>
      <c r="E411" s="227"/>
      <c r="F411" s="304"/>
      <c r="G411" s="227"/>
      <c r="H411" s="309"/>
      <c r="I411" s="227"/>
      <c r="J411" s="227"/>
      <c r="K411" s="37"/>
      <c r="L411" s="227"/>
      <c r="M411" s="227"/>
      <c r="N411" s="227"/>
      <c r="O411" s="228"/>
      <c r="P411" s="228"/>
    </row>
    <row r="412" spans="1:16" x14ac:dyDescent="0.35">
      <c r="A412" s="227"/>
      <c r="B412" s="227"/>
      <c r="C412" s="227"/>
      <c r="D412" s="307"/>
      <c r="E412" s="227"/>
      <c r="F412" s="304"/>
      <c r="G412" s="227"/>
      <c r="H412" s="309"/>
      <c r="I412" s="227"/>
      <c r="J412" s="227"/>
      <c r="K412" s="37"/>
      <c r="L412" s="227"/>
      <c r="M412" s="227"/>
      <c r="N412" s="227"/>
      <c r="O412" s="228"/>
      <c r="P412" s="228"/>
    </row>
    <row r="413" spans="1:16" x14ac:dyDescent="0.35">
      <c r="A413" s="227"/>
      <c r="B413" s="227"/>
      <c r="C413" s="227"/>
      <c r="D413" s="307"/>
      <c r="E413" s="227"/>
      <c r="F413" s="304"/>
      <c r="G413" s="227"/>
      <c r="H413" s="309"/>
      <c r="I413" s="227"/>
      <c r="J413" s="227"/>
      <c r="K413" s="37"/>
      <c r="L413" s="227"/>
      <c r="M413" s="227"/>
      <c r="N413" s="227"/>
      <c r="O413" s="228"/>
      <c r="P413" s="228"/>
    </row>
    <row r="414" spans="1:16" x14ac:dyDescent="0.35">
      <c r="A414" s="227"/>
      <c r="B414" s="227"/>
      <c r="C414" s="227"/>
      <c r="D414" s="307"/>
      <c r="E414" s="227"/>
      <c r="F414" s="304"/>
      <c r="G414" s="227"/>
      <c r="H414" s="309"/>
      <c r="I414" s="227"/>
      <c r="J414" s="227"/>
      <c r="K414" s="37"/>
      <c r="L414" s="227"/>
      <c r="M414" s="227"/>
      <c r="N414" s="227"/>
      <c r="O414" s="228"/>
      <c r="P414" s="228"/>
    </row>
    <row r="415" spans="1:16" x14ac:dyDescent="0.35">
      <c r="A415" s="227"/>
      <c r="B415" s="227"/>
      <c r="C415" s="227"/>
      <c r="D415" s="307"/>
      <c r="E415" s="227"/>
      <c r="F415" s="304"/>
      <c r="G415" s="227"/>
      <c r="H415" s="309"/>
      <c r="I415" s="227"/>
      <c r="J415" s="227"/>
      <c r="K415" s="37"/>
      <c r="L415" s="227"/>
      <c r="M415" s="227"/>
      <c r="N415" s="227"/>
      <c r="O415" s="228"/>
      <c r="P415" s="228"/>
    </row>
    <row r="416" spans="1:16" x14ac:dyDescent="0.35">
      <c r="A416" s="227"/>
      <c r="B416" s="227"/>
      <c r="C416" s="227"/>
      <c r="D416" s="307"/>
      <c r="E416" s="227"/>
      <c r="F416" s="304"/>
      <c r="G416" s="227"/>
      <c r="H416" s="309"/>
      <c r="I416" s="227"/>
      <c r="J416" s="227"/>
      <c r="K416" s="37"/>
      <c r="L416" s="227"/>
      <c r="M416" s="227"/>
      <c r="N416" s="227"/>
      <c r="O416" s="228"/>
      <c r="P416" s="228"/>
    </row>
    <row r="417" spans="1:16" x14ac:dyDescent="0.35">
      <c r="A417" s="227"/>
      <c r="B417" s="227"/>
      <c r="C417" s="227"/>
      <c r="D417" s="307"/>
      <c r="E417" s="227"/>
      <c r="F417" s="304"/>
      <c r="G417" s="227"/>
      <c r="H417" s="309"/>
      <c r="I417" s="227"/>
      <c r="J417" s="227"/>
      <c r="K417" s="37"/>
      <c r="L417" s="227"/>
      <c r="M417" s="227"/>
      <c r="N417" s="227"/>
      <c r="O417" s="228"/>
      <c r="P417" s="228"/>
    </row>
    <row r="418" spans="1:16" x14ac:dyDescent="0.35">
      <c r="A418" s="227"/>
      <c r="B418" s="227"/>
      <c r="C418" s="227"/>
      <c r="D418" s="307"/>
      <c r="E418" s="227"/>
      <c r="F418" s="304"/>
      <c r="G418" s="227"/>
      <c r="H418" s="309"/>
      <c r="I418" s="227"/>
      <c r="J418" s="227"/>
      <c r="K418" s="37"/>
      <c r="L418" s="227"/>
      <c r="M418" s="227"/>
      <c r="N418" s="227"/>
      <c r="O418" s="228"/>
      <c r="P418" s="228"/>
    </row>
    <row r="419" spans="1:16" x14ac:dyDescent="0.35">
      <c r="A419" s="227"/>
      <c r="B419" s="227"/>
      <c r="C419" s="227"/>
      <c r="D419" s="307"/>
      <c r="E419" s="227"/>
      <c r="F419" s="304"/>
      <c r="G419" s="227"/>
      <c r="H419" s="309"/>
      <c r="I419" s="227"/>
      <c r="J419" s="227"/>
      <c r="K419" s="37"/>
      <c r="L419" s="227"/>
      <c r="M419" s="227"/>
      <c r="N419" s="227"/>
      <c r="O419" s="228"/>
      <c r="P419" s="228"/>
    </row>
    <row r="420" spans="1:16" x14ac:dyDescent="0.35">
      <c r="A420" s="227"/>
      <c r="B420" s="227"/>
      <c r="C420" s="227"/>
      <c r="D420" s="307"/>
      <c r="E420" s="227"/>
      <c r="F420" s="304"/>
      <c r="G420" s="227"/>
      <c r="H420" s="309"/>
      <c r="I420" s="227"/>
      <c r="J420" s="227"/>
      <c r="K420" s="37"/>
      <c r="L420" s="227"/>
      <c r="M420" s="227"/>
      <c r="N420" s="227"/>
      <c r="O420" s="228"/>
      <c r="P420" s="228"/>
    </row>
    <row r="421" spans="1:16" x14ac:dyDescent="0.35">
      <c r="A421" s="227"/>
      <c r="B421" s="227"/>
      <c r="C421" s="227"/>
      <c r="D421" s="307"/>
      <c r="E421" s="227"/>
      <c r="F421" s="304"/>
      <c r="G421" s="227"/>
      <c r="H421" s="309"/>
      <c r="I421" s="227"/>
      <c r="J421" s="227"/>
      <c r="K421" s="37"/>
      <c r="L421" s="227"/>
      <c r="M421" s="227"/>
      <c r="N421" s="227"/>
      <c r="O421" s="228"/>
      <c r="P421" s="228"/>
    </row>
    <row r="422" spans="1:16" x14ac:dyDescent="0.35">
      <c r="A422" s="227"/>
      <c r="B422" s="227"/>
      <c r="C422" s="227"/>
      <c r="D422" s="307"/>
      <c r="E422" s="227"/>
      <c r="F422" s="304"/>
      <c r="G422" s="227"/>
      <c r="H422" s="309"/>
      <c r="I422" s="227"/>
      <c r="J422" s="227"/>
      <c r="K422" s="37"/>
      <c r="L422" s="227"/>
      <c r="M422" s="227"/>
      <c r="N422" s="227"/>
      <c r="O422" s="228"/>
      <c r="P422" s="228"/>
    </row>
    <row r="423" spans="1:16" x14ac:dyDescent="0.35">
      <c r="A423" s="227"/>
      <c r="B423" s="227"/>
      <c r="C423" s="227"/>
      <c r="D423" s="307"/>
      <c r="E423" s="227"/>
      <c r="F423" s="304"/>
      <c r="G423" s="227"/>
      <c r="H423" s="309"/>
      <c r="I423" s="227"/>
      <c r="J423" s="227"/>
      <c r="K423" s="37"/>
      <c r="L423" s="227"/>
      <c r="M423" s="227"/>
      <c r="N423" s="227"/>
      <c r="O423" s="228"/>
      <c r="P423" s="228"/>
    </row>
    <row r="424" spans="1:16" x14ac:dyDescent="0.35">
      <c r="A424" s="227"/>
      <c r="B424" s="227"/>
      <c r="C424" s="227"/>
      <c r="D424" s="307"/>
      <c r="E424" s="227"/>
      <c r="F424" s="304"/>
      <c r="G424" s="227"/>
      <c r="H424" s="309"/>
      <c r="I424" s="227"/>
      <c r="J424" s="227"/>
      <c r="K424" s="37"/>
      <c r="L424" s="227"/>
      <c r="M424" s="227"/>
      <c r="N424" s="227"/>
      <c r="O424" s="228"/>
      <c r="P424" s="228"/>
    </row>
    <row r="425" spans="1:16" x14ac:dyDescent="0.35">
      <c r="A425" s="227"/>
      <c r="B425" s="227"/>
      <c r="C425" s="227"/>
      <c r="D425" s="307"/>
      <c r="E425" s="227"/>
      <c r="F425" s="304"/>
      <c r="G425" s="227"/>
      <c r="H425" s="309"/>
      <c r="I425" s="227"/>
      <c r="J425" s="227"/>
      <c r="K425" s="37"/>
      <c r="L425" s="227"/>
      <c r="M425" s="227"/>
      <c r="N425" s="227"/>
      <c r="O425" s="228"/>
      <c r="P425" s="228"/>
    </row>
    <row r="426" spans="1:16" x14ac:dyDescent="0.35">
      <c r="A426" s="227"/>
      <c r="B426" s="227"/>
      <c r="C426" s="227"/>
      <c r="D426" s="307"/>
      <c r="E426" s="227"/>
      <c r="F426" s="304"/>
      <c r="G426" s="227"/>
      <c r="H426" s="309"/>
      <c r="I426" s="227"/>
      <c r="J426" s="227"/>
      <c r="K426" s="37"/>
      <c r="L426" s="227"/>
      <c r="M426" s="227"/>
      <c r="N426" s="227"/>
      <c r="O426" s="228"/>
      <c r="P426" s="228"/>
    </row>
    <row r="427" spans="1:16" x14ac:dyDescent="0.35">
      <c r="A427" s="227"/>
      <c r="B427" s="227"/>
      <c r="C427" s="227"/>
      <c r="D427" s="307"/>
      <c r="E427" s="227"/>
      <c r="F427" s="304"/>
      <c r="G427" s="227"/>
      <c r="H427" s="309"/>
      <c r="I427" s="227"/>
      <c r="J427" s="227"/>
      <c r="K427" s="37"/>
      <c r="L427" s="227"/>
      <c r="M427" s="227"/>
      <c r="N427" s="227"/>
      <c r="O427" s="228"/>
      <c r="P427" s="228"/>
    </row>
    <row r="428" spans="1:16" x14ac:dyDescent="0.35">
      <c r="A428" s="227"/>
      <c r="B428" s="227"/>
      <c r="C428" s="227"/>
      <c r="D428" s="307"/>
      <c r="E428" s="227"/>
      <c r="F428" s="304"/>
      <c r="G428" s="227"/>
      <c r="H428" s="309"/>
      <c r="I428" s="227"/>
      <c r="J428" s="227"/>
      <c r="K428" s="37"/>
      <c r="L428" s="227"/>
      <c r="M428" s="227"/>
      <c r="N428" s="227"/>
      <c r="O428" s="228"/>
      <c r="P428" s="228"/>
    </row>
    <row r="429" spans="1:16" x14ac:dyDescent="0.35">
      <c r="A429" s="227"/>
      <c r="B429" s="227"/>
      <c r="C429" s="227"/>
      <c r="D429" s="307"/>
      <c r="E429" s="227"/>
      <c r="F429" s="304"/>
      <c r="G429" s="227"/>
      <c r="H429" s="309"/>
      <c r="I429" s="227"/>
      <c r="J429" s="227"/>
      <c r="K429" s="37"/>
      <c r="L429" s="227"/>
      <c r="M429" s="227"/>
      <c r="N429" s="227"/>
      <c r="O429" s="228"/>
      <c r="P429" s="228"/>
    </row>
    <row r="430" spans="1:16" x14ac:dyDescent="0.35">
      <c r="A430" s="227"/>
      <c r="B430" s="227"/>
      <c r="C430" s="227"/>
      <c r="D430" s="307"/>
      <c r="E430" s="227"/>
      <c r="F430" s="304"/>
      <c r="G430" s="227"/>
      <c r="H430" s="309"/>
      <c r="I430" s="227"/>
      <c r="J430" s="227"/>
      <c r="K430" s="37"/>
      <c r="L430" s="227"/>
      <c r="M430" s="227"/>
      <c r="N430" s="227"/>
      <c r="O430" s="228"/>
      <c r="P430" s="228"/>
    </row>
    <row r="431" spans="1:16" x14ac:dyDescent="0.35">
      <c r="A431" s="227"/>
      <c r="B431" s="227"/>
      <c r="C431" s="227"/>
      <c r="D431" s="307"/>
      <c r="E431" s="227"/>
      <c r="F431" s="304"/>
      <c r="G431" s="227"/>
      <c r="H431" s="309"/>
      <c r="I431" s="227"/>
      <c r="J431" s="227"/>
      <c r="K431" s="37"/>
      <c r="L431" s="227"/>
      <c r="M431" s="227"/>
      <c r="N431" s="227"/>
      <c r="O431" s="228"/>
      <c r="P431" s="228"/>
    </row>
    <row r="432" spans="1:16" x14ac:dyDescent="0.35">
      <c r="A432" s="227"/>
      <c r="B432" s="227"/>
      <c r="C432" s="227"/>
      <c r="D432" s="307"/>
      <c r="E432" s="227"/>
      <c r="F432" s="304"/>
      <c r="G432" s="227"/>
      <c r="H432" s="309"/>
      <c r="I432" s="227"/>
      <c r="J432" s="227"/>
      <c r="K432" s="37"/>
      <c r="L432" s="227"/>
      <c r="M432" s="227"/>
      <c r="N432" s="227"/>
      <c r="O432" s="228"/>
      <c r="P432" s="228"/>
    </row>
    <row r="433" spans="1:16" x14ac:dyDescent="0.35">
      <c r="A433" s="227"/>
      <c r="B433" s="227"/>
      <c r="C433" s="227"/>
      <c r="D433" s="307"/>
      <c r="E433" s="227"/>
      <c r="F433" s="304"/>
      <c r="G433" s="227"/>
      <c r="H433" s="309"/>
      <c r="I433" s="227"/>
      <c r="J433" s="227"/>
      <c r="K433" s="37"/>
      <c r="L433" s="227"/>
      <c r="M433" s="227"/>
      <c r="N433" s="227"/>
      <c r="O433" s="228"/>
      <c r="P433" s="228"/>
    </row>
    <row r="434" spans="1:16" x14ac:dyDescent="0.35">
      <c r="A434" s="227"/>
      <c r="B434" s="227"/>
      <c r="C434" s="227"/>
      <c r="D434" s="307"/>
      <c r="E434" s="227"/>
      <c r="F434" s="304"/>
      <c r="G434" s="227"/>
      <c r="H434" s="309"/>
      <c r="I434" s="227"/>
      <c r="J434" s="227"/>
      <c r="K434" s="37"/>
      <c r="L434" s="227"/>
      <c r="M434" s="227"/>
      <c r="N434" s="227"/>
      <c r="O434" s="228"/>
      <c r="P434" s="228"/>
    </row>
    <row r="435" spans="1:16" x14ac:dyDescent="0.35">
      <c r="A435" s="227"/>
      <c r="B435" s="227"/>
      <c r="C435" s="227"/>
      <c r="D435" s="307"/>
      <c r="E435" s="227"/>
      <c r="F435" s="304"/>
      <c r="G435" s="227"/>
      <c r="H435" s="309"/>
      <c r="I435" s="227"/>
      <c r="J435" s="227"/>
      <c r="K435" s="37"/>
      <c r="L435" s="227"/>
      <c r="M435" s="227"/>
      <c r="N435" s="227"/>
      <c r="O435" s="228"/>
      <c r="P435" s="228"/>
    </row>
    <row r="436" spans="1:16" x14ac:dyDescent="0.35">
      <c r="A436" s="227"/>
      <c r="B436" s="227"/>
      <c r="C436" s="227"/>
      <c r="D436" s="307"/>
      <c r="E436" s="227"/>
      <c r="F436" s="304"/>
      <c r="G436" s="227"/>
      <c r="H436" s="309"/>
      <c r="I436" s="227"/>
      <c r="J436" s="227"/>
      <c r="K436" s="37"/>
      <c r="L436" s="227"/>
      <c r="M436" s="227"/>
      <c r="N436" s="227"/>
      <c r="O436" s="228"/>
      <c r="P436" s="228"/>
    </row>
    <row r="437" spans="1:16" x14ac:dyDescent="0.35">
      <c r="A437" s="227"/>
      <c r="B437" s="227"/>
      <c r="C437" s="227"/>
      <c r="D437" s="307"/>
      <c r="E437" s="227"/>
      <c r="F437" s="304"/>
      <c r="G437" s="227"/>
      <c r="H437" s="309"/>
      <c r="I437" s="227"/>
      <c r="J437" s="227"/>
      <c r="K437" s="37"/>
      <c r="L437" s="227"/>
      <c r="M437" s="227"/>
      <c r="N437" s="227"/>
      <c r="O437" s="228"/>
      <c r="P437" s="228"/>
    </row>
    <row r="438" spans="1:16" x14ac:dyDescent="0.35">
      <c r="A438" s="227"/>
      <c r="B438" s="227"/>
      <c r="C438" s="227"/>
      <c r="D438" s="307"/>
      <c r="E438" s="227"/>
      <c r="F438" s="304"/>
      <c r="G438" s="227"/>
      <c r="H438" s="309"/>
      <c r="I438" s="227"/>
      <c r="J438" s="227"/>
      <c r="K438" s="37"/>
      <c r="L438" s="227"/>
      <c r="M438" s="227"/>
      <c r="N438" s="227"/>
      <c r="O438" s="228"/>
      <c r="P438" s="228"/>
    </row>
    <row r="439" spans="1:16" x14ac:dyDescent="0.35">
      <c r="A439" s="227"/>
      <c r="B439" s="227"/>
      <c r="C439" s="227"/>
      <c r="D439" s="307"/>
      <c r="E439" s="227"/>
      <c r="F439" s="304"/>
      <c r="G439" s="227"/>
      <c r="H439" s="309"/>
      <c r="I439" s="227"/>
      <c r="J439" s="227"/>
      <c r="K439" s="37"/>
      <c r="L439" s="227"/>
      <c r="M439" s="227"/>
      <c r="N439" s="227"/>
      <c r="O439" s="228"/>
      <c r="P439" s="228"/>
    </row>
    <row r="440" spans="1:16" x14ac:dyDescent="0.35">
      <c r="A440" s="227"/>
      <c r="B440" s="227"/>
      <c r="C440" s="227"/>
      <c r="D440" s="307"/>
      <c r="E440" s="227"/>
      <c r="F440" s="304"/>
      <c r="G440" s="227"/>
      <c r="H440" s="309"/>
      <c r="I440" s="227"/>
      <c r="J440" s="227"/>
      <c r="K440" s="37"/>
      <c r="L440" s="227"/>
      <c r="M440" s="227"/>
      <c r="N440" s="227"/>
      <c r="O440" s="228"/>
      <c r="P440" s="228"/>
    </row>
    <row r="441" spans="1:16" x14ac:dyDescent="0.35">
      <c r="A441" s="227"/>
      <c r="B441" s="227"/>
      <c r="C441" s="227"/>
      <c r="D441" s="307"/>
      <c r="E441" s="227"/>
      <c r="F441" s="304"/>
      <c r="G441" s="227"/>
      <c r="H441" s="309"/>
      <c r="I441" s="227"/>
      <c r="J441" s="227"/>
      <c r="K441" s="37"/>
      <c r="L441" s="227"/>
      <c r="M441" s="227"/>
      <c r="N441" s="227"/>
      <c r="O441" s="228"/>
      <c r="P441" s="228"/>
    </row>
    <row r="442" spans="1:16" x14ac:dyDescent="0.35">
      <c r="A442" s="227"/>
      <c r="B442" s="227"/>
      <c r="C442" s="227"/>
      <c r="D442" s="307"/>
      <c r="E442" s="227"/>
      <c r="F442" s="304"/>
      <c r="G442" s="227"/>
      <c r="H442" s="309"/>
      <c r="I442" s="227"/>
      <c r="J442" s="227"/>
      <c r="K442" s="37"/>
      <c r="L442" s="227"/>
      <c r="M442" s="227"/>
      <c r="N442" s="227"/>
      <c r="O442" s="228"/>
      <c r="P442" s="228"/>
    </row>
    <row r="443" spans="1:16" x14ac:dyDescent="0.35">
      <c r="A443" s="227"/>
      <c r="B443" s="227"/>
      <c r="C443" s="227"/>
      <c r="D443" s="307"/>
      <c r="E443" s="227"/>
      <c r="F443" s="304"/>
      <c r="G443" s="227"/>
      <c r="H443" s="309"/>
      <c r="I443" s="227"/>
      <c r="J443" s="227"/>
      <c r="K443" s="37"/>
      <c r="L443" s="227"/>
      <c r="M443" s="227"/>
      <c r="N443" s="227"/>
      <c r="O443" s="228"/>
      <c r="P443" s="228"/>
    </row>
    <row r="444" spans="1:16" x14ac:dyDescent="0.35">
      <c r="A444" s="227"/>
      <c r="B444" s="227"/>
      <c r="C444" s="227"/>
      <c r="D444" s="307"/>
      <c r="E444" s="227"/>
      <c r="F444" s="304"/>
      <c r="G444" s="227"/>
      <c r="H444" s="309"/>
      <c r="I444" s="227"/>
      <c r="J444" s="227"/>
      <c r="K444" s="37"/>
      <c r="L444" s="227"/>
      <c r="M444" s="227"/>
      <c r="N444" s="227"/>
      <c r="O444" s="228"/>
      <c r="P444" s="228"/>
    </row>
    <row r="445" spans="1:16" x14ac:dyDescent="0.35">
      <c r="A445" s="227"/>
      <c r="B445" s="227"/>
      <c r="C445" s="227"/>
      <c r="D445" s="307"/>
      <c r="E445" s="227"/>
      <c r="F445" s="304"/>
      <c r="G445" s="227"/>
      <c r="H445" s="309"/>
      <c r="I445" s="227"/>
      <c r="J445" s="227"/>
      <c r="K445" s="37"/>
      <c r="L445" s="227"/>
      <c r="M445" s="227"/>
      <c r="N445" s="227"/>
      <c r="O445" s="228"/>
      <c r="P445" s="228"/>
    </row>
    <row r="446" spans="1:16" x14ac:dyDescent="0.35">
      <c r="A446" s="227"/>
      <c r="B446" s="227"/>
      <c r="C446" s="227"/>
      <c r="D446" s="307"/>
      <c r="E446" s="227"/>
      <c r="F446" s="304"/>
      <c r="G446" s="227"/>
      <c r="H446" s="309"/>
      <c r="I446" s="227"/>
      <c r="J446" s="227"/>
      <c r="K446" s="37"/>
      <c r="L446" s="227"/>
      <c r="M446" s="227"/>
      <c r="N446" s="227"/>
      <c r="O446" s="228"/>
      <c r="P446" s="228"/>
    </row>
    <row r="447" spans="1:16" x14ac:dyDescent="0.35">
      <c r="A447" s="227"/>
      <c r="B447" s="227"/>
      <c r="C447" s="227"/>
      <c r="D447" s="307"/>
      <c r="E447" s="227"/>
      <c r="F447" s="304"/>
      <c r="G447" s="227"/>
      <c r="H447" s="309"/>
      <c r="I447" s="227"/>
      <c r="J447" s="227"/>
      <c r="K447" s="37"/>
      <c r="L447" s="227"/>
      <c r="M447" s="227"/>
      <c r="N447" s="227"/>
      <c r="O447" s="228"/>
      <c r="P447" s="228"/>
    </row>
    <row r="448" spans="1:16" x14ac:dyDescent="0.35">
      <c r="A448" s="227"/>
      <c r="B448" s="227"/>
      <c r="C448" s="227"/>
      <c r="D448" s="307"/>
      <c r="E448" s="227"/>
      <c r="F448" s="304"/>
      <c r="G448" s="227"/>
      <c r="H448" s="309"/>
      <c r="I448" s="227"/>
      <c r="J448" s="227"/>
      <c r="K448" s="37"/>
      <c r="L448" s="227"/>
      <c r="M448" s="227"/>
      <c r="N448" s="227"/>
      <c r="O448" s="228"/>
      <c r="P448" s="228"/>
    </row>
    <row r="449" spans="1:16" x14ac:dyDescent="0.35">
      <c r="A449" s="227"/>
      <c r="B449" s="227"/>
      <c r="C449" s="227"/>
      <c r="D449" s="307"/>
      <c r="E449" s="227"/>
      <c r="F449" s="304"/>
      <c r="G449" s="227"/>
      <c r="H449" s="309"/>
      <c r="I449" s="227"/>
      <c r="J449" s="227"/>
      <c r="K449" s="37"/>
      <c r="L449" s="227"/>
      <c r="M449" s="227"/>
      <c r="N449" s="227"/>
      <c r="O449" s="228"/>
      <c r="P449" s="228"/>
    </row>
    <row r="450" spans="1:16" x14ac:dyDescent="0.35">
      <c r="A450" s="227"/>
      <c r="B450" s="227"/>
      <c r="C450" s="227"/>
      <c r="D450" s="307"/>
      <c r="E450" s="227"/>
      <c r="F450" s="304"/>
      <c r="G450" s="227"/>
      <c r="H450" s="309"/>
      <c r="I450" s="227"/>
      <c r="J450" s="227"/>
      <c r="K450" s="37"/>
      <c r="L450" s="227"/>
      <c r="M450" s="227"/>
      <c r="N450" s="227"/>
      <c r="O450" s="228"/>
      <c r="P450" s="228"/>
    </row>
    <row r="451" spans="1:16" x14ac:dyDescent="0.35">
      <c r="A451" s="227"/>
      <c r="B451" s="227"/>
      <c r="C451" s="227"/>
      <c r="D451" s="307"/>
      <c r="E451" s="227"/>
      <c r="F451" s="304"/>
      <c r="G451" s="227"/>
      <c r="H451" s="309"/>
      <c r="I451" s="227"/>
      <c r="J451" s="227"/>
      <c r="K451" s="37"/>
      <c r="L451" s="227"/>
      <c r="M451" s="227"/>
      <c r="N451" s="227"/>
      <c r="O451" s="228"/>
      <c r="P451" s="228"/>
    </row>
    <row r="452" spans="1:16" x14ac:dyDescent="0.35">
      <c r="A452" s="227"/>
      <c r="B452" s="227"/>
      <c r="C452" s="227"/>
      <c r="D452" s="307"/>
      <c r="E452" s="227"/>
      <c r="F452" s="304"/>
      <c r="G452" s="227"/>
      <c r="H452" s="309"/>
      <c r="I452" s="227"/>
      <c r="J452" s="227"/>
      <c r="K452" s="37"/>
      <c r="L452" s="227"/>
      <c r="M452" s="227"/>
      <c r="N452" s="227"/>
      <c r="O452" s="228"/>
      <c r="P452" s="228"/>
    </row>
    <row r="453" spans="1:16" x14ac:dyDescent="0.35">
      <c r="A453" s="227"/>
      <c r="B453" s="227"/>
      <c r="C453" s="227"/>
      <c r="D453" s="307"/>
      <c r="E453" s="227"/>
      <c r="F453" s="304"/>
      <c r="G453" s="227"/>
      <c r="H453" s="309"/>
      <c r="I453" s="227"/>
      <c r="J453" s="227"/>
      <c r="K453" s="37"/>
      <c r="L453" s="227"/>
      <c r="M453" s="227"/>
      <c r="N453" s="227"/>
      <c r="O453" s="228"/>
      <c r="P453" s="228"/>
    </row>
    <row r="454" spans="1:16" x14ac:dyDescent="0.35">
      <c r="A454" s="227"/>
      <c r="B454" s="227"/>
      <c r="C454" s="227"/>
      <c r="D454" s="307"/>
      <c r="E454" s="227"/>
      <c r="F454" s="304"/>
      <c r="G454" s="227"/>
      <c r="H454" s="309"/>
      <c r="I454" s="227"/>
      <c r="J454" s="227"/>
      <c r="K454" s="37"/>
      <c r="L454" s="227"/>
      <c r="M454" s="227"/>
      <c r="N454" s="227"/>
      <c r="O454" s="228"/>
      <c r="P454" s="228"/>
    </row>
    <row r="455" spans="1:16" x14ac:dyDescent="0.35">
      <c r="A455" s="227"/>
      <c r="B455" s="227"/>
      <c r="C455" s="227"/>
      <c r="D455" s="307"/>
      <c r="E455" s="227"/>
      <c r="F455" s="304"/>
      <c r="G455" s="227"/>
      <c r="H455" s="309"/>
      <c r="I455" s="227"/>
      <c r="J455" s="227"/>
      <c r="K455" s="37"/>
      <c r="L455" s="227"/>
      <c r="M455" s="227"/>
      <c r="N455" s="227"/>
      <c r="O455" s="228"/>
      <c r="P455" s="228"/>
    </row>
    <row r="456" spans="1:16" x14ac:dyDescent="0.35">
      <c r="A456" s="227"/>
      <c r="B456" s="227"/>
      <c r="C456" s="227"/>
      <c r="D456" s="307"/>
      <c r="E456" s="227"/>
      <c r="F456" s="304"/>
      <c r="G456" s="227"/>
      <c r="H456" s="309"/>
      <c r="I456" s="227"/>
      <c r="J456" s="227"/>
      <c r="K456" s="37"/>
      <c r="L456" s="227"/>
      <c r="M456" s="227"/>
      <c r="N456" s="227"/>
      <c r="O456" s="228"/>
      <c r="P456" s="228"/>
    </row>
    <row r="457" spans="1:16" x14ac:dyDescent="0.35">
      <c r="A457" s="227"/>
      <c r="B457" s="227"/>
      <c r="C457" s="227"/>
      <c r="D457" s="307"/>
      <c r="E457" s="227"/>
      <c r="F457" s="304"/>
      <c r="G457" s="227"/>
      <c r="H457" s="309"/>
      <c r="I457" s="227"/>
      <c r="J457" s="227"/>
      <c r="K457" s="37"/>
      <c r="L457" s="227"/>
      <c r="M457" s="227"/>
      <c r="N457" s="227"/>
      <c r="O457" s="228"/>
      <c r="P457" s="228"/>
    </row>
    <row r="458" spans="1:16" x14ac:dyDescent="0.35">
      <c r="A458" s="227"/>
      <c r="B458" s="227"/>
      <c r="C458" s="227"/>
      <c r="D458" s="307"/>
      <c r="E458" s="227"/>
      <c r="F458" s="304"/>
      <c r="G458" s="227"/>
      <c r="H458" s="309"/>
      <c r="I458" s="227"/>
      <c r="J458" s="227"/>
      <c r="K458" s="37"/>
      <c r="L458" s="227"/>
      <c r="M458" s="227"/>
      <c r="N458" s="227"/>
      <c r="O458" s="228"/>
      <c r="P458" s="228"/>
    </row>
    <row r="459" spans="1:16" x14ac:dyDescent="0.35">
      <c r="A459" s="227"/>
      <c r="B459" s="227"/>
      <c r="C459" s="227"/>
      <c r="D459" s="307"/>
      <c r="E459" s="227"/>
      <c r="F459" s="304"/>
      <c r="G459" s="227"/>
      <c r="H459" s="309"/>
      <c r="I459" s="227"/>
      <c r="J459" s="227"/>
      <c r="K459" s="37"/>
      <c r="L459" s="227"/>
      <c r="M459" s="227"/>
      <c r="N459" s="227"/>
      <c r="O459" s="228"/>
      <c r="P459" s="228"/>
    </row>
    <row r="460" spans="1:16" x14ac:dyDescent="0.35">
      <c r="A460" s="227"/>
      <c r="B460" s="227"/>
      <c r="C460" s="227"/>
      <c r="D460" s="307"/>
      <c r="E460" s="227"/>
      <c r="F460" s="304"/>
      <c r="G460" s="227"/>
      <c r="H460" s="309"/>
      <c r="I460" s="227"/>
      <c r="J460" s="227"/>
      <c r="K460" s="37"/>
      <c r="L460" s="227"/>
      <c r="M460" s="227"/>
      <c r="N460" s="227"/>
      <c r="O460" s="228"/>
      <c r="P460" s="228"/>
    </row>
    <row r="461" spans="1:16" x14ac:dyDescent="0.35">
      <c r="A461" s="227"/>
      <c r="B461" s="227"/>
      <c r="C461" s="227"/>
      <c r="D461" s="307"/>
      <c r="E461" s="227"/>
      <c r="F461" s="304"/>
      <c r="G461" s="227"/>
      <c r="H461" s="309"/>
      <c r="I461" s="227"/>
      <c r="J461" s="227"/>
      <c r="K461" s="37"/>
      <c r="L461" s="227"/>
      <c r="M461" s="227"/>
      <c r="N461" s="227"/>
      <c r="O461" s="228"/>
      <c r="P461" s="228"/>
    </row>
    <row r="462" spans="1:16" x14ac:dyDescent="0.35">
      <c r="A462" s="227"/>
      <c r="B462" s="227"/>
      <c r="C462" s="227"/>
      <c r="D462" s="307"/>
      <c r="E462" s="227"/>
      <c r="F462" s="304"/>
      <c r="G462" s="227"/>
      <c r="H462" s="309"/>
      <c r="I462" s="227"/>
      <c r="J462" s="227"/>
      <c r="K462" s="37"/>
      <c r="L462" s="227"/>
      <c r="M462" s="227"/>
      <c r="N462" s="227"/>
      <c r="O462" s="228"/>
      <c r="P462" s="228"/>
    </row>
    <row r="463" spans="1:16" x14ac:dyDescent="0.35">
      <c r="A463" s="227"/>
      <c r="B463" s="227"/>
      <c r="C463" s="227"/>
      <c r="D463" s="307"/>
      <c r="E463" s="227"/>
      <c r="F463" s="304"/>
      <c r="G463" s="227"/>
      <c r="H463" s="309"/>
      <c r="I463" s="227"/>
      <c r="J463" s="227"/>
      <c r="K463" s="37"/>
      <c r="L463" s="227"/>
      <c r="M463" s="227"/>
      <c r="N463" s="227"/>
      <c r="O463" s="228"/>
      <c r="P463" s="228"/>
    </row>
    <row r="464" spans="1:16" x14ac:dyDescent="0.35">
      <c r="A464" s="227"/>
      <c r="B464" s="227"/>
      <c r="C464" s="227"/>
      <c r="D464" s="307"/>
      <c r="E464" s="227"/>
      <c r="F464" s="304"/>
      <c r="G464" s="227"/>
      <c r="H464" s="309"/>
      <c r="I464" s="227"/>
      <c r="J464" s="227"/>
      <c r="K464" s="37"/>
      <c r="L464" s="227"/>
      <c r="M464" s="227"/>
      <c r="N464" s="227"/>
      <c r="O464" s="228"/>
      <c r="P464" s="228"/>
    </row>
    <row r="465" spans="1:16" x14ac:dyDescent="0.35">
      <c r="A465" s="227"/>
      <c r="B465" s="227"/>
      <c r="C465" s="227"/>
      <c r="D465" s="307"/>
      <c r="E465" s="227"/>
      <c r="F465" s="304"/>
      <c r="G465" s="227"/>
      <c r="H465" s="309"/>
      <c r="I465" s="227"/>
      <c r="J465" s="227"/>
      <c r="K465" s="37"/>
      <c r="L465" s="227"/>
      <c r="M465" s="227"/>
      <c r="N465" s="227"/>
      <c r="O465" s="228"/>
      <c r="P465" s="228"/>
    </row>
    <row r="466" spans="1:16" x14ac:dyDescent="0.35">
      <c r="A466" s="227"/>
      <c r="B466" s="227"/>
      <c r="C466" s="227"/>
      <c r="D466" s="307"/>
      <c r="E466" s="227"/>
      <c r="F466" s="304"/>
      <c r="G466" s="227"/>
      <c r="H466" s="309"/>
      <c r="I466" s="227"/>
      <c r="J466" s="227"/>
      <c r="K466" s="37"/>
      <c r="L466" s="227"/>
      <c r="M466" s="227"/>
      <c r="N466" s="227"/>
      <c r="O466" s="228"/>
      <c r="P466" s="228"/>
    </row>
    <row r="467" spans="1:16" x14ac:dyDescent="0.35">
      <c r="A467" s="227"/>
      <c r="B467" s="227"/>
      <c r="C467" s="227"/>
      <c r="D467" s="307"/>
      <c r="E467" s="227"/>
      <c r="F467" s="304"/>
      <c r="G467" s="227"/>
      <c r="H467" s="309"/>
      <c r="I467" s="227"/>
      <c r="J467" s="227"/>
      <c r="K467" s="37"/>
      <c r="L467" s="227"/>
      <c r="M467" s="227"/>
      <c r="N467" s="227"/>
      <c r="O467" s="228"/>
      <c r="P467" s="228"/>
    </row>
    <row r="468" spans="1:16" x14ac:dyDescent="0.35">
      <c r="A468" s="227"/>
      <c r="B468" s="227"/>
      <c r="C468" s="227"/>
      <c r="D468" s="307"/>
      <c r="E468" s="227"/>
      <c r="F468" s="304"/>
      <c r="G468" s="227"/>
      <c r="H468" s="309"/>
      <c r="I468" s="227"/>
      <c r="J468" s="227"/>
      <c r="K468" s="37"/>
      <c r="L468" s="227"/>
      <c r="M468" s="227"/>
      <c r="N468" s="227"/>
      <c r="O468" s="228"/>
      <c r="P468" s="228"/>
    </row>
    <row r="469" spans="1:16" x14ac:dyDescent="0.35">
      <c r="A469" s="227"/>
      <c r="B469" s="227"/>
      <c r="C469" s="227"/>
      <c r="D469" s="307"/>
      <c r="E469" s="227"/>
      <c r="F469" s="304"/>
      <c r="G469" s="227"/>
      <c r="H469" s="309"/>
      <c r="I469" s="227"/>
      <c r="J469" s="227"/>
      <c r="K469" s="37"/>
      <c r="L469" s="227"/>
      <c r="M469" s="227"/>
      <c r="N469" s="227"/>
      <c r="O469" s="228"/>
      <c r="P469" s="228"/>
    </row>
    <row r="470" spans="1:16" x14ac:dyDescent="0.35">
      <c r="A470" s="227"/>
      <c r="B470" s="227"/>
      <c r="C470" s="227"/>
      <c r="D470" s="307"/>
      <c r="E470" s="227"/>
      <c r="F470" s="304"/>
      <c r="G470" s="227"/>
      <c r="H470" s="309"/>
      <c r="I470" s="227"/>
      <c r="J470" s="227"/>
      <c r="K470" s="37"/>
      <c r="L470" s="227"/>
      <c r="M470" s="227"/>
      <c r="N470" s="227"/>
      <c r="O470" s="228"/>
      <c r="P470" s="228"/>
    </row>
    <row r="471" spans="1:16" x14ac:dyDescent="0.35">
      <c r="A471" s="227"/>
      <c r="B471" s="227"/>
      <c r="C471" s="227"/>
      <c r="D471" s="307"/>
      <c r="E471" s="227"/>
      <c r="F471" s="304"/>
      <c r="G471" s="227"/>
      <c r="H471" s="309"/>
      <c r="I471" s="227"/>
      <c r="J471" s="227"/>
      <c r="K471" s="37"/>
      <c r="L471" s="227"/>
      <c r="M471" s="227"/>
      <c r="N471" s="227"/>
      <c r="O471" s="228"/>
      <c r="P471" s="228"/>
    </row>
    <row r="472" spans="1:16" x14ac:dyDescent="0.35">
      <c r="A472" s="227"/>
      <c r="B472" s="227"/>
      <c r="C472" s="227"/>
      <c r="D472" s="307"/>
      <c r="E472" s="227"/>
      <c r="F472" s="304"/>
      <c r="G472" s="227"/>
      <c r="H472" s="309"/>
      <c r="I472" s="227"/>
      <c r="J472" s="227"/>
      <c r="K472" s="37"/>
      <c r="L472" s="227"/>
      <c r="M472" s="227"/>
      <c r="N472" s="227"/>
      <c r="O472" s="228"/>
      <c r="P472" s="228"/>
    </row>
    <row r="473" spans="1:16" x14ac:dyDescent="0.35">
      <c r="A473" s="227"/>
      <c r="B473" s="227"/>
      <c r="C473" s="227"/>
      <c r="D473" s="307"/>
      <c r="E473" s="227"/>
      <c r="F473" s="304"/>
      <c r="G473" s="227"/>
      <c r="H473" s="309"/>
      <c r="I473" s="227"/>
      <c r="J473" s="227"/>
      <c r="K473" s="37"/>
      <c r="L473" s="227"/>
      <c r="M473" s="227"/>
      <c r="N473" s="227"/>
      <c r="O473" s="228"/>
      <c r="P473" s="228"/>
    </row>
    <row r="474" spans="1:16" x14ac:dyDescent="0.35">
      <c r="A474" s="227"/>
      <c r="B474" s="227"/>
      <c r="C474" s="227"/>
      <c r="D474" s="307"/>
      <c r="E474" s="227"/>
      <c r="F474" s="304"/>
      <c r="G474" s="227"/>
      <c r="H474" s="309"/>
      <c r="I474" s="227"/>
      <c r="J474" s="227"/>
      <c r="K474" s="37"/>
      <c r="L474" s="227"/>
      <c r="M474" s="227"/>
      <c r="N474" s="227"/>
      <c r="O474" s="228"/>
      <c r="P474" s="228"/>
    </row>
    <row r="475" spans="1:16" x14ac:dyDescent="0.35">
      <c r="A475" s="227"/>
      <c r="B475" s="227"/>
      <c r="C475" s="227"/>
      <c r="D475" s="307"/>
      <c r="E475" s="227"/>
      <c r="F475" s="304"/>
      <c r="G475" s="227"/>
      <c r="H475" s="309"/>
      <c r="I475" s="227"/>
      <c r="J475" s="227"/>
      <c r="K475" s="37"/>
      <c r="L475" s="227"/>
      <c r="M475" s="227"/>
      <c r="N475" s="227"/>
      <c r="O475" s="228"/>
      <c r="P475" s="228"/>
    </row>
    <row r="476" spans="1:16" x14ac:dyDescent="0.35">
      <c r="A476" s="227"/>
      <c r="B476" s="227"/>
      <c r="C476" s="227"/>
      <c r="D476" s="307"/>
      <c r="E476" s="227"/>
      <c r="F476" s="304"/>
      <c r="G476" s="227"/>
      <c r="H476" s="309"/>
      <c r="I476" s="227"/>
      <c r="J476" s="227"/>
      <c r="K476" s="37"/>
      <c r="L476" s="227"/>
      <c r="M476" s="227"/>
      <c r="N476" s="227"/>
      <c r="O476" s="228"/>
      <c r="P476" s="228"/>
    </row>
    <row r="477" spans="1:16" x14ac:dyDescent="0.35">
      <c r="A477" s="227"/>
      <c r="B477" s="227"/>
      <c r="C477" s="227"/>
      <c r="D477" s="307"/>
      <c r="E477" s="227"/>
      <c r="F477" s="304"/>
      <c r="G477" s="227"/>
      <c r="H477" s="309"/>
      <c r="I477" s="227"/>
      <c r="J477" s="227"/>
      <c r="K477" s="37"/>
      <c r="L477" s="227"/>
      <c r="M477" s="227"/>
      <c r="N477" s="227"/>
      <c r="O477" s="228"/>
      <c r="P477" s="228"/>
    </row>
    <row r="478" spans="1:16" x14ac:dyDescent="0.35">
      <c r="A478" s="227"/>
      <c r="B478" s="227"/>
      <c r="C478" s="227"/>
      <c r="D478" s="307"/>
      <c r="E478" s="227"/>
      <c r="F478" s="304"/>
      <c r="G478" s="227"/>
      <c r="H478" s="309"/>
      <c r="I478" s="227"/>
      <c r="J478" s="227"/>
      <c r="K478" s="37"/>
      <c r="L478" s="227"/>
      <c r="M478" s="227"/>
      <c r="N478" s="227"/>
      <c r="O478" s="228"/>
      <c r="P478" s="228"/>
    </row>
    <row r="479" spans="1:16" x14ac:dyDescent="0.35">
      <c r="A479" s="227"/>
      <c r="B479" s="227"/>
      <c r="C479" s="227"/>
      <c r="D479" s="307"/>
      <c r="E479" s="227"/>
      <c r="F479" s="304"/>
      <c r="G479" s="227"/>
      <c r="H479" s="309"/>
      <c r="I479" s="227"/>
      <c r="J479" s="227"/>
      <c r="K479" s="37"/>
      <c r="L479" s="227"/>
      <c r="M479" s="227"/>
      <c r="N479" s="227"/>
      <c r="O479" s="228"/>
      <c r="P479" s="228"/>
    </row>
    <row r="480" spans="1:16" x14ac:dyDescent="0.35">
      <c r="A480" s="227"/>
      <c r="B480" s="227"/>
      <c r="C480" s="227"/>
      <c r="D480" s="307"/>
      <c r="E480" s="227"/>
      <c r="F480" s="304"/>
      <c r="G480" s="227"/>
      <c r="H480" s="309"/>
      <c r="I480" s="227"/>
      <c r="J480" s="227"/>
      <c r="K480" s="37"/>
      <c r="L480" s="227"/>
      <c r="M480" s="227"/>
      <c r="N480" s="227"/>
      <c r="O480" s="228"/>
      <c r="P480" s="228"/>
    </row>
    <row r="481" spans="1:16" x14ac:dyDescent="0.35">
      <c r="A481" s="227"/>
      <c r="B481" s="227"/>
      <c r="C481" s="227"/>
      <c r="D481" s="307"/>
      <c r="E481" s="227"/>
      <c r="F481" s="304"/>
      <c r="G481" s="227"/>
      <c r="H481" s="309"/>
      <c r="I481" s="227"/>
      <c r="J481" s="227"/>
      <c r="K481" s="37"/>
      <c r="L481" s="227"/>
      <c r="M481" s="227"/>
      <c r="N481" s="227"/>
      <c r="O481" s="228"/>
      <c r="P481" s="228"/>
    </row>
    <row r="482" spans="1:16" x14ac:dyDescent="0.35">
      <c r="A482" s="227"/>
      <c r="B482" s="227"/>
      <c r="C482" s="227"/>
      <c r="D482" s="307"/>
      <c r="E482" s="227"/>
      <c r="F482" s="304"/>
      <c r="G482" s="227"/>
      <c r="H482" s="309"/>
      <c r="I482" s="227"/>
      <c r="J482" s="227"/>
      <c r="K482" s="37"/>
      <c r="L482" s="227"/>
      <c r="M482" s="227"/>
      <c r="N482" s="227"/>
      <c r="O482" s="228"/>
      <c r="P482" s="228"/>
    </row>
    <row r="483" spans="1:16" x14ac:dyDescent="0.35">
      <c r="A483" s="227"/>
      <c r="B483" s="227"/>
      <c r="C483" s="227"/>
      <c r="D483" s="307"/>
      <c r="E483" s="227"/>
      <c r="F483" s="304"/>
      <c r="G483" s="227"/>
      <c r="H483" s="309"/>
      <c r="I483" s="227"/>
      <c r="J483" s="227"/>
      <c r="K483" s="37"/>
      <c r="L483" s="227"/>
      <c r="M483" s="227"/>
      <c r="N483" s="227"/>
      <c r="O483" s="228"/>
      <c r="P483" s="228"/>
    </row>
    <row r="484" spans="1:16" x14ac:dyDescent="0.35">
      <c r="A484" s="227"/>
      <c r="B484" s="227"/>
      <c r="C484" s="227"/>
      <c r="D484" s="307"/>
      <c r="E484" s="227"/>
      <c r="F484" s="304"/>
      <c r="G484" s="227"/>
      <c r="H484" s="309"/>
      <c r="I484" s="227"/>
      <c r="J484" s="227"/>
      <c r="K484" s="37"/>
      <c r="L484" s="227"/>
      <c r="M484" s="227"/>
      <c r="N484" s="227"/>
      <c r="O484" s="228"/>
      <c r="P484" s="228"/>
    </row>
    <row r="485" spans="1:16" x14ac:dyDescent="0.35">
      <c r="A485" s="227"/>
      <c r="B485" s="227"/>
      <c r="C485" s="227"/>
      <c r="D485" s="307"/>
      <c r="E485" s="227"/>
      <c r="F485" s="304"/>
      <c r="G485" s="227"/>
      <c r="H485" s="309"/>
      <c r="I485" s="227"/>
      <c r="J485" s="227"/>
      <c r="K485" s="37"/>
      <c r="L485" s="227"/>
      <c r="M485" s="227"/>
      <c r="N485" s="227"/>
      <c r="O485" s="228"/>
      <c r="P485" s="228"/>
    </row>
    <row r="486" spans="1:16" x14ac:dyDescent="0.35">
      <c r="A486" s="227"/>
      <c r="B486" s="227"/>
      <c r="C486" s="227"/>
      <c r="D486" s="307"/>
      <c r="E486" s="227"/>
      <c r="F486" s="304"/>
      <c r="G486" s="227"/>
      <c r="H486" s="309"/>
      <c r="I486" s="227"/>
      <c r="J486" s="227"/>
      <c r="K486" s="37"/>
      <c r="L486" s="227"/>
      <c r="M486" s="227"/>
      <c r="N486" s="227"/>
      <c r="O486" s="228"/>
      <c r="P486" s="228"/>
    </row>
    <row r="487" spans="1:16" x14ac:dyDescent="0.35">
      <c r="A487" s="227"/>
      <c r="B487" s="227"/>
      <c r="C487" s="227"/>
      <c r="D487" s="307"/>
      <c r="E487" s="227"/>
      <c r="F487" s="304"/>
      <c r="G487" s="227"/>
      <c r="H487" s="309"/>
      <c r="I487" s="227"/>
      <c r="J487" s="227"/>
      <c r="K487" s="37"/>
      <c r="L487" s="227"/>
      <c r="M487" s="227"/>
      <c r="N487" s="227"/>
      <c r="O487" s="228"/>
      <c r="P487" s="228"/>
    </row>
    <row r="488" spans="1:16" x14ac:dyDescent="0.35">
      <c r="A488" s="227"/>
      <c r="B488" s="227"/>
      <c r="C488" s="227"/>
      <c r="D488" s="307"/>
      <c r="E488" s="227"/>
      <c r="F488" s="304"/>
      <c r="G488" s="227"/>
      <c r="H488" s="309"/>
      <c r="I488" s="227"/>
      <c r="J488" s="227"/>
      <c r="K488" s="37"/>
      <c r="L488" s="227"/>
      <c r="M488" s="227"/>
      <c r="N488" s="227"/>
      <c r="O488" s="228"/>
      <c r="P488" s="228"/>
    </row>
    <row r="489" spans="1:16" x14ac:dyDescent="0.35">
      <c r="A489" s="227"/>
      <c r="B489" s="227"/>
      <c r="C489" s="227"/>
      <c r="D489" s="307"/>
      <c r="E489" s="227"/>
      <c r="F489" s="304"/>
      <c r="G489" s="227"/>
      <c r="H489" s="309"/>
      <c r="I489" s="227"/>
      <c r="J489" s="227"/>
      <c r="K489" s="37"/>
      <c r="L489" s="227"/>
      <c r="M489" s="227"/>
      <c r="N489" s="227"/>
      <c r="O489" s="228"/>
      <c r="P489" s="228"/>
    </row>
    <row r="490" spans="1:16" x14ac:dyDescent="0.35">
      <c r="A490" s="227"/>
      <c r="B490" s="227"/>
      <c r="C490" s="227"/>
      <c r="D490" s="307"/>
      <c r="E490" s="227"/>
      <c r="F490" s="304"/>
      <c r="G490" s="227"/>
      <c r="H490" s="309"/>
      <c r="I490" s="227"/>
      <c r="J490" s="227"/>
      <c r="K490" s="37"/>
      <c r="L490" s="227"/>
      <c r="M490" s="227"/>
      <c r="N490" s="227"/>
      <c r="O490" s="228"/>
      <c r="P490" s="228"/>
    </row>
    <row r="491" spans="1:16" x14ac:dyDescent="0.35">
      <c r="A491" s="227"/>
      <c r="B491" s="227"/>
      <c r="C491" s="227"/>
      <c r="D491" s="307"/>
      <c r="E491" s="227"/>
      <c r="F491" s="304"/>
      <c r="G491" s="227"/>
      <c r="H491" s="309"/>
      <c r="I491" s="227"/>
      <c r="J491" s="227"/>
      <c r="K491" s="37"/>
      <c r="L491" s="227"/>
      <c r="M491" s="227"/>
      <c r="N491" s="227"/>
      <c r="O491" s="228"/>
      <c r="P491" s="228"/>
    </row>
    <row r="492" spans="1:16" x14ac:dyDescent="0.35">
      <c r="A492" s="227"/>
      <c r="B492" s="227"/>
      <c r="C492" s="227"/>
      <c r="D492" s="307"/>
      <c r="E492" s="227"/>
      <c r="F492" s="304"/>
      <c r="G492" s="227"/>
      <c r="H492" s="309"/>
      <c r="I492" s="227"/>
      <c r="J492" s="227"/>
      <c r="K492" s="37"/>
      <c r="L492" s="227"/>
      <c r="M492" s="227"/>
      <c r="N492" s="227"/>
      <c r="O492" s="228"/>
      <c r="P492" s="228"/>
    </row>
    <row r="493" spans="1:16" x14ac:dyDescent="0.35">
      <c r="A493" s="227"/>
      <c r="B493" s="227"/>
      <c r="C493" s="227"/>
      <c r="D493" s="307"/>
      <c r="E493" s="227"/>
      <c r="F493" s="304"/>
      <c r="G493" s="227"/>
      <c r="H493" s="309"/>
      <c r="I493" s="227"/>
      <c r="J493" s="227"/>
      <c r="K493" s="37"/>
      <c r="L493" s="227"/>
      <c r="M493" s="227"/>
      <c r="N493" s="227"/>
      <c r="O493" s="228"/>
      <c r="P493" s="228"/>
    </row>
    <row r="494" spans="1:16" x14ac:dyDescent="0.35">
      <c r="A494" s="227"/>
      <c r="B494" s="227"/>
      <c r="C494" s="227"/>
      <c r="D494" s="307"/>
      <c r="E494" s="227"/>
      <c r="F494" s="304"/>
      <c r="G494" s="227"/>
      <c r="H494" s="309"/>
      <c r="I494" s="227"/>
      <c r="J494" s="227"/>
      <c r="K494" s="37"/>
      <c r="L494" s="227"/>
      <c r="M494" s="227"/>
      <c r="N494" s="227"/>
      <c r="O494" s="228"/>
      <c r="P494" s="228"/>
    </row>
    <row r="495" spans="1:16" x14ac:dyDescent="0.35">
      <c r="A495" s="227"/>
      <c r="B495" s="227"/>
      <c r="C495" s="227"/>
      <c r="D495" s="307"/>
      <c r="E495" s="227"/>
      <c r="F495" s="304"/>
      <c r="G495" s="227"/>
      <c r="H495" s="309"/>
      <c r="I495" s="227"/>
      <c r="J495" s="227"/>
      <c r="K495" s="37"/>
      <c r="L495" s="227"/>
      <c r="M495" s="227"/>
      <c r="N495" s="227"/>
      <c r="O495" s="228"/>
      <c r="P495" s="228"/>
    </row>
    <row r="496" spans="1:16" x14ac:dyDescent="0.35">
      <c r="A496" s="227"/>
      <c r="B496" s="227"/>
      <c r="C496" s="227"/>
      <c r="D496" s="307"/>
      <c r="E496" s="227"/>
      <c r="F496" s="304"/>
      <c r="G496" s="227"/>
      <c r="H496" s="309"/>
      <c r="I496" s="227"/>
      <c r="J496" s="227"/>
      <c r="K496" s="37"/>
      <c r="L496" s="227"/>
      <c r="M496" s="227"/>
      <c r="N496" s="227"/>
      <c r="O496" s="228"/>
      <c r="P496" s="228"/>
    </row>
    <row r="497" spans="1:16" x14ac:dyDescent="0.35">
      <c r="A497" s="227"/>
      <c r="B497" s="227"/>
      <c r="C497" s="227"/>
      <c r="D497" s="307"/>
      <c r="E497" s="227"/>
      <c r="F497" s="304"/>
      <c r="G497" s="227"/>
      <c r="H497" s="309"/>
      <c r="I497" s="227"/>
      <c r="J497" s="227"/>
      <c r="K497" s="37"/>
      <c r="L497" s="227"/>
      <c r="M497" s="227"/>
      <c r="N497" s="227"/>
      <c r="O497" s="228"/>
      <c r="P497" s="228"/>
    </row>
    <row r="498" spans="1:16" x14ac:dyDescent="0.35">
      <c r="A498" s="227"/>
      <c r="B498" s="227"/>
      <c r="C498" s="227"/>
      <c r="D498" s="307"/>
      <c r="E498" s="227"/>
      <c r="F498" s="304"/>
      <c r="G498" s="227"/>
      <c r="H498" s="309"/>
      <c r="I498" s="227"/>
      <c r="J498" s="227"/>
      <c r="K498" s="37"/>
      <c r="L498" s="227"/>
      <c r="M498" s="227"/>
      <c r="N498" s="227"/>
      <c r="O498" s="228"/>
      <c r="P498" s="228"/>
    </row>
    <row r="499" spans="1:16" x14ac:dyDescent="0.35">
      <c r="A499" s="227"/>
      <c r="B499" s="227"/>
      <c r="C499" s="227"/>
      <c r="D499" s="307"/>
      <c r="E499" s="227"/>
      <c r="F499" s="304"/>
      <c r="G499" s="227"/>
      <c r="H499" s="309"/>
      <c r="I499" s="227"/>
      <c r="J499" s="227"/>
      <c r="K499" s="37"/>
      <c r="L499" s="227"/>
      <c r="M499" s="227"/>
      <c r="N499" s="227"/>
      <c r="O499" s="228"/>
      <c r="P499" s="228"/>
    </row>
    <row r="500" spans="1:16" x14ac:dyDescent="0.35">
      <c r="A500" s="227"/>
      <c r="B500" s="227"/>
      <c r="C500" s="227"/>
      <c r="D500" s="307"/>
      <c r="E500" s="227"/>
      <c r="F500" s="304"/>
      <c r="G500" s="227"/>
      <c r="H500" s="309"/>
      <c r="I500" s="227"/>
      <c r="J500" s="227"/>
      <c r="K500" s="37"/>
      <c r="L500" s="227"/>
      <c r="M500" s="227"/>
      <c r="N500" s="227"/>
      <c r="O500" s="228"/>
      <c r="P500" s="228"/>
    </row>
    <row r="501" spans="1:16" x14ac:dyDescent="0.35">
      <c r="A501" s="227"/>
      <c r="B501" s="227"/>
      <c r="C501" s="227"/>
      <c r="D501" s="307"/>
      <c r="E501" s="227"/>
      <c r="F501" s="304"/>
      <c r="G501" s="227"/>
      <c r="H501" s="309"/>
      <c r="I501" s="227"/>
      <c r="J501" s="227"/>
      <c r="K501" s="37"/>
      <c r="L501" s="227"/>
      <c r="M501" s="227"/>
      <c r="N501" s="227"/>
      <c r="O501" s="228"/>
      <c r="P501" s="228"/>
    </row>
    <row r="502" spans="1:16" x14ac:dyDescent="0.35">
      <c r="A502" s="227"/>
      <c r="B502" s="227"/>
      <c r="C502" s="227"/>
      <c r="D502" s="307"/>
      <c r="E502" s="227"/>
      <c r="F502" s="304"/>
      <c r="G502" s="227"/>
      <c r="H502" s="309"/>
      <c r="I502" s="227"/>
      <c r="J502" s="227"/>
      <c r="K502" s="37"/>
      <c r="L502" s="227"/>
      <c r="M502" s="227"/>
      <c r="N502" s="227"/>
      <c r="O502" s="228"/>
      <c r="P502" s="228"/>
    </row>
    <row r="503" spans="1:16" x14ac:dyDescent="0.35">
      <c r="A503" s="227"/>
      <c r="B503" s="227"/>
      <c r="C503" s="227"/>
      <c r="D503" s="307"/>
      <c r="E503" s="227"/>
      <c r="F503" s="304"/>
      <c r="G503" s="227"/>
      <c r="H503" s="309"/>
      <c r="I503" s="227"/>
      <c r="J503" s="227"/>
      <c r="K503" s="37"/>
      <c r="L503" s="227"/>
      <c r="M503" s="227"/>
      <c r="N503" s="227"/>
      <c r="O503" s="228"/>
      <c r="P503" s="228"/>
    </row>
    <row r="504" spans="1:16" x14ac:dyDescent="0.35">
      <c r="A504" s="227"/>
      <c r="B504" s="227"/>
      <c r="C504" s="227"/>
      <c r="D504" s="307"/>
      <c r="E504" s="227"/>
      <c r="F504" s="304"/>
      <c r="G504" s="227"/>
      <c r="H504" s="309"/>
      <c r="I504" s="227"/>
      <c r="J504" s="227"/>
      <c r="K504" s="37"/>
      <c r="L504" s="227"/>
      <c r="M504" s="227"/>
      <c r="N504" s="227"/>
      <c r="O504" s="228"/>
      <c r="P504" s="228"/>
    </row>
    <row r="505" spans="1:16" x14ac:dyDescent="0.35">
      <c r="A505" s="227"/>
      <c r="B505" s="227"/>
      <c r="C505" s="227"/>
      <c r="D505" s="307"/>
      <c r="E505" s="227"/>
      <c r="F505" s="304"/>
      <c r="G505" s="227"/>
      <c r="H505" s="309"/>
      <c r="I505" s="227"/>
      <c r="J505" s="227"/>
      <c r="K505" s="37"/>
      <c r="L505" s="227"/>
      <c r="M505" s="227"/>
      <c r="N505" s="227"/>
      <c r="O505" s="228"/>
      <c r="P505" s="228"/>
    </row>
    <row r="506" spans="1:16" x14ac:dyDescent="0.35">
      <c r="A506" s="227"/>
      <c r="B506" s="227"/>
      <c r="C506" s="227"/>
      <c r="D506" s="307"/>
      <c r="E506" s="227"/>
      <c r="F506" s="304"/>
      <c r="G506" s="227"/>
      <c r="H506" s="309"/>
      <c r="I506" s="227"/>
      <c r="J506" s="227"/>
      <c r="K506" s="37"/>
      <c r="L506" s="227"/>
      <c r="M506" s="227"/>
      <c r="N506" s="227"/>
      <c r="O506" s="228"/>
      <c r="P506" s="228"/>
    </row>
    <row r="507" spans="1:16" x14ac:dyDescent="0.35">
      <c r="A507" s="227"/>
      <c r="B507" s="227"/>
      <c r="C507" s="227"/>
      <c r="D507" s="307"/>
      <c r="E507" s="227"/>
      <c r="F507" s="304"/>
      <c r="G507" s="227"/>
      <c r="H507" s="309"/>
      <c r="I507" s="227"/>
      <c r="J507" s="227"/>
      <c r="K507" s="37"/>
      <c r="L507" s="227"/>
      <c r="M507" s="227"/>
      <c r="N507" s="227"/>
      <c r="O507" s="228"/>
      <c r="P507" s="228"/>
    </row>
    <row r="508" spans="1:16" x14ac:dyDescent="0.35">
      <c r="A508" s="227"/>
      <c r="B508" s="227"/>
      <c r="C508" s="227"/>
      <c r="D508" s="307"/>
      <c r="E508" s="227"/>
      <c r="F508" s="304"/>
      <c r="G508" s="227"/>
      <c r="H508" s="309"/>
      <c r="I508" s="227"/>
      <c r="J508" s="227"/>
      <c r="K508" s="37"/>
      <c r="L508" s="227"/>
      <c r="M508" s="227"/>
      <c r="N508" s="227"/>
      <c r="O508" s="228"/>
      <c r="P508" s="228"/>
    </row>
    <row r="509" spans="1:16" x14ac:dyDescent="0.35">
      <c r="A509" s="227"/>
      <c r="B509" s="227"/>
      <c r="C509" s="227"/>
      <c r="D509" s="307"/>
      <c r="E509" s="227"/>
      <c r="F509" s="304"/>
      <c r="G509" s="227"/>
      <c r="H509" s="309"/>
      <c r="I509" s="227"/>
      <c r="J509" s="227"/>
      <c r="K509" s="37"/>
      <c r="L509" s="227"/>
      <c r="M509" s="227"/>
      <c r="N509" s="227"/>
      <c r="O509" s="228"/>
      <c r="P509" s="228"/>
    </row>
    <row r="510" spans="1:16" x14ac:dyDescent="0.35">
      <c r="A510" s="227"/>
      <c r="B510" s="227"/>
      <c r="C510" s="227"/>
      <c r="D510" s="307"/>
      <c r="E510" s="227"/>
      <c r="F510" s="304"/>
      <c r="G510" s="227"/>
      <c r="H510" s="309"/>
      <c r="I510" s="227"/>
      <c r="J510" s="227"/>
      <c r="K510" s="37"/>
      <c r="L510" s="227"/>
      <c r="M510" s="227"/>
      <c r="N510" s="227"/>
      <c r="O510" s="228"/>
      <c r="P510" s="228"/>
    </row>
    <row r="511" spans="1:16" x14ac:dyDescent="0.35">
      <c r="A511" s="227"/>
      <c r="B511" s="227"/>
      <c r="C511" s="227"/>
      <c r="D511" s="307"/>
      <c r="E511" s="227"/>
      <c r="F511" s="304"/>
      <c r="G511" s="227"/>
      <c r="H511" s="309"/>
      <c r="I511" s="227"/>
      <c r="J511" s="227"/>
      <c r="K511" s="37"/>
      <c r="L511" s="227"/>
      <c r="M511" s="227"/>
      <c r="N511" s="227"/>
      <c r="O511" s="228"/>
      <c r="P511" s="228"/>
    </row>
    <row r="512" spans="1:16" x14ac:dyDescent="0.35">
      <c r="A512" s="227"/>
      <c r="B512" s="227"/>
      <c r="C512" s="227"/>
      <c r="D512" s="307"/>
      <c r="E512" s="227"/>
      <c r="F512" s="304"/>
      <c r="G512" s="227"/>
      <c r="H512" s="309"/>
      <c r="I512" s="227"/>
      <c r="J512" s="227"/>
      <c r="K512" s="37"/>
      <c r="L512" s="227"/>
      <c r="M512" s="227"/>
      <c r="N512" s="227"/>
      <c r="O512" s="228"/>
      <c r="P512" s="228"/>
    </row>
    <row r="513" spans="1:16" x14ac:dyDescent="0.35">
      <c r="A513" s="227"/>
      <c r="B513" s="227"/>
      <c r="C513" s="227"/>
      <c r="D513" s="307"/>
      <c r="E513" s="227"/>
      <c r="F513" s="304"/>
      <c r="G513" s="227"/>
      <c r="H513" s="309"/>
      <c r="I513" s="227"/>
      <c r="J513" s="227"/>
      <c r="K513" s="37"/>
      <c r="L513" s="227"/>
      <c r="M513" s="227"/>
      <c r="N513" s="227"/>
      <c r="O513" s="228"/>
      <c r="P513" s="228"/>
    </row>
    <row r="514" spans="1:16" x14ac:dyDescent="0.35">
      <c r="A514" s="227"/>
      <c r="B514" s="227"/>
      <c r="C514" s="227"/>
      <c r="D514" s="307"/>
      <c r="E514" s="227"/>
      <c r="F514" s="304"/>
      <c r="G514" s="227"/>
      <c r="H514" s="309"/>
      <c r="I514" s="227"/>
      <c r="J514" s="227"/>
      <c r="K514" s="37"/>
      <c r="L514" s="227"/>
      <c r="M514" s="227"/>
      <c r="N514" s="227"/>
      <c r="O514" s="228"/>
      <c r="P514" s="228"/>
    </row>
    <row r="515" spans="1:16" x14ac:dyDescent="0.35">
      <c r="A515" s="227"/>
      <c r="B515" s="227"/>
      <c r="C515" s="227"/>
      <c r="D515" s="307"/>
      <c r="E515" s="227"/>
      <c r="F515" s="304"/>
      <c r="G515" s="227"/>
      <c r="H515" s="309"/>
      <c r="I515" s="227"/>
      <c r="J515" s="227"/>
      <c r="K515" s="37"/>
      <c r="L515" s="227"/>
      <c r="M515" s="227"/>
      <c r="N515" s="227"/>
      <c r="O515" s="228"/>
      <c r="P515" s="228"/>
    </row>
    <row r="516" spans="1:16" x14ac:dyDescent="0.35">
      <c r="A516" s="227"/>
      <c r="B516" s="227"/>
      <c r="C516" s="227"/>
      <c r="D516" s="307"/>
      <c r="E516" s="227"/>
      <c r="F516" s="304"/>
      <c r="G516" s="227"/>
      <c r="H516" s="309"/>
      <c r="I516" s="227"/>
      <c r="J516" s="227"/>
      <c r="K516" s="37"/>
      <c r="L516" s="227"/>
      <c r="M516" s="227"/>
      <c r="N516" s="227"/>
      <c r="O516" s="228"/>
      <c r="P516" s="228"/>
    </row>
    <row r="517" spans="1:16" x14ac:dyDescent="0.35">
      <c r="A517" s="227"/>
      <c r="B517" s="227"/>
      <c r="C517" s="227"/>
      <c r="D517" s="307"/>
      <c r="E517" s="227"/>
      <c r="F517" s="304"/>
      <c r="G517" s="227"/>
      <c r="H517" s="309"/>
      <c r="I517" s="227"/>
      <c r="J517" s="227"/>
      <c r="K517" s="37"/>
      <c r="L517" s="227"/>
      <c r="M517" s="227"/>
      <c r="N517" s="227"/>
      <c r="O517" s="228"/>
      <c r="P517" s="228"/>
    </row>
    <row r="518" spans="1:16" x14ac:dyDescent="0.35">
      <c r="A518" s="227"/>
      <c r="B518" s="227"/>
      <c r="C518" s="227"/>
      <c r="D518" s="307"/>
      <c r="E518" s="227"/>
      <c r="F518" s="304"/>
      <c r="G518" s="227"/>
      <c r="H518" s="309"/>
      <c r="I518" s="227"/>
      <c r="J518" s="227"/>
      <c r="K518" s="37"/>
      <c r="L518" s="227"/>
      <c r="M518" s="227"/>
      <c r="N518" s="227"/>
      <c r="O518" s="228"/>
      <c r="P518" s="228"/>
    </row>
    <row r="519" spans="1:16" x14ac:dyDescent="0.35">
      <c r="A519" s="227"/>
      <c r="B519" s="227"/>
      <c r="C519" s="227"/>
      <c r="D519" s="307"/>
      <c r="E519" s="227"/>
      <c r="F519" s="304"/>
      <c r="G519" s="227"/>
      <c r="H519" s="309"/>
      <c r="I519" s="227"/>
      <c r="J519" s="227"/>
      <c r="K519" s="37"/>
      <c r="L519" s="227"/>
      <c r="M519" s="227"/>
      <c r="N519" s="227"/>
      <c r="O519" s="228"/>
      <c r="P519" s="228"/>
    </row>
    <row r="520" spans="1:16" x14ac:dyDescent="0.35">
      <c r="A520" s="227"/>
      <c r="B520" s="227"/>
      <c r="C520" s="227"/>
      <c r="D520" s="307"/>
      <c r="E520" s="227"/>
      <c r="F520" s="304"/>
      <c r="G520" s="227"/>
      <c r="H520" s="309"/>
      <c r="I520" s="227"/>
      <c r="J520" s="227"/>
      <c r="K520" s="37"/>
      <c r="L520" s="227"/>
      <c r="M520" s="227"/>
      <c r="N520" s="227"/>
      <c r="O520" s="228"/>
      <c r="P520" s="228"/>
    </row>
    <row r="521" spans="1:16" x14ac:dyDescent="0.35">
      <c r="A521" s="227"/>
      <c r="B521" s="227"/>
      <c r="C521" s="227"/>
      <c r="D521" s="307"/>
      <c r="E521" s="227"/>
      <c r="F521" s="304"/>
      <c r="G521" s="227"/>
      <c r="H521" s="309"/>
      <c r="I521" s="227"/>
      <c r="J521" s="227"/>
      <c r="K521" s="37"/>
      <c r="L521" s="227"/>
      <c r="M521" s="227"/>
      <c r="N521" s="227"/>
      <c r="O521" s="228"/>
      <c r="P521" s="228"/>
    </row>
    <row r="522" spans="1:16" x14ac:dyDescent="0.35">
      <c r="A522" s="227"/>
      <c r="B522" s="227"/>
      <c r="C522" s="227"/>
      <c r="D522" s="307"/>
      <c r="E522" s="227"/>
      <c r="F522" s="304"/>
      <c r="G522" s="227"/>
      <c r="H522" s="309"/>
      <c r="I522" s="227"/>
      <c r="J522" s="227"/>
      <c r="K522" s="37"/>
      <c r="L522" s="227"/>
      <c r="M522" s="227"/>
      <c r="N522" s="227"/>
      <c r="O522" s="228"/>
      <c r="P522" s="228"/>
    </row>
    <row r="523" spans="1:16" x14ac:dyDescent="0.35">
      <c r="A523" s="227"/>
      <c r="B523" s="227"/>
      <c r="C523" s="227"/>
      <c r="D523" s="307"/>
      <c r="E523" s="227"/>
      <c r="F523" s="304"/>
      <c r="G523" s="227"/>
      <c r="H523" s="309"/>
      <c r="I523" s="227"/>
      <c r="J523" s="227"/>
      <c r="K523" s="37"/>
      <c r="L523" s="227"/>
      <c r="M523" s="227"/>
      <c r="N523" s="227"/>
      <c r="O523" s="228"/>
      <c r="P523" s="228"/>
    </row>
    <row r="524" spans="1:16" x14ac:dyDescent="0.35">
      <c r="A524" s="227"/>
      <c r="B524" s="227"/>
      <c r="C524" s="227"/>
      <c r="D524" s="307"/>
      <c r="E524" s="227"/>
      <c r="F524" s="304"/>
      <c r="G524" s="227"/>
      <c r="H524" s="309"/>
      <c r="I524" s="227"/>
      <c r="J524" s="227"/>
      <c r="K524" s="37"/>
      <c r="L524" s="227"/>
      <c r="M524" s="227"/>
      <c r="N524" s="227"/>
      <c r="O524" s="228"/>
      <c r="P524" s="228"/>
    </row>
    <row r="525" spans="1:16" x14ac:dyDescent="0.35">
      <c r="A525" s="227"/>
      <c r="B525" s="227"/>
      <c r="C525" s="227"/>
      <c r="D525" s="307"/>
      <c r="E525" s="227"/>
      <c r="F525" s="304"/>
      <c r="G525" s="227"/>
      <c r="H525" s="309"/>
      <c r="I525" s="227"/>
      <c r="J525" s="227"/>
      <c r="K525" s="37"/>
      <c r="L525" s="227"/>
      <c r="M525" s="227"/>
      <c r="N525" s="227"/>
      <c r="O525" s="228"/>
      <c r="P525" s="228"/>
    </row>
    <row r="526" spans="1:16" x14ac:dyDescent="0.35">
      <c r="A526" s="227"/>
      <c r="B526" s="227"/>
      <c r="C526" s="227"/>
      <c r="D526" s="307"/>
      <c r="E526" s="227"/>
      <c r="F526" s="304"/>
      <c r="G526" s="227"/>
      <c r="H526" s="309"/>
      <c r="I526" s="227"/>
      <c r="J526" s="227"/>
      <c r="K526" s="37"/>
      <c r="L526" s="227"/>
      <c r="M526" s="227"/>
      <c r="N526" s="227"/>
      <c r="O526" s="228"/>
      <c r="P526" s="228"/>
    </row>
    <row r="527" spans="1:16" x14ac:dyDescent="0.35">
      <c r="A527" s="227"/>
      <c r="B527" s="227"/>
      <c r="C527" s="227"/>
      <c r="D527" s="307"/>
      <c r="E527" s="227"/>
      <c r="F527" s="304"/>
      <c r="G527" s="227"/>
      <c r="H527" s="309"/>
      <c r="I527" s="227"/>
      <c r="J527" s="227"/>
      <c r="K527" s="37"/>
      <c r="L527" s="227"/>
      <c r="M527" s="227"/>
      <c r="N527" s="227"/>
      <c r="O527" s="228"/>
      <c r="P527" s="228"/>
    </row>
    <row r="528" spans="1:16" x14ac:dyDescent="0.35">
      <c r="A528" s="227"/>
      <c r="B528" s="227"/>
      <c r="C528" s="227"/>
      <c r="D528" s="307"/>
      <c r="E528" s="227"/>
      <c r="F528" s="304"/>
      <c r="G528" s="227"/>
      <c r="H528" s="309"/>
      <c r="I528" s="227"/>
      <c r="J528" s="227"/>
      <c r="K528" s="37"/>
      <c r="L528" s="227"/>
      <c r="M528" s="227"/>
      <c r="N528" s="227"/>
      <c r="O528" s="228"/>
      <c r="P528" s="228"/>
    </row>
    <row r="529" spans="1:16" x14ac:dyDescent="0.35">
      <c r="A529" s="227"/>
      <c r="B529" s="227"/>
      <c r="C529" s="227"/>
      <c r="D529" s="307"/>
      <c r="E529" s="227"/>
      <c r="F529" s="304"/>
      <c r="G529" s="227"/>
      <c r="H529" s="309"/>
      <c r="I529" s="227"/>
      <c r="J529" s="227"/>
      <c r="K529" s="37"/>
      <c r="L529" s="227"/>
      <c r="M529" s="227"/>
      <c r="N529" s="227"/>
      <c r="O529" s="228"/>
      <c r="P529" s="228"/>
    </row>
    <row r="530" spans="1:16" x14ac:dyDescent="0.35">
      <c r="A530" s="227"/>
      <c r="B530" s="227"/>
      <c r="C530" s="227"/>
      <c r="D530" s="307"/>
      <c r="E530" s="227"/>
      <c r="F530" s="304"/>
      <c r="G530" s="227"/>
      <c r="H530" s="309"/>
      <c r="I530" s="227"/>
      <c r="J530" s="227"/>
      <c r="K530" s="37"/>
      <c r="L530" s="227"/>
      <c r="M530" s="227"/>
      <c r="N530" s="227"/>
      <c r="O530" s="228"/>
      <c r="P530" s="228"/>
    </row>
    <row r="531" spans="1:16" x14ac:dyDescent="0.35">
      <c r="A531" s="227"/>
      <c r="B531" s="227"/>
      <c r="C531" s="227"/>
      <c r="D531" s="307"/>
      <c r="E531" s="227"/>
      <c r="F531" s="304"/>
      <c r="G531" s="227"/>
      <c r="H531" s="309"/>
      <c r="I531" s="227"/>
      <c r="J531" s="227"/>
      <c r="K531" s="37"/>
      <c r="L531" s="227"/>
      <c r="M531" s="227"/>
      <c r="N531" s="227"/>
      <c r="O531" s="228"/>
      <c r="P531" s="228"/>
    </row>
    <row r="532" spans="1:16" x14ac:dyDescent="0.35">
      <c r="A532" s="227"/>
      <c r="B532" s="227"/>
      <c r="C532" s="227"/>
      <c r="D532" s="307"/>
      <c r="E532" s="227"/>
      <c r="F532" s="304"/>
      <c r="G532" s="227"/>
      <c r="H532" s="309"/>
      <c r="I532" s="227"/>
      <c r="J532" s="227"/>
      <c r="K532" s="37"/>
      <c r="L532" s="227"/>
      <c r="M532" s="227"/>
      <c r="N532" s="227"/>
      <c r="O532" s="228"/>
      <c r="P532" s="228"/>
    </row>
    <row r="533" spans="1:16" x14ac:dyDescent="0.35">
      <c r="A533" s="227"/>
      <c r="B533" s="227"/>
      <c r="C533" s="227"/>
      <c r="D533" s="307"/>
      <c r="E533" s="227"/>
      <c r="F533" s="304"/>
      <c r="G533" s="227"/>
      <c r="H533" s="309"/>
      <c r="I533" s="227"/>
      <c r="J533" s="227"/>
      <c r="K533" s="37"/>
      <c r="L533" s="227"/>
      <c r="M533" s="227"/>
      <c r="N533" s="227"/>
      <c r="O533" s="228"/>
      <c r="P533" s="228"/>
    </row>
    <row r="534" spans="1:16" x14ac:dyDescent="0.35">
      <c r="A534" s="227"/>
      <c r="B534" s="227"/>
      <c r="C534" s="227"/>
      <c r="D534" s="307"/>
      <c r="E534" s="227"/>
      <c r="F534" s="304"/>
      <c r="G534" s="227"/>
      <c r="H534" s="309"/>
      <c r="I534" s="227"/>
      <c r="J534" s="227"/>
      <c r="K534" s="37"/>
      <c r="L534" s="227"/>
      <c r="M534" s="227"/>
      <c r="N534" s="227"/>
      <c r="O534" s="228"/>
      <c r="P534" s="228"/>
    </row>
    <row r="535" spans="1:16" x14ac:dyDescent="0.35">
      <c r="A535" s="227"/>
      <c r="B535" s="227"/>
      <c r="C535" s="227"/>
      <c r="D535" s="307"/>
      <c r="E535" s="227"/>
      <c r="F535" s="304"/>
      <c r="G535" s="227"/>
      <c r="H535" s="309"/>
      <c r="I535" s="227"/>
      <c r="J535" s="227"/>
      <c r="K535" s="37"/>
      <c r="L535" s="227"/>
      <c r="M535" s="227"/>
      <c r="N535" s="227"/>
      <c r="O535" s="228"/>
      <c r="P535" s="228"/>
    </row>
    <row r="536" spans="1:16" x14ac:dyDescent="0.35">
      <c r="A536" s="227"/>
      <c r="B536" s="227"/>
      <c r="C536" s="227"/>
      <c r="D536" s="307"/>
      <c r="E536" s="227"/>
      <c r="F536" s="304"/>
      <c r="G536" s="227"/>
      <c r="H536" s="309"/>
      <c r="I536" s="227"/>
      <c r="J536" s="227"/>
      <c r="K536" s="37"/>
      <c r="L536" s="227"/>
      <c r="M536" s="227"/>
      <c r="N536" s="227"/>
      <c r="O536" s="228"/>
      <c r="P536" s="228"/>
    </row>
    <row r="537" spans="1:16" x14ac:dyDescent="0.35">
      <c r="A537" s="227"/>
      <c r="B537" s="227"/>
      <c r="C537" s="227"/>
      <c r="D537" s="307"/>
      <c r="E537" s="227"/>
      <c r="F537" s="304"/>
      <c r="G537" s="227"/>
      <c r="H537" s="309"/>
      <c r="I537" s="227"/>
      <c r="J537" s="227"/>
      <c r="K537" s="37"/>
      <c r="L537" s="227"/>
      <c r="M537" s="227"/>
      <c r="N537" s="227"/>
      <c r="O537" s="228"/>
      <c r="P537" s="228"/>
    </row>
    <row r="538" spans="1:16" x14ac:dyDescent="0.35">
      <c r="A538" s="227"/>
      <c r="B538" s="227"/>
      <c r="C538" s="227"/>
      <c r="D538" s="307"/>
      <c r="E538" s="227"/>
      <c r="F538" s="304"/>
      <c r="G538" s="227"/>
      <c r="H538" s="309"/>
      <c r="I538" s="227"/>
      <c r="J538" s="227"/>
      <c r="K538" s="37"/>
      <c r="L538" s="227"/>
      <c r="M538" s="227"/>
      <c r="N538" s="227"/>
      <c r="O538" s="228"/>
      <c r="P538" s="228"/>
    </row>
    <row r="539" spans="1:16" x14ac:dyDescent="0.35">
      <c r="A539" s="227"/>
      <c r="B539" s="227"/>
      <c r="C539" s="227"/>
      <c r="D539" s="307"/>
      <c r="E539" s="227"/>
      <c r="F539" s="304"/>
      <c r="G539" s="227"/>
      <c r="H539" s="309"/>
      <c r="I539" s="227"/>
      <c r="J539" s="227"/>
      <c r="K539" s="37"/>
      <c r="L539" s="227"/>
      <c r="M539" s="227"/>
      <c r="N539" s="227"/>
      <c r="O539" s="228"/>
      <c r="P539" s="228"/>
    </row>
    <row r="540" spans="1:16" x14ac:dyDescent="0.35">
      <c r="A540" s="227"/>
      <c r="B540" s="227"/>
      <c r="C540" s="227"/>
      <c r="D540" s="307"/>
      <c r="E540" s="227"/>
      <c r="F540" s="304"/>
      <c r="G540" s="227"/>
      <c r="H540" s="309"/>
      <c r="I540" s="227"/>
      <c r="J540" s="227"/>
      <c r="K540" s="37"/>
      <c r="L540" s="227"/>
      <c r="M540" s="227"/>
      <c r="N540" s="227"/>
      <c r="O540" s="228"/>
      <c r="P540" s="228"/>
    </row>
    <row r="541" spans="1:16" x14ac:dyDescent="0.35">
      <c r="A541" s="227"/>
      <c r="B541" s="227"/>
      <c r="C541" s="227"/>
      <c r="D541" s="307"/>
      <c r="E541" s="227"/>
      <c r="F541" s="304"/>
      <c r="G541" s="227"/>
      <c r="H541" s="309"/>
      <c r="I541" s="227"/>
      <c r="J541" s="227"/>
      <c r="K541" s="37"/>
      <c r="L541" s="227"/>
      <c r="M541" s="227"/>
      <c r="N541" s="227"/>
      <c r="O541" s="228"/>
      <c r="P541" s="228"/>
    </row>
    <row r="542" spans="1:16" x14ac:dyDescent="0.35">
      <c r="A542" s="227"/>
      <c r="B542" s="227"/>
      <c r="C542" s="227"/>
      <c r="D542" s="307"/>
      <c r="E542" s="227"/>
      <c r="F542" s="304"/>
      <c r="G542" s="227"/>
      <c r="H542" s="309"/>
      <c r="I542" s="227"/>
      <c r="J542" s="227"/>
      <c r="K542" s="37"/>
      <c r="L542" s="227"/>
      <c r="M542" s="227"/>
      <c r="N542" s="227"/>
      <c r="O542" s="228"/>
      <c r="P542" s="228"/>
    </row>
    <row r="543" spans="1:16" x14ac:dyDescent="0.35">
      <c r="A543" s="227"/>
      <c r="B543" s="227"/>
      <c r="C543" s="227"/>
      <c r="D543" s="307"/>
      <c r="E543" s="227"/>
      <c r="F543" s="304"/>
      <c r="G543" s="227"/>
      <c r="H543" s="309"/>
      <c r="I543" s="227"/>
      <c r="J543" s="227"/>
      <c r="K543" s="37"/>
      <c r="L543" s="227"/>
      <c r="M543" s="227"/>
      <c r="N543" s="227"/>
      <c r="O543" s="228"/>
      <c r="P543" s="228"/>
    </row>
    <row r="544" spans="1:16" x14ac:dyDescent="0.35">
      <c r="A544" s="227"/>
      <c r="B544" s="227"/>
      <c r="C544" s="227"/>
      <c r="D544" s="307"/>
      <c r="E544" s="227"/>
      <c r="F544" s="304"/>
      <c r="G544" s="227"/>
      <c r="H544" s="309"/>
      <c r="I544" s="227"/>
      <c r="J544" s="227"/>
      <c r="K544" s="37"/>
      <c r="L544" s="227"/>
      <c r="M544" s="227"/>
      <c r="N544" s="227"/>
      <c r="O544" s="228"/>
      <c r="P544" s="228"/>
    </row>
    <row r="545" spans="1:16" x14ac:dyDescent="0.35">
      <c r="A545" s="227"/>
      <c r="B545" s="227"/>
      <c r="C545" s="227"/>
      <c r="D545" s="307"/>
      <c r="E545" s="227"/>
      <c r="F545" s="304"/>
      <c r="G545" s="227"/>
      <c r="H545" s="309"/>
      <c r="I545" s="227"/>
      <c r="J545" s="227"/>
      <c r="K545" s="37"/>
      <c r="L545" s="227"/>
      <c r="M545" s="227"/>
      <c r="N545" s="227"/>
      <c r="O545" s="228"/>
      <c r="P545" s="228"/>
    </row>
    <row r="546" spans="1:16" x14ac:dyDescent="0.35">
      <c r="A546" s="227"/>
      <c r="B546" s="227"/>
      <c r="C546" s="227"/>
      <c r="D546" s="307"/>
      <c r="E546" s="227"/>
      <c r="F546" s="304"/>
      <c r="G546" s="227"/>
      <c r="H546" s="309"/>
      <c r="I546" s="227"/>
      <c r="J546" s="227"/>
      <c r="K546" s="37"/>
      <c r="L546" s="227"/>
      <c r="M546" s="227"/>
      <c r="N546" s="227"/>
      <c r="O546" s="228"/>
      <c r="P546" s="228"/>
    </row>
    <row r="547" spans="1:16" x14ac:dyDescent="0.35">
      <c r="A547" s="227"/>
      <c r="B547" s="227"/>
      <c r="C547" s="227"/>
      <c r="D547" s="307"/>
      <c r="E547" s="227"/>
      <c r="F547" s="304"/>
      <c r="G547" s="227"/>
      <c r="H547" s="309"/>
      <c r="I547" s="227"/>
      <c r="J547" s="227"/>
      <c r="K547" s="37"/>
      <c r="L547" s="227"/>
      <c r="M547" s="227"/>
      <c r="N547" s="227"/>
      <c r="O547" s="228"/>
      <c r="P547" s="228"/>
    </row>
    <row r="548" spans="1:16" x14ac:dyDescent="0.35">
      <c r="A548" s="227"/>
      <c r="B548" s="227"/>
      <c r="C548" s="227"/>
      <c r="D548" s="307"/>
      <c r="E548" s="227"/>
      <c r="F548" s="304"/>
      <c r="G548" s="227"/>
      <c r="H548" s="309"/>
      <c r="I548" s="227"/>
      <c r="J548" s="227"/>
      <c r="K548" s="37"/>
      <c r="L548" s="227"/>
      <c r="M548" s="227"/>
      <c r="N548" s="227"/>
      <c r="O548" s="228"/>
      <c r="P548" s="228"/>
    </row>
    <row r="549" spans="1:16" x14ac:dyDescent="0.35">
      <c r="A549" s="227"/>
      <c r="B549" s="227"/>
      <c r="C549" s="227"/>
      <c r="D549" s="307"/>
      <c r="E549" s="227"/>
      <c r="F549" s="304"/>
      <c r="G549" s="227"/>
      <c r="H549" s="309"/>
      <c r="I549" s="227"/>
      <c r="J549" s="227"/>
      <c r="K549" s="37"/>
      <c r="L549" s="227"/>
      <c r="M549" s="227"/>
      <c r="N549" s="227"/>
      <c r="O549" s="228"/>
      <c r="P549" s="228"/>
    </row>
    <row r="550" spans="1:16" x14ac:dyDescent="0.35">
      <c r="A550" s="227"/>
      <c r="B550" s="227"/>
      <c r="C550" s="227"/>
      <c r="D550" s="307"/>
      <c r="E550" s="227"/>
      <c r="F550" s="304"/>
      <c r="G550" s="227"/>
      <c r="H550" s="309"/>
      <c r="I550" s="227"/>
      <c r="J550" s="227"/>
      <c r="K550" s="37"/>
      <c r="L550" s="227"/>
      <c r="M550" s="227"/>
      <c r="N550" s="227"/>
      <c r="O550" s="228"/>
      <c r="P550" s="228"/>
    </row>
    <row r="551" spans="1:16" x14ac:dyDescent="0.35">
      <c r="A551" s="227"/>
      <c r="B551" s="227"/>
      <c r="C551" s="227"/>
      <c r="D551" s="307"/>
      <c r="E551" s="227"/>
      <c r="F551" s="304"/>
      <c r="G551" s="227"/>
      <c r="H551" s="309"/>
      <c r="I551" s="227"/>
      <c r="J551" s="227"/>
      <c r="K551" s="37"/>
      <c r="L551" s="227"/>
      <c r="M551" s="227"/>
      <c r="N551" s="227"/>
      <c r="O551" s="228"/>
      <c r="P551" s="228"/>
    </row>
    <row r="552" spans="1:16" x14ac:dyDescent="0.35">
      <c r="A552" s="227"/>
      <c r="B552" s="227"/>
      <c r="C552" s="227"/>
      <c r="D552" s="307"/>
      <c r="E552" s="227"/>
      <c r="F552" s="304"/>
      <c r="G552" s="227"/>
      <c r="H552" s="309"/>
      <c r="I552" s="227"/>
      <c r="J552" s="227"/>
      <c r="K552" s="37"/>
      <c r="L552" s="227"/>
      <c r="M552" s="227"/>
      <c r="N552" s="227"/>
      <c r="O552" s="228"/>
      <c r="P552" s="228"/>
    </row>
    <row r="553" spans="1:16" x14ac:dyDescent="0.35">
      <c r="A553" s="227"/>
      <c r="B553" s="227"/>
      <c r="C553" s="227"/>
      <c r="D553" s="307"/>
      <c r="E553" s="227"/>
      <c r="F553" s="304"/>
      <c r="G553" s="227"/>
      <c r="H553" s="309"/>
      <c r="I553" s="227"/>
      <c r="J553" s="227"/>
      <c r="K553" s="37"/>
      <c r="L553" s="227"/>
      <c r="M553" s="227"/>
      <c r="N553" s="227"/>
      <c r="O553" s="228"/>
      <c r="P553" s="228"/>
    </row>
    <row r="554" spans="1:16" x14ac:dyDescent="0.35">
      <c r="A554" s="227"/>
      <c r="B554" s="227"/>
      <c r="C554" s="227"/>
      <c r="D554" s="307"/>
      <c r="E554" s="227"/>
      <c r="F554" s="304"/>
      <c r="G554" s="227"/>
      <c r="H554" s="309"/>
      <c r="I554" s="227"/>
      <c r="J554" s="227"/>
      <c r="K554" s="37"/>
      <c r="L554" s="227"/>
      <c r="M554" s="227"/>
      <c r="N554" s="227"/>
      <c r="O554" s="228"/>
      <c r="P554" s="228"/>
    </row>
    <row r="555" spans="1:16" x14ac:dyDescent="0.35">
      <c r="A555" s="227"/>
      <c r="B555" s="227"/>
      <c r="C555" s="227"/>
      <c r="D555" s="307"/>
      <c r="E555" s="227"/>
      <c r="F555" s="304"/>
      <c r="G555" s="227"/>
      <c r="H555" s="309"/>
      <c r="I555" s="227"/>
      <c r="J555" s="227"/>
      <c r="K555" s="37"/>
      <c r="L555" s="227"/>
      <c r="M555" s="227"/>
      <c r="N555" s="227"/>
      <c r="O555" s="228"/>
      <c r="P555" s="228"/>
    </row>
    <row r="556" spans="1:16" x14ac:dyDescent="0.35">
      <c r="A556" s="227"/>
      <c r="B556" s="227"/>
      <c r="C556" s="227"/>
      <c r="D556" s="307"/>
      <c r="E556" s="227"/>
      <c r="F556" s="304"/>
      <c r="G556" s="227"/>
      <c r="H556" s="309"/>
      <c r="I556" s="227"/>
      <c r="J556" s="227"/>
      <c r="K556" s="37"/>
      <c r="L556" s="227"/>
      <c r="M556" s="227"/>
      <c r="N556" s="227"/>
      <c r="O556" s="228"/>
      <c r="P556" s="228"/>
    </row>
    <row r="557" spans="1:16" x14ac:dyDescent="0.35">
      <c r="A557" s="227"/>
      <c r="B557" s="227"/>
      <c r="C557" s="227"/>
      <c r="D557" s="307"/>
      <c r="E557" s="227"/>
      <c r="F557" s="304"/>
      <c r="G557" s="227"/>
      <c r="H557" s="309"/>
      <c r="I557" s="227"/>
      <c r="J557" s="227"/>
      <c r="K557" s="37"/>
      <c r="L557" s="227"/>
      <c r="M557" s="227"/>
      <c r="N557" s="227"/>
      <c r="O557" s="228"/>
      <c r="P557" s="228"/>
    </row>
    <row r="558" spans="1:16" x14ac:dyDescent="0.35">
      <c r="A558" s="227"/>
      <c r="B558" s="227"/>
      <c r="C558" s="227"/>
      <c r="D558" s="307"/>
      <c r="E558" s="227"/>
      <c r="F558" s="304"/>
      <c r="G558" s="227"/>
      <c r="H558" s="309"/>
      <c r="I558" s="227"/>
      <c r="J558" s="227"/>
      <c r="K558" s="37"/>
      <c r="L558" s="227"/>
      <c r="M558" s="227"/>
      <c r="N558" s="227"/>
      <c r="O558" s="228"/>
      <c r="P558" s="228"/>
    </row>
    <row r="559" spans="1:16" x14ac:dyDescent="0.35">
      <c r="A559" s="227"/>
      <c r="B559" s="227"/>
      <c r="C559" s="227"/>
      <c r="D559" s="307"/>
      <c r="E559" s="227"/>
      <c r="F559" s="304"/>
      <c r="G559" s="227"/>
      <c r="H559" s="309"/>
      <c r="I559" s="227"/>
      <c r="J559" s="227"/>
      <c r="K559" s="37"/>
      <c r="L559" s="227"/>
      <c r="M559" s="227"/>
      <c r="N559" s="227"/>
      <c r="O559" s="228"/>
      <c r="P559" s="228"/>
    </row>
    <row r="560" spans="1:16" x14ac:dyDescent="0.35">
      <c r="A560" s="227"/>
      <c r="B560" s="227"/>
      <c r="C560" s="227"/>
      <c r="D560" s="307"/>
      <c r="E560" s="227"/>
      <c r="F560" s="304"/>
      <c r="G560" s="227"/>
      <c r="H560" s="309"/>
      <c r="I560" s="227"/>
      <c r="J560" s="227"/>
      <c r="K560" s="37"/>
      <c r="L560" s="227"/>
      <c r="M560" s="227"/>
      <c r="N560" s="227"/>
      <c r="O560" s="228"/>
      <c r="P560" s="228"/>
    </row>
    <row r="561" spans="1:16" x14ac:dyDescent="0.35">
      <c r="A561" s="227"/>
      <c r="B561" s="227"/>
      <c r="C561" s="227"/>
      <c r="D561" s="307"/>
      <c r="E561" s="227"/>
      <c r="F561" s="304"/>
      <c r="G561" s="227"/>
      <c r="H561" s="309"/>
      <c r="I561" s="227"/>
      <c r="J561" s="227"/>
      <c r="K561" s="37"/>
      <c r="L561" s="227"/>
      <c r="M561" s="227"/>
      <c r="N561" s="227"/>
      <c r="O561" s="228"/>
      <c r="P561" s="228"/>
    </row>
    <row r="562" spans="1:16" x14ac:dyDescent="0.35">
      <c r="A562" s="227"/>
      <c r="B562" s="227"/>
      <c r="C562" s="227"/>
      <c r="D562" s="307"/>
      <c r="E562" s="227"/>
      <c r="F562" s="304"/>
      <c r="G562" s="227"/>
      <c r="H562" s="309"/>
      <c r="I562" s="227"/>
      <c r="J562" s="227"/>
      <c r="K562" s="37"/>
      <c r="L562" s="227"/>
      <c r="M562" s="227"/>
      <c r="N562" s="227"/>
      <c r="O562" s="228"/>
      <c r="P562" s="228"/>
    </row>
    <row r="563" spans="1:16" x14ac:dyDescent="0.35">
      <c r="A563" s="227"/>
      <c r="B563" s="227"/>
      <c r="C563" s="227"/>
      <c r="D563" s="307"/>
      <c r="E563" s="227"/>
      <c r="F563" s="304"/>
      <c r="G563" s="227"/>
      <c r="H563" s="309"/>
      <c r="I563" s="227"/>
      <c r="J563" s="227"/>
      <c r="K563" s="37"/>
      <c r="L563" s="227"/>
      <c r="M563" s="227"/>
      <c r="N563" s="227"/>
      <c r="O563" s="228"/>
      <c r="P563" s="228"/>
    </row>
    <row r="564" spans="1:16" x14ac:dyDescent="0.35">
      <c r="A564" s="227"/>
      <c r="B564" s="227"/>
      <c r="C564" s="227"/>
      <c r="D564" s="307"/>
      <c r="E564" s="227"/>
      <c r="F564" s="304"/>
      <c r="G564" s="227"/>
      <c r="H564" s="309"/>
      <c r="I564" s="227"/>
      <c r="J564" s="227"/>
      <c r="K564" s="37"/>
      <c r="L564" s="227"/>
      <c r="M564" s="227"/>
      <c r="N564" s="227"/>
      <c r="O564" s="228"/>
      <c r="P564" s="228"/>
    </row>
    <row r="565" spans="1:16" x14ac:dyDescent="0.35">
      <c r="A565" s="227"/>
      <c r="B565" s="227"/>
      <c r="C565" s="227"/>
      <c r="D565" s="307"/>
      <c r="E565" s="227"/>
      <c r="F565" s="304"/>
      <c r="G565" s="227"/>
      <c r="H565" s="309"/>
      <c r="I565" s="227"/>
      <c r="J565" s="227"/>
      <c r="K565" s="37"/>
      <c r="L565" s="227"/>
      <c r="M565" s="227"/>
      <c r="N565" s="227"/>
      <c r="O565" s="228"/>
      <c r="P565" s="228"/>
    </row>
    <row r="566" spans="1:16" x14ac:dyDescent="0.35">
      <c r="A566" s="227"/>
      <c r="B566" s="227"/>
      <c r="C566" s="227"/>
      <c r="D566" s="307"/>
      <c r="E566" s="227"/>
      <c r="F566" s="304"/>
      <c r="G566" s="227"/>
      <c r="H566" s="309"/>
      <c r="I566" s="227"/>
      <c r="J566" s="227"/>
      <c r="K566" s="37"/>
      <c r="L566" s="227"/>
      <c r="M566" s="227"/>
      <c r="N566" s="227"/>
      <c r="O566" s="228"/>
      <c r="P566" s="228"/>
    </row>
    <row r="567" spans="1:16" x14ac:dyDescent="0.35">
      <c r="A567" s="227"/>
      <c r="B567" s="227"/>
      <c r="C567" s="227"/>
      <c r="D567" s="307"/>
      <c r="E567" s="227"/>
      <c r="F567" s="304"/>
      <c r="G567" s="227"/>
      <c r="H567" s="309"/>
      <c r="I567" s="227"/>
      <c r="J567" s="227"/>
      <c r="K567" s="37"/>
      <c r="L567" s="227"/>
      <c r="M567" s="227"/>
      <c r="N567" s="227"/>
      <c r="O567" s="228"/>
      <c r="P567" s="228"/>
    </row>
    <row r="568" spans="1:16" x14ac:dyDescent="0.35">
      <c r="A568" s="227"/>
      <c r="B568" s="227"/>
      <c r="C568" s="227"/>
      <c r="D568" s="307"/>
      <c r="E568" s="227"/>
      <c r="F568" s="304"/>
      <c r="G568" s="227"/>
      <c r="H568" s="309"/>
      <c r="I568" s="227"/>
      <c r="J568" s="227"/>
      <c r="K568" s="37"/>
      <c r="L568" s="227"/>
      <c r="M568" s="227"/>
      <c r="N568" s="227"/>
      <c r="O568" s="228"/>
      <c r="P568" s="228"/>
    </row>
    <row r="569" spans="1:16" x14ac:dyDescent="0.35">
      <c r="A569" s="227"/>
      <c r="B569" s="227"/>
      <c r="C569" s="227"/>
      <c r="D569" s="307"/>
      <c r="E569" s="227"/>
      <c r="F569" s="304"/>
      <c r="G569" s="227"/>
      <c r="H569" s="309"/>
      <c r="I569" s="227"/>
      <c r="J569" s="227"/>
      <c r="K569" s="37"/>
      <c r="L569" s="227"/>
      <c r="M569" s="227"/>
      <c r="N569" s="227"/>
      <c r="O569" s="228"/>
      <c r="P569" s="228"/>
    </row>
    <row r="570" spans="1:16" x14ac:dyDescent="0.35">
      <c r="A570" s="227"/>
      <c r="B570" s="227"/>
      <c r="C570" s="227"/>
      <c r="D570" s="307"/>
      <c r="E570" s="227"/>
      <c r="F570" s="304"/>
      <c r="G570" s="227"/>
      <c r="H570" s="309"/>
      <c r="I570" s="227"/>
      <c r="J570" s="227"/>
      <c r="K570" s="37"/>
      <c r="L570" s="227"/>
      <c r="M570" s="227"/>
      <c r="N570" s="227"/>
      <c r="O570" s="228"/>
      <c r="P570" s="228"/>
    </row>
    <row r="571" spans="1:16" x14ac:dyDescent="0.35">
      <c r="A571" s="227"/>
      <c r="B571" s="227"/>
      <c r="C571" s="227"/>
      <c r="D571" s="307"/>
      <c r="E571" s="227"/>
      <c r="F571" s="304"/>
      <c r="G571" s="227"/>
      <c r="H571" s="309"/>
      <c r="I571" s="227"/>
      <c r="J571" s="227"/>
      <c r="K571" s="37"/>
      <c r="L571" s="227"/>
      <c r="M571" s="227"/>
      <c r="N571" s="227"/>
      <c r="O571" s="228"/>
      <c r="P571" s="228"/>
    </row>
    <row r="572" spans="1:16" x14ac:dyDescent="0.35">
      <c r="A572" s="227"/>
      <c r="B572" s="227"/>
      <c r="C572" s="227"/>
      <c r="D572" s="307"/>
      <c r="E572" s="227"/>
      <c r="F572" s="304"/>
      <c r="G572" s="227"/>
      <c r="H572" s="309"/>
      <c r="I572" s="227"/>
      <c r="J572" s="227"/>
      <c r="K572" s="37"/>
      <c r="L572" s="227"/>
      <c r="M572" s="227"/>
      <c r="N572" s="227"/>
      <c r="O572" s="228"/>
      <c r="P572" s="228"/>
    </row>
    <row r="573" spans="1:16" x14ac:dyDescent="0.35">
      <c r="A573" s="227"/>
      <c r="B573" s="227"/>
      <c r="C573" s="227"/>
      <c r="D573" s="307"/>
      <c r="E573" s="227"/>
      <c r="F573" s="304"/>
      <c r="G573" s="227"/>
      <c r="H573" s="309"/>
      <c r="I573" s="227"/>
      <c r="J573" s="227"/>
      <c r="K573" s="37"/>
      <c r="L573" s="227"/>
      <c r="M573" s="227"/>
      <c r="N573" s="227"/>
      <c r="O573" s="228"/>
      <c r="P573" s="228"/>
    </row>
    <row r="574" spans="1:16" x14ac:dyDescent="0.35">
      <c r="A574" s="227"/>
      <c r="B574" s="227"/>
      <c r="C574" s="227"/>
      <c r="D574" s="307"/>
      <c r="E574" s="227"/>
      <c r="F574" s="304"/>
      <c r="G574" s="227"/>
      <c r="H574" s="309"/>
      <c r="I574" s="227"/>
      <c r="J574" s="227"/>
      <c r="K574" s="37"/>
      <c r="L574" s="227"/>
      <c r="M574" s="227"/>
      <c r="N574" s="227"/>
      <c r="O574" s="228"/>
      <c r="P574" s="228"/>
    </row>
    <row r="575" spans="1:16" x14ac:dyDescent="0.35">
      <c r="A575" s="227"/>
      <c r="B575" s="227"/>
      <c r="C575" s="227"/>
      <c r="D575" s="307"/>
      <c r="E575" s="227"/>
      <c r="F575" s="304"/>
      <c r="G575" s="227"/>
      <c r="H575" s="309"/>
      <c r="I575" s="227"/>
      <c r="J575" s="227"/>
      <c r="K575" s="37"/>
      <c r="L575" s="227"/>
      <c r="M575" s="227"/>
      <c r="N575" s="227"/>
      <c r="O575" s="228"/>
      <c r="P575" s="228"/>
    </row>
    <row r="576" spans="1:16" x14ac:dyDescent="0.35">
      <c r="A576" s="227"/>
      <c r="B576" s="227"/>
      <c r="C576" s="227"/>
      <c r="D576" s="307"/>
      <c r="E576" s="227"/>
      <c r="F576" s="304"/>
      <c r="G576" s="227"/>
      <c r="H576" s="309"/>
      <c r="I576" s="227"/>
      <c r="J576" s="227"/>
      <c r="K576" s="37"/>
      <c r="L576" s="227"/>
      <c r="M576" s="227"/>
      <c r="N576" s="227"/>
      <c r="O576" s="228"/>
      <c r="P576" s="228"/>
    </row>
    <row r="577" spans="1:16" x14ac:dyDescent="0.35">
      <c r="A577" s="227"/>
      <c r="B577" s="227"/>
      <c r="C577" s="227"/>
      <c r="D577" s="307"/>
      <c r="E577" s="227"/>
      <c r="F577" s="304"/>
      <c r="G577" s="227"/>
      <c r="H577" s="309"/>
      <c r="I577" s="227"/>
      <c r="J577" s="227"/>
      <c r="K577" s="37"/>
      <c r="L577" s="227"/>
      <c r="M577" s="227"/>
      <c r="N577" s="227"/>
      <c r="O577" s="228"/>
      <c r="P577" s="228"/>
    </row>
    <row r="578" spans="1:16" x14ac:dyDescent="0.35">
      <c r="A578" s="227"/>
      <c r="B578" s="227"/>
      <c r="C578" s="227"/>
      <c r="D578" s="307"/>
      <c r="E578" s="227"/>
      <c r="F578" s="304"/>
      <c r="G578" s="227"/>
      <c r="H578" s="309"/>
      <c r="I578" s="227"/>
      <c r="J578" s="227"/>
      <c r="K578" s="37"/>
      <c r="L578" s="227"/>
      <c r="M578" s="227"/>
      <c r="N578" s="227"/>
      <c r="O578" s="228"/>
      <c r="P578" s="228"/>
    </row>
    <row r="579" spans="1:16" x14ac:dyDescent="0.35">
      <c r="A579" s="227"/>
      <c r="B579" s="227"/>
      <c r="C579" s="227"/>
      <c r="D579" s="307"/>
      <c r="E579" s="227"/>
      <c r="F579" s="304"/>
      <c r="G579" s="227"/>
      <c r="H579" s="309"/>
      <c r="I579" s="227"/>
      <c r="J579" s="227"/>
      <c r="K579" s="37"/>
      <c r="L579" s="227"/>
      <c r="M579" s="227"/>
      <c r="N579" s="227"/>
      <c r="O579" s="228"/>
      <c r="P579" s="228"/>
    </row>
    <row r="580" spans="1:16" x14ac:dyDescent="0.35">
      <c r="A580" s="227"/>
      <c r="B580" s="227"/>
      <c r="C580" s="227"/>
      <c r="D580" s="307"/>
      <c r="E580" s="227"/>
      <c r="F580" s="304"/>
      <c r="G580" s="227"/>
      <c r="H580" s="309"/>
      <c r="I580" s="227"/>
      <c r="J580" s="227"/>
      <c r="K580" s="37"/>
      <c r="L580" s="227"/>
      <c r="M580" s="227"/>
      <c r="N580" s="227"/>
      <c r="O580" s="228"/>
      <c r="P580" s="228"/>
    </row>
    <row r="581" spans="1:16" x14ac:dyDescent="0.35">
      <c r="A581" s="227"/>
      <c r="B581" s="227"/>
      <c r="C581" s="227"/>
      <c r="D581" s="307"/>
      <c r="E581" s="227"/>
      <c r="F581" s="304"/>
      <c r="G581" s="227"/>
      <c r="H581" s="309"/>
      <c r="I581" s="227"/>
      <c r="J581" s="227"/>
      <c r="K581" s="37"/>
      <c r="L581" s="227"/>
      <c r="M581" s="227"/>
      <c r="N581" s="227"/>
      <c r="O581" s="228"/>
      <c r="P581" s="228"/>
    </row>
    <row r="582" spans="1:16" x14ac:dyDescent="0.35">
      <c r="A582" s="227"/>
      <c r="B582" s="227"/>
      <c r="C582" s="227"/>
      <c r="D582" s="307"/>
      <c r="E582" s="227"/>
      <c r="F582" s="304"/>
      <c r="G582" s="227"/>
      <c r="H582" s="309"/>
      <c r="I582" s="227"/>
      <c r="J582" s="227"/>
      <c r="K582" s="37"/>
      <c r="L582" s="227"/>
      <c r="M582" s="227"/>
      <c r="N582" s="227"/>
      <c r="O582" s="228"/>
      <c r="P582" s="228"/>
    </row>
    <row r="583" spans="1:16" x14ac:dyDescent="0.35">
      <c r="A583" s="227"/>
      <c r="B583" s="227"/>
      <c r="C583" s="227"/>
      <c r="D583" s="307"/>
      <c r="E583" s="227"/>
      <c r="F583" s="304"/>
      <c r="G583" s="227"/>
      <c r="H583" s="309"/>
      <c r="I583" s="227"/>
      <c r="J583" s="227"/>
      <c r="K583" s="37"/>
      <c r="L583" s="227"/>
      <c r="M583" s="227"/>
      <c r="N583" s="227"/>
      <c r="O583" s="228"/>
      <c r="P583" s="228"/>
    </row>
    <row r="584" spans="1:16" x14ac:dyDescent="0.35">
      <c r="A584" s="227"/>
      <c r="B584" s="227"/>
      <c r="C584" s="227"/>
      <c r="D584" s="307"/>
      <c r="E584" s="227"/>
      <c r="F584" s="304"/>
      <c r="G584" s="227"/>
      <c r="H584" s="309"/>
      <c r="I584" s="227"/>
      <c r="J584" s="227"/>
      <c r="K584" s="37"/>
      <c r="L584" s="227"/>
      <c r="M584" s="227"/>
      <c r="N584" s="227"/>
      <c r="O584" s="228"/>
      <c r="P584" s="228"/>
    </row>
    <row r="585" spans="1:16" x14ac:dyDescent="0.35">
      <c r="A585" s="227"/>
      <c r="B585" s="227"/>
      <c r="C585" s="227"/>
      <c r="D585" s="307"/>
      <c r="E585" s="227"/>
      <c r="F585" s="304"/>
      <c r="G585" s="227"/>
      <c r="H585" s="309"/>
      <c r="I585" s="227"/>
      <c r="J585" s="227"/>
      <c r="K585" s="37"/>
      <c r="L585" s="227"/>
      <c r="M585" s="227"/>
      <c r="N585" s="227"/>
      <c r="O585" s="228"/>
      <c r="P585" s="228"/>
    </row>
    <row r="586" spans="1:16" x14ac:dyDescent="0.35">
      <c r="A586" s="227"/>
      <c r="B586" s="227"/>
      <c r="C586" s="227"/>
      <c r="D586" s="307"/>
      <c r="E586" s="227"/>
      <c r="F586" s="304"/>
      <c r="G586" s="227"/>
      <c r="H586" s="309"/>
      <c r="I586" s="227"/>
      <c r="J586" s="227"/>
      <c r="K586" s="37"/>
      <c r="L586" s="227"/>
      <c r="M586" s="227"/>
      <c r="N586" s="227"/>
      <c r="O586" s="228"/>
      <c r="P586" s="228"/>
    </row>
    <row r="587" spans="1:16" x14ac:dyDescent="0.35">
      <c r="A587" s="227"/>
      <c r="B587" s="227"/>
      <c r="C587" s="227"/>
      <c r="D587" s="307"/>
      <c r="E587" s="227"/>
      <c r="F587" s="304"/>
      <c r="G587" s="227"/>
      <c r="H587" s="309"/>
      <c r="I587" s="227"/>
      <c r="J587" s="227"/>
      <c r="K587" s="37"/>
      <c r="L587" s="227"/>
      <c r="M587" s="227"/>
      <c r="N587" s="227"/>
      <c r="O587" s="228"/>
      <c r="P587" s="228"/>
    </row>
    <row r="588" spans="1:16" x14ac:dyDescent="0.35">
      <c r="A588" s="227"/>
      <c r="B588" s="227"/>
      <c r="C588" s="227"/>
      <c r="D588" s="307"/>
      <c r="E588" s="227"/>
      <c r="F588" s="304"/>
      <c r="G588" s="227"/>
      <c r="H588" s="309"/>
      <c r="I588" s="227"/>
      <c r="J588" s="227"/>
      <c r="K588" s="37"/>
      <c r="L588" s="227"/>
      <c r="M588" s="227"/>
      <c r="N588" s="227"/>
      <c r="O588" s="228"/>
      <c r="P588" s="228"/>
    </row>
    <row r="589" spans="1:16" x14ac:dyDescent="0.35">
      <c r="A589" s="227"/>
      <c r="B589" s="227"/>
      <c r="C589" s="227"/>
      <c r="D589" s="307"/>
      <c r="E589" s="227"/>
      <c r="F589" s="304"/>
      <c r="G589" s="227"/>
      <c r="H589" s="309"/>
      <c r="I589" s="227"/>
      <c r="J589" s="227"/>
      <c r="K589" s="37"/>
      <c r="L589" s="227"/>
      <c r="M589" s="227"/>
      <c r="N589" s="227"/>
      <c r="O589" s="228"/>
      <c r="P589" s="228"/>
    </row>
    <row r="590" spans="1:16" x14ac:dyDescent="0.35">
      <c r="A590" s="227"/>
      <c r="B590" s="227"/>
      <c r="C590" s="227"/>
      <c r="D590" s="307"/>
      <c r="E590" s="227"/>
      <c r="F590" s="304"/>
      <c r="G590" s="227"/>
      <c r="H590" s="309"/>
      <c r="I590" s="227"/>
      <c r="J590" s="227"/>
      <c r="K590" s="37"/>
      <c r="L590" s="227"/>
      <c r="M590" s="227"/>
      <c r="N590" s="227"/>
      <c r="O590" s="228"/>
      <c r="P590" s="228"/>
    </row>
    <row r="591" spans="1:16" x14ac:dyDescent="0.35">
      <c r="A591" s="227"/>
      <c r="B591" s="227"/>
      <c r="C591" s="227"/>
      <c r="D591" s="307"/>
      <c r="E591" s="227"/>
      <c r="F591" s="304"/>
      <c r="G591" s="227"/>
      <c r="H591" s="309"/>
      <c r="I591" s="227"/>
      <c r="J591" s="227"/>
      <c r="K591" s="37"/>
      <c r="L591" s="227"/>
      <c r="M591" s="227"/>
      <c r="N591" s="227"/>
      <c r="O591" s="228"/>
      <c r="P591" s="228"/>
    </row>
    <row r="592" spans="1:16" x14ac:dyDescent="0.35">
      <c r="A592" s="227"/>
      <c r="B592" s="227"/>
      <c r="C592" s="227"/>
      <c r="D592" s="307"/>
      <c r="E592" s="227"/>
      <c r="F592" s="304"/>
      <c r="G592" s="227"/>
      <c r="H592" s="309"/>
      <c r="I592" s="227"/>
      <c r="J592" s="227"/>
      <c r="K592" s="37"/>
      <c r="L592" s="227"/>
      <c r="M592" s="227"/>
      <c r="N592" s="227"/>
      <c r="O592" s="228"/>
      <c r="P592" s="228"/>
    </row>
    <row r="593" spans="1:16" x14ac:dyDescent="0.35">
      <c r="A593" s="227"/>
      <c r="B593" s="227"/>
      <c r="C593" s="227"/>
      <c r="D593" s="307"/>
      <c r="E593" s="227"/>
      <c r="F593" s="304"/>
      <c r="G593" s="227"/>
      <c r="H593" s="309"/>
      <c r="I593" s="227"/>
      <c r="J593" s="227"/>
      <c r="K593" s="37"/>
      <c r="L593" s="227"/>
      <c r="M593" s="227"/>
      <c r="N593" s="227"/>
      <c r="O593" s="228"/>
      <c r="P593" s="228"/>
    </row>
    <row r="594" spans="1:16" x14ac:dyDescent="0.35">
      <c r="A594" s="227"/>
      <c r="B594" s="227"/>
      <c r="C594" s="227"/>
      <c r="D594" s="307"/>
      <c r="E594" s="227"/>
      <c r="F594" s="304"/>
      <c r="G594" s="227"/>
      <c r="H594" s="309"/>
      <c r="I594" s="227"/>
      <c r="J594" s="227"/>
      <c r="K594" s="37"/>
      <c r="L594" s="227"/>
      <c r="M594" s="227"/>
      <c r="N594" s="227"/>
      <c r="O594" s="228"/>
      <c r="P594" s="228"/>
    </row>
    <row r="595" spans="1:16" x14ac:dyDescent="0.35">
      <c r="A595" s="227"/>
      <c r="B595" s="227"/>
      <c r="C595" s="227"/>
      <c r="D595" s="307"/>
      <c r="E595" s="227"/>
      <c r="F595" s="304"/>
      <c r="G595" s="227"/>
      <c r="H595" s="309"/>
      <c r="I595" s="227"/>
      <c r="J595" s="227"/>
      <c r="K595" s="37"/>
      <c r="L595" s="227"/>
      <c r="M595" s="227"/>
      <c r="N595" s="227"/>
      <c r="O595" s="228"/>
      <c r="P595" s="228"/>
    </row>
    <row r="596" spans="1:16" x14ac:dyDescent="0.35">
      <c r="A596" s="227"/>
      <c r="B596" s="227"/>
      <c r="C596" s="227"/>
      <c r="D596" s="307"/>
      <c r="E596" s="227"/>
      <c r="F596" s="304"/>
      <c r="G596" s="227"/>
      <c r="H596" s="309"/>
      <c r="I596" s="227"/>
      <c r="J596" s="227"/>
      <c r="K596" s="37"/>
      <c r="L596" s="227"/>
      <c r="M596" s="227"/>
      <c r="N596" s="227"/>
      <c r="O596" s="228"/>
      <c r="P596" s="228"/>
    </row>
    <row r="597" spans="1:16" x14ac:dyDescent="0.35">
      <c r="A597" s="227"/>
      <c r="B597" s="227"/>
      <c r="C597" s="227"/>
      <c r="D597" s="307"/>
      <c r="E597" s="227"/>
      <c r="F597" s="304"/>
      <c r="G597" s="227"/>
      <c r="H597" s="309"/>
      <c r="I597" s="227"/>
      <c r="J597" s="227"/>
      <c r="K597" s="37"/>
      <c r="L597" s="227"/>
      <c r="M597" s="227"/>
      <c r="N597" s="227"/>
      <c r="O597" s="228"/>
      <c r="P597" s="228"/>
    </row>
    <row r="598" spans="1:16" x14ac:dyDescent="0.35">
      <c r="A598" s="227"/>
      <c r="B598" s="227"/>
      <c r="C598" s="227"/>
      <c r="D598" s="307"/>
      <c r="E598" s="227"/>
      <c r="F598" s="304"/>
      <c r="G598" s="227"/>
      <c r="H598" s="309"/>
      <c r="I598" s="227"/>
      <c r="J598" s="227"/>
      <c r="K598" s="37"/>
      <c r="L598" s="227"/>
      <c r="M598" s="227"/>
      <c r="N598" s="227"/>
      <c r="O598" s="228"/>
      <c r="P598" s="228"/>
    </row>
    <row r="599" spans="1:16" x14ac:dyDescent="0.35">
      <c r="A599" s="227"/>
      <c r="B599" s="227"/>
      <c r="C599" s="227"/>
      <c r="D599" s="307"/>
      <c r="E599" s="227"/>
      <c r="F599" s="304"/>
      <c r="G599" s="227"/>
      <c r="H599" s="309"/>
      <c r="I599" s="227"/>
      <c r="J599" s="227"/>
      <c r="K599" s="37"/>
      <c r="L599" s="227"/>
      <c r="M599" s="227"/>
      <c r="N599" s="227"/>
      <c r="O599" s="228"/>
      <c r="P599" s="228"/>
    </row>
    <row r="600" spans="1:16" x14ac:dyDescent="0.35">
      <c r="A600" s="227"/>
      <c r="B600" s="227"/>
      <c r="C600" s="227"/>
      <c r="D600" s="307"/>
      <c r="E600" s="227"/>
      <c r="F600" s="304"/>
      <c r="G600" s="227"/>
      <c r="H600" s="309"/>
      <c r="I600" s="227"/>
      <c r="J600" s="227"/>
      <c r="K600" s="37"/>
      <c r="L600" s="227"/>
      <c r="M600" s="227"/>
      <c r="N600" s="227"/>
      <c r="O600" s="228"/>
      <c r="P600" s="228"/>
    </row>
    <row r="601" spans="1:16" x14ac:dyDescent="0.35">
      <c r="A601" s="227"/>
      <c r="B601" s="227"/>
      <c r="C601" s="227"/>
      <c r="D601" s="307"/>
      <c r="E601" s="227"/>
      <c r="F601" s="304"/>
      <c r="G601" s="227"/>
      <c r="H601" s="309"/>
      <c r="I601" s="227"/>
      <c r="J601" s="227"/>
      <c r="K601" s="37"/>
      <c r="L601" s="227"/>
      <c r="M601" s="227"/>
      <c r="N601" s="227"/>
      <c r="O601" s="228"/>
      <c r="P601" s="228"/>
    </row>
    <row r="602" spans="1:16" x14ac:dyDescent="0.35">
      <c r="A602" s="227"/>
      <c r="B602" s="227"/>
      <c r="C602" s="227"/>
      <c r="D602" s="307"/>
      <c r="E602" s="227"/>
      <c r="F602" s="304"/>
      <c r="G602" s="227"/>
      <c r="H602" s="309"/>
      <c r="I602" s="227"/>
      <c r="J602" s="227"/>
      <c r="K602" s="37"/>
      <c r="L602" s="227"/>
      <c r="M602" s="227"/>
      <c r="N602" s="227"/>
      <c r="O602" s="228"/>
      <c r="P602" s="228"/>
    </row>
    <row r="603" spans="1:16" x14ac:dyDescent="0.35">
      <c r="A603" s="227"/>
      <c r="B603" s="227"/>
      <c r="C603" s="227"/>
      <c r="D603" s="307"/>
      <c r="E603" s="227"/>
      <c r="F603" s="304"/>
      <c r="G603" s="227"/>
      <c r="H603" s="309"/>
      <c r="I603" s="227"/>
      <c r="J603" s="227"/>
      <c r="K603" s="37"/>
      <c r="L603" s="227"/>
      <c r="M603" s="227"/>
      <c r="N603" s="227"/>
      <c r="O603" s="228"/>
      <c r="P603" s="228"/>
    </row>
    <row r="604" spans="1:16" x14ac:dyDescent="0.35">
      <c r="A604" s="227"/>
      <c r="B604" s="227"/>
      <c r="C604" s="227"/>
      <c r="D604" s="307"/>
      <c r="E604" s="227"/>
      <c r="F604" s="304"/>
      <c r="G604" s="227"/>
      <c r="H604" s="309"/>
      <c r="I604" s="227"/>
      <c r="J604" s="227"/>
      <c r="K604" s="37"/>
      <c r="L604" s="227"/>
      <c r="M604" s="227"/>
      <c r="N604" s="227"/>
      <c r="O604" s="228"/>
      <c r="P604" s="228"/>
    </row>
    <row r="605" spans="1:16" x14ac:dyDescent="0.35">
      <c r="A605" s="227"/>
      <c r="B605" s="227"/>
      <c r="C605" s="227"/>
      <c r="D605" s="307"/>
      <c r="E605" s="227"/>
      <c r="F605" s="304"/>
      <c r="G605" s="227"/>
      <c r="H605" s="309"/>
      <c r="I605" s="227"/>
      <c r="J605" s="227"/>
      <c r="K605" s="37"/>
      <c r="L605" s="227"/>
      <c r="M605" s="227"/>
      <c r="N605" s="227"/>
      <c r="O605" s="228"/>
      <c r="P605" s="228"/>
    </row>
    <row r="606" spans="1:16" x14ac:dyDescent="0.35">
      <c r="A606" s="227"/>
      <c r="B606" s="227"/>
      <c r="C606" s="227"/>
      <c r="D606" s="307"/>
      <c r="E606" s="227"/>
      <c r="F606" s="304"/>
      <c r="G606" s="227"/>
      <c r="H606" s="309"/>
      <c r="I606" s="227"/>
      <c r="J606" s="227"/>
      <c r="K606" s="37"/>
      <c r="L606" s="227"/>
      <c r="M606" s="227"/>
      <c r="N606" s="227"/>
      <c r="O606" s="228"/>
      <c r="P606" s="228"/>
    </row>
    <row r="607" spans="1:16" x14ac:dyDescent="0.35">
      <c r="A607" s="227"/>
      <c r="B607" s="227"/>
      <c r="C607" s="227"/>
      <c r="D607" s="307"/>
      <c r="E607" s="227"/>
      <c r="F607" s="304"/>
      <c r="G607" s="227"/>
      <c r="H607" s="309"/>
      <c r="I607" s="227"/>
      <c r="J607" s="227"/>
      <c r="K607" s="37"/>
      <c r="L607" s="227"/>
      <c r="M607" s="227"/>
      <c r="N607" s="227"/>
      <c r="O607" s="228"/>
      <c r="P607" s="228"/>
    </row>
    <row r="608" spans="1:16" x14ac:dyDescent="0.35">
      <c r="A608" s="227"/>
      <c r="B608" s="227"/>
      <c r="C608" s="227"/>
      <c r="D608" s="307"/>
      <c r="E608" s="227"/>
      <c r="F608" s="304"/>
      <c r="G608" s="227"/>
      <c r="H608" s="309"/>
      <c r="I608" s="227"/>
      <c r="J608" s="227"/>
      <c r="K608" s="37"/>
      <c r="L608" s="227"/>
      <c r="M608" s="227"/>
      <c r="N608" s="227"/>
      <c r="O608" s="228"/>
      <c r="P608" s="228"/>
    </row>
    <row r="609" spans="1:16" x14ac:dyDescent="0.35">
      <c r="A609" s="227"/>
      <c r="B609" s="227"/>
      <c r="C609" s="227"/>
      <c r="D609" s="307"/>
      <c r="E609" s="227"/>
      <c r="F609" s="304"/>
      <c r="G609" s="227"/>
      <c r="H609" s="309"/>
      <c r="I609" s="227"/>
      <c r="J609" s="227"/>
      <c r="K609" s="37"/>
      <c r="L609" s="227"/>
      <c r="M609" s="227"/>
      <c r="N609" s="227"/>
      <c r="O609" s="228"/>
      <c r="P609" s="228"/>
    </row>
    <row r="610" spans="1:16" x14ac:dyDescent="0.35">
      <c r="A610" s="227"/>
      <c r="B610" s="227"/>
      <c r="C610" s="227"/>
      <c r="D610" s="307"/>
      <c r="E610" s="227"/>
      <c r="F610" s="304"/>
      <c r="G610" s="227"/>
      <c r="H610" s="309"/>
      <c r="I610" s="227"/>
      <c r="J610" s="227"/>
      <c r="K610" s="37"/>
      <c r="L610" s="227"/>
      <c r="M610" s="227"/>
      <c r="N610" s="227"/>
      <c r="O610" s="228"/>
      <c r="P610" s="228"/>
    </row>
    <row r="611" spans="1:16" x14ac:dyDescent="0.35">
      <c r="A611" s="227"/>
      <c r="B611" s="227"/>
      <c r="C611" s="227"/>
      <c r="D611" s="307"/>
      <c r="E611" s="227"/>
      <c r="F611" s="304"/>
      <c r="G611" s="227"/>
      <c r="H611" s="309"/>
      <c r="I611" s="227"/>
      <c r="J611" s="227"/>
      <c r="K611" s="37"/>
      <c r="L611" s="227"/>
      <c r="M611" s="227"/>
      <c r="N611" s="227"/>
      <c r="O611" s="228"/>
      <c r="P611" s="228"/>
    </row>
    <row r="612" spans="1:16" x14ac:dyDescent="0.35">
      <c r="A612" s="227"/>
      <c r="B612" s="227"/>
      <c r="C612" s="227"/>
      <c r="D612" s="307"/>
      <c r="E612" s="227"/>
      <c r="F612" s="304"/>
      <c r="G612" s="227"/>
      <c r="H612" s="309"/>
      <c r="I612" s="227"/>
      <c r="J612" s="227"/>
      <c r="K612" s="37"/>
      <c r="L612" s="227"/>
      <c r="M612" s="227"/>
      <c r="N612" s="227"/>
      <c r="O612" s="228"/>
      <c r="P612" s="228"/>
    </row>
    <row r="613" spans="1:16" x14ac:dyDescent="0.35">
      <c r="A613" s="227"/>
      <c r="B613" s="227"/>
      <c r="C613" s="227"/>
      <c r="D613" s="307"/>
      <c r="E613" s="227"/>
      <c r="F613" s="304"/>
      <c r="G613" s="227"/>
      <c r="H613" s="309"/>
      <c r="I613" s="227"/>
      <c r="J613" s="227"/>
      <c r="K613" s="37"/>
      <c r="L613" s="227"/>
      <c r="M613" s="227"/>
      <c r="N613" s="227"/>
      <c r="O613" s="228"/>
      <c r="P613" s="228"/>
    </row>
    <row r="614" spans="1:16" x14ac:dyDescent="0.35">
      <c r="A614" s="227"/>
      <c r="B614" s="227"/>
      <c r="C614" s="227"/>
      <c r="D614" s="307"/>
      <c r="E614" s="227"/>
      <c r="F614" s="304"/>
      <c r="G614" s="227"/>
      <c r="H614" s="309"/>
      <c r="I614" s="227"/>
      <c r="J614" s="227"/>
      <c r="K614" s="37"/>
      <c r="L614" s="227"/>
      <c r="M614" s="227"/>
      <c r="N614" s="227"/>
      <c r="O614" s="228"/>
      <c r="P614" s="228"/>
    </row>
    <row r="615" spans="1:16" x14ac:dyDescent="0.35">
      <c r="A615" s="227"/>
      <c r="B615" s="227"/>
      <c r="C615" s="227"/>
      <c r="D615" s="307"/>
      <c r="E615" s="227"/>
      <c r="F615" s="304"/>
      <c r="G615" s="227"/>
      <c r="H615" s="309"/>
      <c r="I615" s="227"/>
      <c r="J615" s="227"/>
      <c r="K615" s="37"/>
      <c r="L615" s="227"/>
      <c r="M615" s="227"/>
      <c r="N615" s="227"/>
      <c r="O615" s="228"/>
      <c r="P615" s="228"/>
    </row>
    <row r="616" spans="1:16" x14ac:dyDescent="0.35">
      <c r="A616" s="227"/>
      <c r="B616" s="227"/>
      <c r="C616" s="227"/>
      <c r="D616" s="307"/>
      <c r="E616" s="227"/>
      <c r="F616" s="304"/>
      <c r="G616" s="227"/>
      <c r="H616" s="309"/>
      <c r="I616" s="227"/>
      <c r="J616" s="227"/>
      <c r="K616" s="37"/>
      <c r="L616" s="227"/>
      <c r="M616" s="227"/>
      <c r="N616" s="227"/>
      <c r="O616" s="228"/>
      <c r="P616" s="228"/>
    </row>
    <row r="617" spans="1:16" x14ac:dyDescent="0.35">
      <c r="A617" s="227"/>
      <c r="B617" s="227"/>
      <c r="C617" s="227"/>
      <c r="D617" s="307"/>
      <c r="E617" s="227"/>
      <c r="F617" s="304"/>
      <c r="G617" s="227"/>
      <c r="H617" s="309"/>
      <c r="I617" s="227"/>
      <c r="J617" s="227"/>
      <c r="K617" s="37"/>
      <c r="L617" s="227"/>
      <c r="M617" s="227"/>
      <c r="N617" s="227"/>
      <c r="O617" s="228"/>
      <c r="P617" s="228"/>
    </row>
    <row r="618" spans="1:16" x14ac:dyDescent="0.35">
      <c r="A618" s="227"/>
      <c r="B618" s="227"/>
      <c r="C618" s="227"/>
      <c r="D618" s="307"/>
      <c r="E618" s="227"/>
      <c r="F618" s="304"/>
      <c r="G618" s="227"/>
      <c r="H618" s="309"/>
      <c r="I618" s="227"/>
      <c r="J618" s="227"/>
      <c r="K618" s="37"/>
      <c r="L618" s="227"/>
      <c r="M618" s="227"/>
      <c r="N618" s="227"/>
      <c r="O618" s="228"/>
      <c r="P618" s="228"/>
    </row>
    <row r="619" spans="1:16" x14ac:dyDescent="0.35">
      <c r="A619" s="227"/>
      <c r="B619" s="227"/>
      <c r="C619" s="227"/>
      <c r="D619" s="307"/>
      <c r="E619" s="227"/>
      <c r="F619" s="304"/>
      <c r="G619" s="227"/>
      <c r="H619" s="309"/>
      <c r="I619" s="227"/>
      <c r="J619" s="227"/>
      <c r="K619" s="37"/>
      <c r="L619" s="227"/>
      <c r="M619" s="227"/>
      <c r="N619" s="227"/>
      <c r="O619" s="228"/>
      <c r="P619" s="228"/>
    </row>
    <row r="620" spans="1:16" x14ac:dyDescent="0.35">
      <c r="A620" s="227"/>
      <c r="B620" s="227"/>
      <c r="C620" s="227"/>
      <c r="D620" s="307"/>
      <c r="E620" s="227"/>
      <c r="F620" s="304"/>
      <c r="G620" s="227"/>
      <c r="H620" s="309"/>
      <c r="I620" s="227"/>
      <c r="J620" s="227"/>
      <c r="K620" s="37"/>
      <c r="L620" s="227"/>
      <c r="M620" s="227"/>
      <c r="N620" s="227"/>
      <c r="O620" s="228"/>
      <c r="P620" s="228"/>
    </row>
    <row r="621" spans="1:16" x14ac:dyDescent="0.35">
      <c r="A621" s="227"/>
      <c r="B621" s="227"/>
      <c r="C621" s="227"/>
      <c r="D621" s="307"/>
      <c r="E621" s="227"/>
      <c r="F621" s="304"/>
      <c r="G621" s="227"/>
      <c r="H621" s="309"/>
      <c r="I621" s="227"/>
      <c r="J621" s="227"/>
      <c r="K621" s="37"/>
      <c r="L621" s="227"/>
      <c r="M621" s="227"/>
      <c r="N621" s="227"/>
      <c r="O621" s="228"/>
      <c r="P621" s="228"/>
    </row>
    <row r="622" spans="1:16" x14ac:dyDescent="0.35">
      <c r="A622" s="227"/>
      <c r="B622" s="227"/>
      <c r="C622" s="227"/>
      <c r="D622" s="307"/>
      <c r="E622" s="227"/>
      <c r="F622" s="304"/>
      <c r="G622" s="227"/>
      <c r="H622" s="309"/>
      <c r="I622" s="227"/>
      <c r="J622" s="227"/>
      <c r="K622" s="37"/>
      <c r="L622" s="227"/>
      <c r="M622" s="227"/>
      <c r="N622" s="227"/>
      <c r="O622" s="228"/>
      <c r="P622" s="228"/>
    </row>
    <row r="623" spans="1:16" x14ac:dyDescent="0.35">
      <c r="A623" s="227"/>
      <c r="B623" s="227"/>
      <c r="C623" s="227"/>
      <c r="D623" s="307"/>
      <c r="E623" s="227"/>
      <c r="F623" s="304"/>
      <c r="G623" s="227"/>
      <c r="H623" s="309"/>
      <c r="I623" s="227"/>
      <c r="J623" s="227"/>
      <c r="K623" s="37"/>
      <c r="L623" s="227"/>
      <c r="M623" s="227"/>
      <c r="N623" s="227"/>
      <c r="O623" s="228"/>
      <c r="P623" s="228"/>
    </row>
    <row r="624" spans="1:16" x14ac:dyDescent="0.35">
      <c r="A624" s="227"/>
      <c r="B624" s="227"/>
      <c r="C624" s="227"/>
      <c r="D624" s="307"/>
      <c r="E624" s="227"/>
      <c r="F624" s="304"/>
      <c r="G624" s="227"/>
      <c r="H624" s="309"/>
      <c r="I624" s="227"/>
      <c r="J624" s="227"/>
      <c r="K624" s="37"/>
      <c r="L624" s="227"/>
      <c r="M624" s="227"/>
      <c r="N624" s="227"/>
      <c r="O624" s="228"/>
      <c r="P624" s="228"/>
    </row>
    <row r="625" spans="1:16" x14ac:dyDescent="0.35">
      <c r="A625" s="227"/>
      <c r="B625" s="227"/>
      <c r="C625" s="227"/>
      <c r="D625" s="307"/>
      <c r="E625" s="227"/>
      <c r="F625" s="304"/>
      <c r="G625" s="227"/>
      <c r="H625" s="309"/>
      <c r="I625" s="227"/>
      <c r="J625" s="227"/>
      <c r="K625" s="37"/>
      <c r="L625" s="227"/>
      <c r="M625" s="227"/>
      <c r="N625" s="227"/>
      <c r="O625" s="228"/>
      <c r="P625" s="228"/>
    </row>
    <row r="626" spans="1:16" x14ac:dyDescent="0.35">
      <c r="A626" s="227"/>
      <c r="B626" s="227"/>
      <c r="C626" s="227"/>
      <c r="D626" s="307"/>
      <c r="E626" s="227"/>
      <c r="F626" s="304"/>
      <c r="G626" s="227"/>
      <c r="H626" s="309"/>
      <c r="I626" s="227"/>
      <c r="J626" s="227"/>
      <c r="K626" s="37"/>
      <c r="L626" s="227"/>
      <c r="M626" s="227"/>
      <c r="N626" s="227"/>
      <c r="O626" s="228"/>
      <c r="P626" s="228"/>
    </row>
    <row r="627" spans="1:16" x14ac:dyDescent="0.35">
      <c r="A627" s="227"/>
      <c r="B627" s="227"/>
      <c r="C627" s="227"/>
      <c r="D627" s="307"/>
      <c r="E627" s="227"/>
      <c r="F627" s="304"/>
      <c r="G627" s="227"/>
      <c r="H627" s="309"/>
      <c r="I627" s="227"/>
      <c r="J627" s="227"/>
      <c r="K627" s="37"/>
      <c r="L627" s="227"/>
      <c r="M627" s="227"/>
      <c r="N627" s="227"/>
      <c r="O627" s="228"/>
      <c r="P627" s="228"/>
    </row>
    <row r="628" spans="1:16" x14ac:dyDescent="0.35">
      <c r="A628" s="227"/>
      <c r="B628" s="227"/>
      <c r="C628" s="227"/>
      <c r="D628" s="307"/>
      <c r="E628" s="227"/>
      <c r="F628" s="304"/>
      <c r="G628" s="227"/>
      <c r="H628" s="309"/>
      <c r="I628" s="227"/>
      <c r="J628" s="227"/>
      <c r="K628" s="37"/>
      <c r="L628" s="227"/>
      <c r="M628" s="227"/>
      <c r="N628" s="227"/>
      <c r="O628" s="228"/>
      <c r="P628" s="228"/>
    </row>
    <row r="629" spans="1:16" x14ac:dyDescent="0.35">
      <c r="A629" s="227"/>
      <c r="B629" s="227"/>
      <c r="C629" s="227"/>
      <c r="D629" s="307"/>
      <c r="E629" s="227"/>
      <c r="F629" s="304"/>
      <c r="G629" s="227"/>
      <c r="H629" s="309"/>
      <c r="I629" s="227"/>
      <c r="J629" s="227"/>
      <c r="K629" s="37"/>
      <c r="L629" s="227"/>
      <c r="M629" s="227"/>
      <c r="N629" s="227"/>
      <c r="O629" s="228"/>
      <c r="P629" s="228"/>
    </row>
    <row r="630" spans="1:16" x14ac:dyDescent="0.35">
      <c r="A630" s="227"/>
      <c r="B630" s="227"/>
      <c r="C630" s="227"/>
      <c r="D630" s="307"/>
      <c r="E630" s="227"/>
      <c r="F630" s="304"/>
      <c r="G630" s="227"/>
      <c r="H630" s="309"/>
      <c r="I630" s="227"/>
      <c r="J630" s="227"/>
      <c r="K630" s="37"/>
      <c r="L630" s="227"/>
      <c r="M630" s="227"/>
      <c r="N630" s="227"/>
      <c r="O630" s="228"/>
      <c r="P630" s="228"/>
    </row>
    <row r="631" spans="1:16" x14ac:dyDescent="0.35">
      <c r="A631" s="227"/>
      <c r="B631" s="227"/>
      <c r="C631" s="227"/>
      <c r="D631" s="307"/>
      <c r="E631" s="227"/>
      <c r="F631" s="304"/>
      <c r="G631" s="227"/>
      <c r="H631" s="309"/>
      <c r="I631" s="227"/>
      <c r="J631" s="227"/>
      <c r="K631" s="37"/>
      <c r="L631" s="227"/>
      <c r="M631" s="227"/>
      <c r="N631" s="227"/>
      <c r="O631" s="228"/>
      <c r="P631" s="228"/>
    </row>
    <row r="632" spans="1:16" x14ac:dyDescent="0.35">
      <c r="A632" s="227"/>
      <c r="B632" s="227"/>
      <c r="C632" s="227"/>
      <c r="D632" s="307"/>
      <c r="E632" s="227"/>
      <c r="F632" s="304"/>
      <c r="G632" s="227"/>
      <c r="H632" s="309"/>
      <c r="I632" s="227"/>
      <c r="J632" s="227"/>
      <c r="K632" s="37"/>
      <c r="L632" s="227"/>
      <c r="M632" s="227"/>
      <c r="N632" s="227"/>
      <c r="O632" s="228"/>
      <c r="P632" s="228"/>
    </row>
    <row r="633" spans="1:16" x14ac:dyDescent="0.35">
      <c r="A633" s="227"/>
      <c r="B633" s="227"/>
      <c r="C633" s="227"/>
      <c r="D633" s="307"/>
      <c r="E633" s="227"/>
      <c r="F633" s="304"/>
      <c r="G633" s="227"/>
      <c r="H633" s="309"/>
      <c r="I633" s="227"/>
      <c r="J633" s="227"/>
      <c r="K633" s="37"/>
      <c r="L633" s="227"/>
      <c r="M633" s="227"/>
      <c r="N633" s="227"/>
      <c r="O633" s="228"/>
      <c r="P633" s="228"/>
    </row>
    <row r="634" spans="1:16" x14ac:dyDescent="0.35">
      <c r="A634" s="227"/>
      <c r="B634" s="227"/>
      <c r="C634" s="227"/>
      <c r="D634" s="307"/>
      <c r="E634" s="227"/>
      <c r="F634" s="304"/>
      <c r="G634" s="227"/>
      <c r="H634" s="309"/>
      <c r="I634" s="227"/>
      <c r="J634" s="227"/>
      <c r="K634" s="37"/>
      <c r="L634" s="227"/>
      <c r="M634" s="227"/>
      <c r="N634" s="227"/>
      <c r="O634" s="228"/>
      <c r="P634" s="228"/>
    </row>
    <row r="635" spans="1:16" x14ac:dyDescent="0.35">
      <c r="A635" s="227"/>
      <c r="B635" s="227"/>
      <c r="C635" s="227"/>
      <c r="D635" s="307"/>
      <c r="E635" s="227"/>
      <c r="F635" s="304"/>
      <c r="G635" s="227"/>
      <c r="H635" s="309"/>
      <c r="I635" s="227"/>
      <c r="J635" s="227"/>
      <c r="K635" s="37"/>
      <c r="L635" s="227"/>
      <c r="M635" s="227"/>
      <c r="N635" s="227"/>
      <c r="O635" s="228"/>
      <c r="P635" s="228"/>
    </row>
    <row r="636" spans="1:16" x14ac:dyDescent="0.35">
      <c r="A636" s="227"/>
      <c r="B636" s="227"/>
      <c r="C636" s="227"/>
      <c r="D636" s="307"/>
      <c r="E636" s="227"/>
      <c r="F636" s="304"/>
      <c r="G636" s="227"/>
      <c r="H636" s="309"/>
      <c r="I636" s="227"/>
      <c r="J636" s="227"/>
      <c r="K636" s="37"/>
      <c r="L636" s="227"/>
      <c r="M636" s="227"/>
      <c r="N636" s="227"/>
      <c r="O636" s="228"/>
      <c r="P636" s="228"/>
    </row>
    <row r="637" spans="1:16" x14ac:dyDescent="0.35">
      <c r="A637" s="227"/>
      <c r="B637" s="227"/>
      <c r="C637" s="227"/>
      <c r="D637" s="307"/>
      <c r="E637" s="227"/>
      <c r="F637" s="304"/>
      <c r="G637" s="227"/>
      <c r="H637" s="309"/>
      <c r="I637" s="227"/>
      <c r="J637" s="227"/>
      <c r="K637" s="37"/>
      <c r="L637" s="227"/>
      <c r="M637" s="227"/>
      <c r="N637" s="227"/>
      <c r="O637" s="228"/>
      <c r="P637" s="228"/>
    </row>
    <row r="638" spans="1:16" x14ac:dyDescent="0.35">
      <c r="A638" s="227"/>
      <c r="B638" s="227"/>
      <c r="C638" s="227"/>
      <c r="D638" s="307"/>
      <c r="E638" s="227"/>
      <c r="F638" s="304"/>
      <c r="G638" s="227"/>
      <c r="H638" s="309"/>
      <c r="I638" s="227"/>
      <c r="J638" s="227"/>
      <c r="K638" s="37"/>
      <c r="L638" s="227"/>
      <c r="M638" s="227"/>
      <c r="N638" s="227"/>
      <c r="O638" s="228"/>
      <c r="P638" s="228"/>
    </row>
    <row r="639" spans="1:16" x14ac:dyDescent="0.35">
      <c r="A639" s="227"/>
      <c r="B639" s="227"/>
      <c r="C639" s="227"/>
      <c r="D639" s="307"/>
      <c r="E639" s="227"/>
      <c r="F639" s="304"/>
      <c r="G639" s="227"/>
      <c r="H639" s="309"/>
      <c r="I639" s="227"/>
      <c r="J639" s="227"/>
      <c r="K639" s="37"/>
      <c r="L639" s="227"/>
      <c r="M639" s="227"/>
      <c r="N639" s="227"/>
      <c r="O639" s="228"/>
      <c r="P639" s="228"/>
    </row>
    <row r="640" spans="1:16" x14ac:dyDescent="0.35">
      <c r="A640" s="227"/>
      <c r="B640" s="227"/>
      <c r="C640" s="227"/>
      <c r="D640" s="307"/>
      <c r="E640" s="227"/>
      <c r="F640" s="304"/>
      <c r="G640" s="227"/>
      <c r="H640" s="309"/>
      <c r="I640" s="227"/>
      <c r="J640" s="227"/>
      <c r="K640" s="37"/>
      <c r="L640" s="227"/>
      <c r="M640" s="227"/>
      <c r="N640" s="227"/>
      <c r="O640" s="228"/>
      <c r="P640" s="228"/>
    </row>
    <row r="641" spans="1:16" x14ac:dyDescent="0.35">
      <c r="A641" s="227"/>
      <c r="B641" s="227"/>
      <c r="C641" s="227"/>
      <c r="D641" s="307"/>
      <c r="E641" s="227"/>
      <c r="F641" s="304"/>
      <c r="G641" s="227"/>
      <c r="H641" s="309"/>
      <c r="I641" s="227"/>
      <c r="J641" s="227"/>
      <c r="K641" s="37"/>
      <c r="L641" s="227"/>
      <c r="M641" s="227"/>
      <c r="N641" s="227"/>
      <c r="O641" s="228"/>
      <c r="P641" s="228"/>
    </row>
    <row r="642" spans="1:16" x14ac:dyDescent="0.35">
      <c r="A642" s="227"/>
      <c r="B642" s="227"/>
      <c r="C642" s="227"/>
      <c r="D642" s="307"/>
      <c r="E642" s="227"/>
      <c r="F642" s="304"/>
      <c r="G642" s="227"/>
      <c r="H642" s="309"/>
      <c r="I642" s="227"/>
      <c r="J642" s="227"/>
      <c r="K642" s="37"/>
      <c r="L642" s="227"/>
      <c r="M642" s="227"/>
      <c r="N642" s="227"/>
      <c r="O642" s="228"/>
      <c r="P642" s="228"/>
    </row>
    <row r="643" spans="1:16" x14ac:dyDescent="0.35">
      <c r="A643" s="227"/>
      <c r="B643" s="227"/>
      <c r="C643" s="227"/>
      <c r="D643" s="307"/>
      <c r="E643" s="227"/>
      <c r="F643" s="304"/>
      <c r="G643" s="227"/>
      <c r="H643" s="309"/>
      <c r="I643" s="227"/>
      <c r="J643" s="227"/>
      <c r="K643" s="37"/>
      <c r="L643" s="227"/>
      <c r="M643" s="227"/>
      <c r="N643" s="227"/>
      <c r="O643" s="228"/>
      <c r="P643" s="228"/>
    </row>
    <row r="644" spans="1:16" x14ac:dyDescent="0.35">
      <c r="A644" s="227"/>
      <c r="B644" s="227"/>
      <c r="C644" s="227"/>
      <c r="D644" s="307"/>
      <c r="E644" s="227"/>
      <c r="F644" s="304"/>
      <c r="G644" s="227"/>
      <c r="H644" s="309"/>
      <c r="I644" s="227"/>
      <c r="J644" s="227"/>
      <c r="K644" s="37"/>
      <c r="L644" s="227"/>
      <c r="M644" s="227"/>
      <c r="N644" s="227"/>
      <c r="O644" s="228"/>
      <c r="P644" s="228"/>
    </row>
    <row r="645" spans="1:16" x14ac:dyDescent="0.35">
      <c r="A645" s="227"/>
      <c r="B645" s="227"/>
      <c r="C645" s="227"/>
      <c r="D645" s="307"/>
      <c r="E645" s="227"/>
      <c r="F645" s="304"/>
      <c r="G645" s="227"/>
      <c r="H645" s="309"/>
      <c r="I645" s="227"/>
      <c r="J645" s="227"/>
      <c r="K645" s="37"/>
      <c r="L645" s="227"/>
      <c r="M645" s="227"/>
      <c r="N645" s="227"/>
      <c r="O645" s="228"/>
      <c r="P645" s="228"/>
    </row>
    <row r="646" spans="1:16" x14ac:dyDescent="0.35">
      <c r="A646" s="227"/>
      <c r="B646" s="227"/>
      <c r="C646" s="227"/>
      <c r="D646" s="307"/>
      <c r="E646" s="227"/>
      <c r="F646" s="304"/>
      <c r="G646" s="227"/>
      <c r="H646" s="309"/>
      <c r="I646" s="227"/>
      <c r="J646" s="227"/>
      <c r="K646" s="37"/>
      <c r="L646" s="227"/>
      <c r="M646" s="227"/>
      <c r="N646" s="227"/>
      <c r="O646" s="228"/>
      <c r="P646" s="228"/>
    </row>
    <row r="647" spans="1:16" x14ac:dyDescent="0.35">
      <c r="A647" s="227"/>
      <c r="B647" s="227"/>
      <c r="C647" s="227"/>
      <c r="D647" s="307"/>
      <c r="E647" s="227"/>
      <c r="F647" s="304"/>
      <c r="G647" s="227"/>
      <c r="H647" s="309"/>
      <c r="I647" s="227"/>
      <c r="J647" s="227"/>
      <c r="K647" s="37"/>
      <c r="L647" s="227"/>
      <c r="M647" s="227"/>
      <c r="N647" s="227"/>
      <c r="O647" s="228"/>
      <c r="P647" s="228"/>
    </row>
    <row r="648" spans="1:16" x14ac:dyDescent="0.35">
      <c r="A648" s="227"/>
      <c r="B648" s="227"/>
      <c r="C648" s="227"/>
      <c r="D648" s="307"/>
      <c r="E648" s="227"/>
      <c r="F648" s="304"/>
      <c r="G648" s="227"/>
      <c r="H648" s="309"/>
      <c r="I648" s="227"/>
      <c r="J648" s="227"/>
      <c r="K648" s="37"/>
      <c r="L648" s="227"/>
      <c r="M648" s="227"/>
      <c r="N648" s="227"/>
      <c r="O648" s="228"/>
      <c r="P648" s="228"/>
    </row>
    <row r="649" spans="1:16" x14ac:dyDescent="0.35">
      <c r="A649" s="227"/>
      <c r="B649" s="227"/>
      <c r="C649" s="227"/>
      <c r="D649" s="307"/>
      <c r="E649" s="227"/>
      <c r="F649" s="304"/>
      <c r="G649" s="227"/>
      <c r="H649" s="309"/>
      <c r="I649" s="227"/>
      <c r="J649" s="227"/>
      <c r="K649" s="37"/>
      <c r="L649" s="227"/>
      <c r="M649" s="227"/>
      <c r="N649" s="227"/>
      <c r="O649" s="228"/>
      <c r="P649" s="228"/>
    </row>
    <row r="650" spans="1:16" x14ac:dyDescent="0.35">
      <c r="A650" s="227"/>
      <c r="B650" s="227"/>
      <c r="C650" s="227"/>
      <c r="D650" s="307"/>
      <c r="E650" s="227"/>
      <c r="F650" s="304"/>
      <c r="G650" s="227"/>
      <c r="H650" s="309"/>
      <c r="I650" s="227"/>
      <c r="J650" s="227"/>
      <c r="K650" s="37"/>
      <c r="L650" s="227"/>
      <c r="M650" s="227"/>
      <c r="N650" s="227"/>
      <c r="O650" s="228"/>
      <c r="P650" s="228"/>
    </row>
    <row r="651" spans="1:16" x14ac:dyDescent="0.35">
      <c r="A651" s="227"/>
      <c r="B651" s="227"/>
      <c r="C651" s="227"/>
      <c r="D651" s="307"/>
      <c r="E651" s="227"/>
      <c r="F651" s="304"/>
      <c r="G651" s="227"/>
      <c r="H651" s="309"/>
      <c r="I651" s="227"/>
      <c r="J651" s="227"/>
      <c r="K651" s="37"/>
      <c r="L651" s="227"/>
      <c r="M651" s="227"/>
      <c r="N651" s="227"/>
      <c r="O651" s="228"/>
      <c r="P651" s="228"/>
    </row>
    <row r="652" spans="1:16" x14ac:dyDescent="0.35">
      <c r="A652" s="227"/>
      <c r="B652" s="227"/>
      <c r="C652" s="227"/>
      <c r="D652" s="307"/>
      <c r="E652" s="227"/>
      <c r="F652" s="304"/>
      <c r="G652" s="227"/>
      <c r="H652" s="309"/>
      <c r="I652" s="227"/>
      <c r="J652" s="227"/>
      <c r="K652" s="37"/>
      <c r="L652" s="227"/>
      <c r="M652" s="227"/>
      <c r="N652" s="227"/>
      <c r="O652" s="228"/>
      <c r="P652" s="228"/>
    </row>
    <row r="653" spans="1:16" x14ac:dyDescent="0.35">
      <c r="A653" s="227"/>
      <c r="B653" s="227"/>
      <c r="C653" s="227"/>
      <c r="D653" s="307"/>
      <c r="E653" s="227"/>
      <c r="F653" s="304"/>
      <c r="G653" s="227"/>
      <c r="H653" s="309"/>
      <c r="I653" s="227"/>
      <c r="J653" s="227"/>
      <c r="K653" s="37"/>
      <c r="L653" s="227"/>
      <c r="M653" s="227"/>
      <c r="N653" s="227"/>
      <c r="O653" s="228"/>
      <c r="P653" s="228"/>
    </row>
    <row r="654" spans="1:16" x14ac:dyDescent="0.35">
      <c r="A654" s="227"/>
      <c r="B654" s="227"/>
      <c r="C654" s="227"/>
      <c r="D654" s="307"/>
      <c r="E654" s="227"/>
      <c r="F654" s="304"/>
      <c r="G654" s="227"/>
      <c r="H654" s="309"/>
      <c r="I654" s="227"/>
      <c r="J654" s="227"/>
      <c r="K654" s="37"/>
      <c r="L654" s="227"/>
      <c r="M654" s="227"/>
      <c r="N654" s="227"/>
      <c r="O654" s="228"/>
      <c r="P654" s="228"/>
    </row>
    <row r="655" spans="1:16" x14ac:dyDescent="0.35">
      <c r="A655" s="227"/>
      <c r="B655" s="227"/>
      <c r="C655" s="227"/>
      <c r="D655" s="307"/>
      <c r="E655" s="227"/>
      <c r="F655" s="304"/>
      <c r="G655" s="227"/>
      <c r="H655" s="309"/>
      <c r="I655" s="227"/>
      <c r="J655" s="227"/>
      <c r="K655" s="37"/>
      <c r="L655" s="227"/>
      <c r="M655" s="227"/>
      <c r="N655" s="227"/>
      <c r="O655" s="228"/>
      <c r="P655" s="228"/>
    </row>
    <row r="656" spans="1:16" x14ac:dyDescent="0.35">
      <c r="A656" s="227"/>
      <c r="B656" s="227"/>
      <c r="C656" s="227"/>
      <c r="D656" s="307"/>
      <c r="E656" s="227"/>
      <c r="F656" s="304"/>
      <c r="G656" s="227"/>
      <c r="H656" s="309"/>
      <c r="I656" s="227"/>
      <c r="J656" s="227"/>
      <c r="K656" s="37"/>
      <c r="L656" s="227"/>
      <c r="M656" s="227"/>
      <c r="N656" s="227"/>
      <c r="O656" s="228"/>
      <c r="P656" s="228"/>
    </row>
    <row r="657" spans="1:16" x14ac:dyDescent="0.35">
      <c r="A657" s="227"/>
      <c r="B657" s="227"/>
      <c r="C657" s="227"/>
      <c r="D657" s="307"/>
      <c r="E657" s="227"/>
      <c r="F657" s="304"/>
      <c r="G657" s="227"/>
      <c r="H657" s="309"/>
      <c r="I657" s="227"/>
      <c r="J657" s="227"/>
      <c r="K657" s="37"/>
      <c r="L657" s="227"/>
      <c r="M657" s="227"/>
      <c r="N657" s="227"/>
      <c r="O657" s="228"/>
      <c r="P657" s="228"/>
    </row>
    <row r="658" spans="1:16" x14ac:dyDescent="0.35">
      <c r="A658" s="227"/>
      <c r="B658" s="227"/>
      <c r="C658" s="227"/>
      <c r="D658" s="307"/>
      <c r="E658" s="227"/>
      <c r="F658" s="304"/>
      <c r="G658" s="227"/>
      <c r="H658" s="309"/>
      <c r="I658" s="227"/>
      <c r="J658" s="227"/>
      <c r="K658" s="37"/>
      <c r="L658" s="227"/>
      <c r="M658" s="227"/>
      <c r="N658" s="227"/>
      <c r="O658" s="228"/>
      <c r="P658" s="228"/>
    </row>
    <row r="659" spans="1:16" x14ac:dyDescent="0.35">
      <c r="A659" s="227"/>
      <c r="B659" s="227"/>
      <c r="C659" s="227"/>
      <c r="D659" s="307"/>
      <c r="E659" s="227"/>
      <c r="F659" s="304"/>
      <c r="G659" s="227"/>
      <c r="H659" s="309"/>
      <c r="I659" s="227"/>
      <c r="J659" s="227"/>
      <c r="K659" s="37"/>
      <c r="L659" s="227"/>
      <c r="M659" s="227"/>
      <c r="N659" s="227"/>
      <c r="O659" s="228"/>
      <c r="P659" s="228"/>
    </row>
    <row r="660" spans="1:16" x14ac:dyDescent="0.35">
      <c r="A660" s="227"/>
      <c r="B660" s="227"/>
      <c r="C660" s="227"/>
      <c r="D660" s="307"/>
      <c r="E660" s="227"/>
      <c r="F660" s="304"/>
      <c r="G660" s="227"/>
      <c r="H660" s="309"/>
      <c r="I660" s="227"/>
      <c r="J660" s="227"/>
      <c r="K660" s="37"/>
      <c r="L660" s="227"/>
      <c r="M660" s="227"/>
      <c r="N660" s="227"/>
      <c r="O660" s="228"/>
      <c r="P660" s="228"/>
    </row>
    <row r="661" spans="1:16" x14ac:dyDescent="0.35">
      <c r="A661" s="227"/>
      <c r="B661" s="227"/>
      <c r="C661" s="227"/>
      <c r="D661" s="307"/>
      <c r="E661" s="227"/>
      <c r="F661" s="304"/>
      <c r="G661" s="227"/>
      <c r="H661" s="309"/>
      <c r="I661" s="227"/>
      <c r="J661" s="227"/>
      <c r="K661" s="37"/>
      <c r="L661" s="227"/>
      <c r="M661" s="227"/>
      <c r="N661" s="227"/>
      <c r="O661" s="228"/>
      <c r="P661" s="228"/>
    </row>
    <row r="662" spans="1:16" x14ac:dyDescent="0.35">
      <c r="A662" s="227"/>
      <c r="B662" s="227"/>
      <c r="C662" s="227"/>
      <c r="D662" s="307"/>
      <c r="E662" s="227"/>
      <c r="F662" s="304"/>
      <c r="G662" s="227"/>
      <c r="H662" s="309"/>
      <c r="I662" s="227"/>
      <c r="J662" s="227"/>
      <c r="K662" s="37"/>
      <c r="L662" s="227"/>
      <c r="M662" s="227"/>
      <c r="N662" s="227"/>
      <c r="O662" s="228"/>
      <c r="P662" s="228"/>
    </row>
    <row r="663" spans="1:16" x14ac:dyDescent="0.35">
      <c r="A663" s="227"/>
      <c r="B663" s="227"/>
      <c r="C663" s="227"/>
      <c r="D663" s="307"/>
      <c r="E663" s="227"/>
      <c r="F663" s="304"/>
      <c r="G663" s="227"/>
      <c r="H663" s="309"/>
      <c r="I663" s="227"/>
      <c r="J663" s="227"/>
      <c r="K663" s="37"/>
      <c r="L663" s="227"/>
      <c r="M663" s="227"/>
      <c r="N663" s="227"/>
      <c r="O663" s="228"/>
      <c r="P663" s="228"/>
    </row>
    <row r="664" spans="1:16" x14ac:dyDescent="0.35">
      <c r="A664" s="227"/>
      <c r="B664" s="227"/>
      <c r="C664" s="227"/>
      <c r="D664" s="307"/>
      <c r="E664" s="227"/>
      <c r="F664" s="304"/>
      <c r="G664" s="227"/>
      <c r="H664" s="309"/>
      <c r="I664" s="227"/>
      <c r="J664" s="227"/>
      <c r="K664" s="37"/>
      <c r="L664" s="227"/>
      <c r="M664" s="227"/>
      <c r="N664" s="227"/>
      <c r="O664" s="228"/>
      <c r="P664" s="228"/>
    </row>
    <row r="665" spans="1:16" x14ac:dyDescent="0.35">
      <c r="A665" s="227"/>
      <c r="B665" s="227"/>
      <c r="C665" s="227"/>
      <c r="D665" s="307"/>
      <c r="E665" s="227"/>
      <c r="F665" s="304"/>
      <c r="G665" s="227"/>
      <c r="H665" s="309"/>
      <c r="I665" s="227"/>
      <c r="J665" s="227"/>
      <c r="K665" s="37"/>
      <c r="L665" s="227"/>
      <c r="M665" s="227"/>
      <c r="N665" s="227"/>
      <c r="O665" s="228"/>
      <c r="P665" s="228"/>
    </row>
    <row r="666" spans="1:16" x14ac:dyDescent="0.35">
      <c r="A666" s="227"/>
      <c r="B666" s="227"/>
      <c r="C666" s="227"/>
      <c r="D666" s="307"/>
      <c r="E666" s="227"/>
      <c r="F666" s="304"/>
      <c r="G666" s="227"/>
      <c r="H666" s="309"/>
      <c r="I666" s="227"/>
      <c r="J666" s="227"/>
      <c r="K666" s="37"/>
      <c r="L666" s="227"/>
      <c r="M666" s="227"/>
      <c r="N666" s="227"/>
      <c r="O666" s="228"/>
      <c r="P666" s="228"/>
    </row>
    <row r="667" spans="1:16" x14ac:dyDescent="0.35">
      <c r="A667" s="227"/>
      <c r="B667" s="227"/>
      <c r="C667" s="227"/>
      <c r="D667" s="307"/>
      <c r="E667" s="227"/>
      <c r="F667" s="304"/>
      <c r="G667" s="227"/>
      <c r="H667" s="309"/>
      <c r="I667" s="227"/>
      <c r="J667" s="227"/>
      <c r="K667" s="37"/>
      <c r="L667" s="227"/>
      <c r="M667" s="227"/>
      <c r="N667" s="227"/>
      <c r="O667" s="228"/>
      <c r="P667" s="228"/>
    </row>
    <row r="668" spans="1:16" x14ac:dyDescent="0.35">
      <c r="A668" s="227"/>
      <c r="B668" s="227"/>
      <c r="C668" s="227"/>
      <c r="D668" s="307"/>
      <c r="E668" s="227"/>
      <c r="F668" s="304"/>
      <c r="G668" s="227"/>
      <c r="H668" s="309"/>
      <c r="I668" s="227"/>
      <c r="J668" s="227"/>
      <c r="K668" s="37"/>
      <c r="L668" s="227"/>
      <c r="M668" s="227"/>
      <c r="N668" s="227"/>
      <c r="O668" s="228"/>
      <c r="P668" s="228"/>
    </row>
    <row r="669" spans="1:16" x14ac:dyDescent="0.35">
      <c r="A669" s="227"/>
      <c r="B669" s="227"/>
      <c r="C669" s="227"/>
      <c r="D669" s="307"/>
      <c r="E669" s="227"/>
      <c r="F669" s="304"/>
      <c r="G669" s="227"/>
      <c r="H669" s="309"/>
      <c r="I669" s="227"/>
      <c r="J669" s="227"/>
      <c r="K669" s="37"/>
      <c r="L669" s="227"/>
      <c r="M669" s="227"/>
      <c r="N669" s="227"/>
      <c r="O669" s="228"/>
      <c r="P669" s="228"/>
    </row>
    <row r="670" spans="1:16" x14ac:dyDescent="0.35">
      <c r="A670" s="227"/>
      <c r="B670" s="227"/>
      <c r="C670" s="227"/>
      <c r="D670" s="307"/>
      <c r="E670" s="227"/>
      <c r="F670" s="304"/>
      <c r="G670" s="227"/>
      <c r="H670" s="309"/>
      <c r="I670" s="227"/>
      <c r="J670" s="227"/>
      <c r="K670" s="37"/>
      <c r="L670" s="227"/>
      <c r="M670" s="227"/>
      <c r="N670" s="227"/>
      <c r="O670" s="228"/>
      <c r="P670" s="228"/>
    </row>
    <row r="671" spans="1:16" x14ac:dyDescent="0.35">
      <c r="A671" s="227"/>
      <c r="B671" s="227"/>
      <c r="C671" s="227"/>
      <c r="D671" s="307"/>
      <c r="E671" s="227"/>
      <c r="F671" s="304"/>
      <c r="G671" s="227"/>
      <c r="H671" s="309"/>
      <c r="I671" s="227"/>
      <c r="J671" s="227"/>
      <c r="K671" s="37"/>
      <c r="L671" s="227"/>
      <c r="M671" s="227"/>
      <c r="N671" s="227"/>
      <c r="O671" s="228"/>
      <c r="P671" s="228"/>
    </row>
    <row r="672" spans="1:16" x14ac:dyDescent="0.35">
      <c r="A672" s="227"/>
      <c r="B672" s="227"/>
      <c r="C672" s="227"/>
      <c r="D672" s="307"/>
      <c r="E672" s="227"/>
      <c r="F672" s="304"/>
      <c r="G672" s="227"/>
      <c r="H672" s="309"/>
      <c r="I672" s="227"/>
      <c r="J672" s="227"/>
      <c r="K672" s="37"/>
      <c r="L672" s="227"/>
      <c r="M672" s="227"/>
      <c r="N672" s="227"/>
      <c r="O672" s="228"/>
      <c r="P672" s="228"/>
    </row>
    <row r="673" spans="1:16" x14ac:dyDescent="0.35">
      <c r="A673" s="227"/>
      <c r="B673" s="227"/>
      <c r="C673" s="227"/>
      <c r="D673" s="307"/>
      <c r="E673" s="227"/>
      <c r="F673" s="304"/>
      <c r="G673" s="227"/>
      <c r="H673" s="309"/>
      <c r="I673" s="227"/>
      <c r="J673" s="227"/>
      <c r="K673" s="37"/>
      <c r="L673" s="227"/>
      <c r="M673" s="227"/>
      <c r="N673" s="227"/>
      <c r="O673" s="228"/>
      <c r="P673" s="228"/>
    </row>
    <row r="674" spans="1:16" x14ac:dyDescent="0.35">
      <c r="A674" s="227"/>
      <c r="B674" s="227"/>
      <c r="C674" s="227"/>
      <c r="D674" s="307"/>
      <c r="E674" s="227"/>
      <c r="F674" s="304"/>
      <c r="G674" s="227"/>
      <c r="H674" s="309"/>
      <c r="I674" s="227"/>
      <c r="J674" s="227"/>
      <c r="K674" s="37"/>
      <c r="L674" s="227"/>
      <c r="M674" s="227"/>
      <c r="N674" s="227"/>
      <c r="O674" s="228"/>
      <c r="P674" s="228"/>
    </row>
    <row r="675" spans="1:16" x14ac:dyDescent="0.35">
      <c r="A675" s="227"/>
      <c r="B675" s="227"/>
      <c r="C675" s="227"/>
      <c r="D675" s="307"/>
      <c r="E675" s="227"/>
      <c r="F675" s="304"/>
      <c r="G675" s="227"/>
      <c r="H675" s="309"/>
      <c r="I675" s="227"/>
      <c r="J675" s="227"/>
      <c r="K675" s="37"/>
      <c r="L675" s="227"/>
      <c r="M675" s="227"/>
      <c r="N675" s="227"/>
      <c r="O675" s="228"/>
      <c r="P675" s="228"/>
    </row>
    <row r="676" spans="1:16" x14ac:dyDescent="0.35">
      <c r="A676" s="227"/>
      <c r="B676" s="227"/>
      <c r="C676" s="227"/>
      <c r="D676" s="307"/>
      <c r="E676" s="227"/>
      <c r="F676" s="304"/>
      <c r="G676" s="227"/>
      <c r="H676" s="309"/>
      <c r="I676" s="227"/>
      <c r="J676" s="227"/>
      <c r="K676" s="37"/>
      <c r="L676" s="227"/>
      <c r="M676" s="227"/>
      <c r="N676" s="227"/>
      <c r="O676" s="228"/>
      <c r="P676" s="228"/>
    </row>
    <row r="677" spans="1:16" x14ac:dyDescent="0.35">
      <c r="A677" s="227"/>
      <c r="B677" s="227"/>
      <c r="C677" s="227"/>
      <c r="D677" s="307"/>
      <c r="E677" s="227"/>
      <c r="F677" s="304"/>
      <c r="G677" s="227"/>
      <c r="H677" s="309"/>
      <c r="I677" s="227"/>
      <c r="J677" s="227"/>
      <c r="K677" s="37"/>
      <c r="L677" s="227"/>
      <c r="M677" s="227"/>
      <c r="N677" s="227"/>
      <c r="O677" s="228"/>
      <c r="P677" s="228"/>
    </row>
    <row r="678" spans="1:16" x14ac:dyDescent="0.35">
      <c r="A678" s="227"/>
      <c r="B678" s="227"/>
      <c r="C678" s="227"/>
      <c r="D678" s="307"/>
      <c r="E678" s="227"/>
      <c r="F678" s="304"/>
      <c r="G678" s="227"/>
      <c r="H678" s="309"/>
      <c r="I678" s="227"/>
      <c r="J678" s="227"/>
      <c r="K678" s="37"/>
      <c r="L678" s="227"/>
      <c r="M678" s="227"/>
      <c r="N678" s="227"/>
      <c r="O678" s="228"/>
      <c r="P678" s="228"/>
    </row>
    <row r="679" spans="1:16" x14ac:dyDescent="0.35">
      <c r="A679" s="227"/>
      <c r="B679" s="227"/>
      <c r="C679" s="227"/>
      <c r="D679" s="307"/>
      <c r="E679" s="227"/>
      <c r="F679" s="304"/>
      <c r="G679" s="227"/>
      <c r="H679" s="309"/>
      <c r="I679" s="227"/>
      <c r="J679" s="227"/>
      <c r="K679" s="37"/>
      <c r="L679" s="227"/>
      <c r="M679" s="227"/>
      <c r="N679" s="227"/>
      <c r="O679" s="228"/>
      <c r="P679" s="228"/>
    </row>
    <row r="680" spans="1:16" x14ac:dyDescent="0.35">
      <c r="A680" s="227"/>
      <c r="B680" s="227"/>
      <c r="C680" s="227"/>
      <c r="D680" s="307"/>
      <c r="E680" s="227"/>
      <c r="F680" s="304"/>
      <c r="G680" s="227"/>
      <c r="H680" s="309"/>
      <c r="I680" s="227"/>
      <c r="J680" s="227"/>
      <c r="K680" s="37"/>
      <c r="L680" s="227"/>
      <c r="M680" s="227"/>
      <c r="N680" s="227"/>
      <c r="O680" s="228"/>
      <c r="P680" s="228"/>
    </row>
    <row r="681" spans="1:16" x14ac:dyDescent="0.35">
      <c r="A681" s="227"/>
      <c r="B681" s="227"/>
      <c r="C681" s="227"/>
      <c r="D681" s="307"/>
      <c r="E681" s="227"/>
      <c r="F681" s="304"/>
      <c r="G681" s="227"/>
      <c r="H681" s="309"/>
      <c r="I681" s="227"/>
      <c r="J681" s="227"/>
      <c r="K681" s="37"/>
      <c r="L681" s="227"/>
      <c r="M681" s="227"/>
      <c r="N681" s="227"/>
      <c r="O681" s="228"/>
      <c r="P681" s="228"/>
    </row>
    <row r="682" spans="1:16" x14ac:dyDescent="0.35">
      <c r="A682" s="227"/>
      <c r="B682" s="227"/>
      <c r="C682" s="227"/>
      <c r="D682" s="307"/>
      <c r="E682" s="227"/>
      <c r="F682" s="304"/>
      <c r="G682" s="227"/>
      <c r="H682" s="309"/>
      <c r="I682" s="227"/>
      <c r="J682" s="227"/>
      <c r="K682" s="37"/>
      <c r="L682" s="227"/>
      <c r="M682" s="227"/>
      <c r="N682" s="227"/>
      <c r="O682" s="228"/>
      <c r="P682" s="228"/>
    </row>
    <row r="683" spans="1:16" x14ac:dyDescent="0.35">
      <c r="A683" s="227"/>
      <c r="B683" s="227"/>
      <c r="C683" s="227"/>
      <c r="D683" s="307"/>
      <c r="E683" s="227"/>
      <c r="F683" s="304"/>
      <c r="G683" s="227"/>
      <c r="H683" s="309"/>
      <c r="I683" s="227"/>
      <c r="J683" s="227"/>
      <c r="K683" s="37"/>
      <c r="L683" s="227"/>
      <c r="M683" s="227"/>
      <c r="N683" s="227"/>
      <c r="O683" s="228"/>
      <c r="P683" s="228"/>
    </row>
    <row r="684" spans="1:16" x14ac:dyDescent="0.35">
      <c r="A684" s="227"/>
      <c r="B684" s="227"/>
      <c r="C684" s="227"/>
      <c r="D684" s="307"/>
      <c r="E684" s="227"/>
      <c r="F684" s="304"/>
      <c r="G684" s="227"/>
      <c r="H684" s="309"/>
      <c r="I684" s="227"/>
      <c r="J684" s="227"/>
      <c r="K684" s="37"/>
      <c r="L684" s="227"/>
      <c r="M684" s="227"/>
      <c r="N684" s="227"/>
      <c r="O684" s="228"/>
      <c r="P684" s="228"/>
    </row>
    <row r="685" spans="1:16" x14ac:dyDescent="0.35">
      <c r="A685" s="227"/>
      <c r="B685" s="227"/>
      <c r="C685" s="227"/>
      <c r="D685" s="307"/>
      <c r="E685" s="227"/>
      <c r="F685" s="304"/>
      <c r="G685" s="227"/>
      <c r="H685" s="309"/>
      <c r="I685" s="227"/>
      <c r="J685" s="227"/>
      <c r="K685" s="37"/>
      <c r="L685" s="227"/>
      <c r="M685" s="227"/>
      <c r="N685" s="227"/>
      <c r="O685" s="228"/>
      <c r="P685" s="228"/>
    </row>
    <row r="686" spans="1:16" x14ac:dyDescent="0.35">
      <c r="A686" s="227"/>
      <c r="B686" s="227"/>
      <c r="C686" s="227"/>
      <c r="D686" s="307"/>
      <c r="E686" s="227"/>
      <c r="F686" s="304"/>
      <c r="G686" s="227"/>
      <c r="H686" s="309"/>
      <c r="I686" s="227"/>
      <c r="J686" s="227"/>
      <c r="K686" s="37"/>
      <c r="L686" s="227"/>
      <c r="M686" s="227"/>
      <c r="N686" s="227"/>
      <c r="O686" s="228"/>
      <c r="P686" s="228"/>
    </row>
    <row r="687" spans="1:16" x14ac:dyDescent="0.35">
      <c r="A687" s="227"/>
      <c r="B687" s="227"/>
      <c r="C687" s="227"/>
      <c r="D687" s="307"/>
      <c r="E687" s="227"/>
      <c r="F687" s="304"/>
      <c r="G687" s="227"/>
      <c r="H687" s="309"/>
      <c r="I687" s="227"/>
      <c r="J687" s="227"/>
      <c r="K687" s="37"/>
      <c r="L687" s="227"/>
      <c r="M687" s="227"/>
      <c r="N687" s="227"/>
      <c r="O687" s="228"/>
      <c r="P687" s="228"/>
    </row>
    <row r="688" spans="1:16" x14ac:dyDescent="0.35">
      <c r="A688" s="227"/>
      <c r="B688" s="227"/>
      <c r="C688" s="227"/>
      <c r="D688" s="307"/>
      <c r="E688" s="227"/>
      <c r="F688" s="304"/>
      <c r="G688" s="227"/>
      <c r="H688" s="309"/>
      <c r="I688" s="227"/>
      <c r="J688" s="227"/>
      <c r="K688" s="37"/>
      <c r="L688" s="227"/>
      <c r="M688" s="227"/>
      <c r="N688" s="227"/>
      <c r="O688" s="228"/>
      <c r="P688" s="228"/>
    </row>
    <row r="689" spans="1:16" x14ac:dyDescent="0.35">
      <c r="A689" s="227"/>
      <c r="B689" s="227"/>
      <c r="C689" s="227"/>
      <c r="D689" s="307"/>
      <c r="E689" s="227"/>
      <c r="F689" s="304"/>
      <c r="G689" s="227"/>
      <c r="H689" s="309"/>
      <c r="I689" s="227"/>
      <c r="J689" s="227"/>
      <c r="K689" s="37"/>
      <c r="L689" s="227"/>
      <c r="M689" s="227"/>
      <c r="N689" s="227"/>
      <c r="O689" s="228"/>
      <c r="P689" s="228"/>
    </row>
    <row r="690" spans="1:16" x14ac:dyDescent="0.35">
      <c r="A690" s="227"/>
      <c r="B690" s="227"/>
      <c r="C690" s="227"/>
      <c r="D690" s="307"/>
      <c r="E690" s="227"/>
      <c r="F690" s="304"/>
      <c r="G690" s="227"/>
      <c r="H690" s="309"/>
      <c r="I690" s="227"/>
      <c r="J690" s="227"/>
      <c r="K690" s="37"/>
      <c r="L690" s="227"/>
      <c r="M690" s="227"/>
      <c r="N690" s="227"/>
      <c r="O690" s="228"/>
      <c r="P690" s="228"/>
    </row>
    <row r="691" spans="1:16" x14ac:dyDescent="0.35">
      <c r="A691" s="227"/>
      <c r="B691" s="227"/>
      <c r="C691" s="227"/>
      <c r="D691" s="307"/>
      <c r="E691" s="227"/>
      <c r="F691" s="304"/>
      <c r="G691" s="227"/>
      <c r="H691" s="309"/>
      <c r="I691" s="227"/>
      <c r="J691" s="227"/>
      <c r="K691" s="37"/>
      <c r="L691" s="227"/>
      <c r="M691" s="227"/>
      <c r="N691" s="227"/>
      <c r="O691" s="228"/>
      <c r="P691" s="228"/>
    </row>
    <row r="692" spans="1:16" x14ac:dyDescent="0.35">
      <c r="A692" s="227"/>
      <c r="B692" s="227"/>
      <c r="C692" s="227"/>
      <c r="D692" s="307"/>
      <c r="E692" s="227"/>
      <c r="F692" s="304"/>
      <c r="G692" s="227"/>
      <c r="H692" s="309"/>
      <c r="I692" s="227"/>
      <c r="J692" s="227"/>
      <c r="K692" s="37"/>
      <c r="L692" s="227"/>
      <c r="M692" s="227"/>
      <c r="N692" s="227"/>
      <c r="O692" s="228"/>
      <c r="P692" s="228"/>
    </row>
    <row r="693" spans="1:16" x14ac:dyDescent="0.35">
      <c r="A693" s="227"/>
      <c r="B693" s="227"/>
      <c r="C693" s="227"/>
      <c r="D693" s="307"/>
      <c r="E693" s="227"/>
      <c r="F693" s="304"/>
      <c r="G693" s="227"/>
      <c r="H693" s="309"/>
      <c r="I693" s="227"/>
      <c r="J693" s="227"/>
      <c r="K693" s="37"/>
      <c r="L693" s="227"/>
      <c r="M693" s="227"/>
      <c r="N693" s="227"/>
      <c r="O693" s="228"/>
      <c r="P693" s="228"/>
    </row>
    <row r="694" spans="1:16" x14ac:dyDescent="0.35">
      <c r="A694" s="227"/>
      <c r="B694" s="227"/>
      <c r="C694" s="227"/>
      <c r="D694" s="307"/>
      <c r="E694" s="227"/>
      <c r="F694" s="304"/>
      <c r="G694" s="227"/>
      <c r="H694" s="309"/>
      <c r="I694" s="227"/>
      <c r="J694" s="227"/>
      <c r="K694" s="37"/>
      <c r="L694" s="227"/>
      <c r="M694" s="227"/>
      <c r="N694" s="227"/>
      <c r="O694" s="228"/>
      <c r="P694" s="228"/>
    </row>
    <row r="695" spans="1:16" x14ac:dyDescent="0.35">
      <c r="A695" s="227"/>
      <c r="B695" s="227"/>
      <c r="C695" s="227"/>
      <c r="D695" s="307"/>
      <c r="E695" s="227"/>
      <c r="F695" s="304"/>
      <c r="G695" s="227"/>
      <c r="H695" s="309"/>
      <c r="I695" s="227"/>
      <c r="J695" s="227"/>
      <c r="K695" s="37"/>
      <c r="L695" s="227"/>
      <c r="M695" s="227"/>
      <c r="N695" s="227"/>
      <c r="O695" s="228"/>
      <c r="P695" s="228"/>
    </row>
    <row r="696" spans="1:16" x14ac:dyDescent="0.35">
      <c r="A696" s="227"/>
      <c r="B696" s="227"/>
      <c r="C696" s="227"/>
      <c r="D696" s="307"/>
      <c r="E696" s="227"/>
      <c r="F696" s="304"/>
      <c r="G696" s="227"/>
      <c r="H696" s="309"/>
      <c r="I696" s="227"/>
      <c r="J696" s="227"/>
      <c r="K696" s="37"/>
      <c r="L696" s="227"/>
      <c r="M696" s="227"/>
      <c r="N696" s="227"/>
      <c r="O696" s="228"/>
      <c r="P696" s="228"/>
    </row>
    <row r="697" spans="1:16" x14ac:dyDescent="0.35">
      <c r="A697" s="227"/>
      <c r="B697" s="227"/>
      <c r="C697" s="227"/>
      <c r="D697" s="307"/>
      <c r="E697" s="227"/>
      <c r="F697" s="304"/>
      <c r="G697" s="227"/>
      <c r="H697" s="309"/>
      <c r="I697" s="227"/>
      <c r="J697" s="227"/>
      <c r="K697" s="37"/>
      <c r="L697" s="227"/>
      <c r="M697" s="227"/>
      <c r="N697" s="227"/>
      <c r="O697" s="228"/>
      <c r="P697" s="228"/>
    </row>
    <row r="698" spans="1:16" x14ac:dyDescent="0.35">
      <c r="A698" s="227"/>
      <c r="B698" s="227"/>
      <c r="C698" s="227"/>
      <c r="D698" s="307"/>
      <c r="E698" s="227"/>
      <c r="F698" s="304"/>
      <c r="G698" s="227"/>
      <c r="H698" s="309"/>
      <c r="I698" s="227"/>
      <c r="J698" s="227"/>
      <c r="K698" s="37"/>
      <c r="L698" s="227"/>
      <c r="M698" s="227"/>
      <c r="N698" s="227"/>
      <c r="O698" s="228"/>
      <c r="P698" s="228"/>
    </row>
    <row r="699" spans="1:16" x14ac:dyDescent="0.35">
      <c r="A699" s="227"/>
      <c r="B699" s="227"/>
      <c r="C699" s="227"/>
      <c r="D699" s="307"/>
      <c r="E699" s="227"/>
      <c r="F699" s="304"/>
      <c r="G699" s="227"/>
      <c r="H699" s="309"/>
      <c r="I699" s="227"/>
      <c r="J699" s="227"/>
      <c r="K699" s="37"/>
      <c r="L699" s="227"/>
      <c r="M699" s="227"/>
      <c r="N699" s="227"/>
      <c r="O699" s="228"/>
      <c r="P699" s="228"/>
    </row>
    <row r="700" spans="1:16" x14ac:dyDescent="0.35">
      <c r="A700" s="227"/>
      <c r="B700" s="227"/>
      <c r="C700" s="227"/>
      <c r="D700" s="307"/>
      <c r="E700" s="227"/>
      <c r="F700" s="304"/>
      <c r="G700" s="227"/>
      <c r="H700" s="309"/>
      <c r="I700" s="227"/>
      <c r="J700" s="227"/>
      <c r="K700" s="37"/>
      <c r="L700" s="227"/>
      <c r="M700" s="227"/>
      <c r="N700" s="227"/>
      <c r="O700" s="228"/>
      <c r="P700" s="228"/>
    </row>
    <row r="701" spans="1:16" x14ac:dyDescent="0.35">
      <c r="A701" s="227"/>
      <c r="B701" s="227"/>
      <c r="C701" s="227"/>
      <c r="D701" s="307"/>
      <c r="E701" s="227"/>
      <c r="F701" s="304"/>
      <c r="G701" s="227"/>
      <c r="H701" s="309"/>
      <c r="I701" s="227"/>
      <c r="J701" s="227"/>
      <c r="K701" s="37"/>
      <c r="L701" s="227"/>
      <c r="M701" s="227"/>
      <c r="N701" s="227"/>
      <c r="O701" s="228"/>
      <c r="P701" s="228"/>
    </row>
    <row r="702" spans="1:16" x14ac:dyDescent="0.35">
      <c r="A702" s="227"/>
      <c r="B702" s="227"/>
      <c r="C702" s="227"/>
      <c r="D702" s="307"/>
      <c r="E702" s="227"/>
      <c r="F702" s="304"/>
      <c r="G702" s="227"/>
      <c r="H702" s="309"/>
      <c r="I702" s="227"/>
      <c r="J702" s="227"/>
      <c r="K702" s="37"/>
      <c r="L702" s="227"/>
      <c r="M702" s="227"/>
      <c r="N702" s="227"/>
      <c r="O702" s="228"/>
      <c r="P702" s="228"/>
    </row>
    <row r="703" spans="1:16" x14ac:dyDescent="0.35">
      <c r="A703" s="227"/>
      <c r="B703" s="227"/>
      <c r="C703" s="227"/>
      <c r="D703" s="307"/>
      <c r="E703" s="227"/>
      <c r="F703" s="304"/>
      <c r="G703" s="227"/>
      <c r="H703" s="309"/>
      <c r="I703" s="227"/>
      <c r="J703" s="227"/>
      <c r="K703" s="37"/>
      <c r="L703" s="227"/>
      <c r="M703" s="227"/>
      <c r="N703" s="227"/>
      <c r="O703" s="228"/>
      <c r="P703" s="228"/>
    </row>
    <row r="704" spans="1:16" x14ac:dyDescent="0.35">
      <c r="A704" s="227"/>
      <c r="B704" s="227"/>
      <c r="C704" s="227"/>
      <c r="D704" s="307"/>
      <c r="E704" s="227"/>
      <c r="F704" s="304"/>
      <c r="G704" s="227"/>
      <c r="H704" s="309"/>
      <c r="I704" s="227"/>
      <c r="J704" s="227"/>
      <c r="K704" s="37"/>
      <c r="L704" s="227"/>
      <c r="M704" s="227"/>
      <c r="N704" s="227"/>
      <c r="O704" s="228"/>
      <c r="P704" s="228"/>
    </row>
    <row r="705" spans="1:16" x14ac:dyDescent="0.35">
      <c r="A705" s="227"/>
      <c r="B705" s="227"/>
      <c r="C705" s="227"/>
      <c r="D705" s="307"/>
      <c r="E705" s="227"/>
      <c r="F705" s="304"/>
      <c r="G705" s="227"/>
      <c r="H705" s="309"/>
      <c r="I705" s="227"/>
      <c r="J705" s="227"/>
      <c r="K705" s="37"/>
      <c r="L705" s="227"/>
      <c r="M705" s="227"/>
      <c r="N705" s="227"/>
      <c r="O705" s="228"/>
      <c r="P705" s="228"/>
    </row>
    <row r="706" spans="1:16" x14ac:dyDescent="0.35">
      <c r="A706" s="227"/>
      <c r="B706" s="227"/>
      <c r="C706" s="227"/>
      <c r="D706" s="307"/>
      <c r="E706" s="227"/>
      <c r="F706" s="304"/>
      <c r="G706" s="227"/>
      <c r="H706" s="309"/>
      <c r="I706" s="227"/>
      <c r="J706" s="227"/>
      <c r="K706" s="37"/>
      <c r="L706" s="227"/>
      <c r="M706" s="227"/>
      <c r="N706" s="227"/>
      <c r="O706" s="228"/>
      <c r="P706" s="228"/>
    </row>
    <row r="707" spans="1:16" x14ac:dyDescent="0.35">
      <c r="A707" s="227"/>
      <c r="B707" s="227"/>
      <c r="C707" s="227"/>
      <c r="D707" s="307"/>
      <c r="E707" s="227"/>
      <c r="F707" s="304"/>
      <c r="G707" s="227"/>
      <c r="H707" s="309"/>
      <c r="I707" s="227"/>
      <c r="J707" s="227"/>
      <c r="K707" s="37"/>
      <c r="L707" s="227"/>
      <c r="M707" s="227"/>
      <c r="N707" s="227"/>
      <c r="O707" s="228"/>
      <c r="P707" s="228"/>
    </row>
    <row r="708" spans="1:16" x14ac:dyDescent="0.35">
      <c r="A708" s="227"/>
      <c r="B708" s="227"/>
      <c r="C708" s="227"/>
      <c r="D708" s="307"/>
      <c r="E708" s="227"/>
      <c r="F708" s="304"/>
      <c r="G708" s="227"/>
      <c r="H708" s="309"/>
      <c r="I708" s="227"/>
      <c r="J708" s="227"/>
      <c r="K708" s="37"/>
      <c r="L708" s="227"/>
      <c r="M708" s="227"/>
      <c r="N708" s="227"/>
      <c r="O708" s="228"/>
      <c r="P708" s="228"/>
    </row>
    <row r="709" spans="1:16" x14ac:dyDescent="0.35">
      <c r="A709" s="227"/>
      <c r="B709" s="227"/>
      <c r="C709" s="227"/>
      <c r="D709" s="307"/>
      <c r="E709" s="227"/>
      <c r="F709" s="304"/>
      <c r="G709" s="227"/>
      <c r="H709" s="309"/>
      <c r="I709" s="227"/>
      <c r="J709" s="227"/>
      <c r="K709" s="37"/>
      <c r="L709" s="227"/>
      <c r="M709" s="227"/>
      <c r="N709" s="227"/>
      <c r="O709" s="228"/>
      <c r="P709" s="228"/>
    </row>
    <row r="710" spans="1:16" x14ac:dyDescent="0.35">
      <c r="A710" s="227"/>
      <c r="B710" s="227"/>
      <c r="C710" s="227"/>
      <c r="D710" s="307"/>
      <c r="E710" s="227"/>
      <c r="F710" s="304"/>
      <c r="G710" s="227"/>
      <c r="H710" s="309"/>
      <c r="I710" s="227"/>
      <c r="J710" s="227"/>
      <c r="K710" s="37"/>
      <c r="L710" s="227"/>
      <c r="M710" s="227"/>
      <c r="N710" s="227"/>
      <c r="O710" s="228"/>
      <c r="P710" s="228"/>
    </row>
    <row r="711" spans="1:16" x14ac:dyDescent="0.35">
      <c r="A711" s="227"/>
      <c r="B711" s="227"/>
      <c r="C711" s="227"/>
      <c r="D711" s="307"/>
      <c r="E711" s="227"/>
      <c r="F711" s="304"/>
      <c r="G711" s="227"/>
      <c r="H711" s="309"/>
      <c r="I711" s="227"/>
      <c r="J711" s="227"/>
      <c r="K711" s="37"/>
      <c r="L711" s="227"/>
      <c r="M711" s="227"/>
      <c r="N711" s="227"/>
      <c r="O711" s="228"/>
      <c r="P711" s="228"/>
    </row>
    <row r="712" spans="1:16" x14ac:dyDescent="0.35">
      <c r="A712" s="227"/>
      <c r="B712" s="227"/>
      <c r="C712" s="227"/>
      <c r="D712" s="307"/>
      <c r="E712" s="227"/>
      <c r="F712" s="304"/>
      <c r="G712" s="227"/>
      <c r="H712" s="309"/>
      <c r="I712" s="227"/>
      <c r="J712" s="227"/>
      <c r="K712" s="37"/>
      <c r="L712" s="227"/>
      <c r="M712" s="227"/>
      <c r="N712" s="227"/>
      <c r="O712" s="228"/>
      <c r="P712" s="228"/>
    </row>
    <row r="713" spans="1:16" x14ac:dyDescent="0.35">
      <c r="A713" s="227"/>
      <c r="B713" s="227"/>
      <c r="C713" s="227"/>
      <c r="D713" s="307"/>
      <c r="E713" s="227"/>
      <c r="F713" s="304"/>
      <c r="G713" s="227"/>
      <c r="H713" s="309"/>
      <c r="I713" s="227"/>
      <c r="J713" s="227"/>
      <c r="K713" s="37"/>
      <c r="L713" s="227"/>
      <c r="M713" s="227"/>
      <c r="N713" s="227"/>
      <c r="O713" s="228"/>
      <c r="P713" s="228"/>
    </row>
    <row r="714" spans="1:16" x14ac:dyDescent="0.35">
      <c r="A714" s="227"/>
      <c r="B714" s="227"/>
      <c r="C714" s="227"/>
      <c r="D714" s="307"/>
      <c r="E714" s="227"/>
      <c r="F714" s="304"/>
      <c r="G714" s="227"/>
      <c r="H714" s="309"/>
      <c r="I714" s="227"/>
      <c r="J714" s="227"/>
      <c r="K714" s="37"/>
      <c r="L714" s="227"/>
      <c r="M714" s="227"/>
      <c r="N714" s="227"/>
      <c r="O714" s="228"/>
      <c r="P714" s="228"/>
    </row>
    <row r="715" spans="1:16" x14ac:dyDescent="0.35">
      <c r="A715" s="227"/>
      <c r="B715" s="227"/>
      <c r="C715" s="227"/>
      <c r="D715" s="307"/>
      <c r="E715" s="227"/>
      <c r="F715" s="304"/>
      <c r="G715" s="227"/>
      <c r="H715" s="309"/>
      <c r="I715" s="227"/>
      <c r="J715" s="227"/>
      <c r="K715" s="37"/>
      <c r="L715" s="227"/>
      <c r="M715" s="227"/>
      <c r="N715" s="227"/>
      <c r="O715" s="228"/>
      <c r="P715" s="228"/>
    </row>
    <row r="716" spans="1:16" x14ac:dyDescent="0.35">
      <c r="A716" s="227"/>
      <c r="B716" s="227"/>
      <c r="C716" s="227"/>
      <c r="D716" s="307"/>
      <c r="E716" s="227"/>
      <c r="F716" s="304"/>
      <c r="G716" s="227"/>
      <c r="H716" s="309"/>
      <c r="I716" s="227"/>
      <c r="J716" s="227"/>
      <c r="K716" s="37"/>
      <c r="L716" s="227"/>
      <c r="M716" s="227"/>
      <c r="N716" s="227"/>
      <c r="O716" s="228"/>
      <c r="P716" s="228"/>
    </row>
    <row r="717" spans="1:16" x14ac:dyDescent="0.35">
      <c r="A717" s="227"/>
      <c r="B717" s="227"/>
      <c r="C717" s="227"/>
      <c r="D717" s="307"/>
      <c r="E717" s="227"/>
      <c r="F717" s="304"/>
      <c r="G717" s="227"/>
      <c r="H717" s="309"/>
      <c r="I717" s="227"/>
      <c r="J717" s="227"/>
      <c r="K717" s="37"/>
      <c r="L717" s="227"/>
      <c r="M717" s="227"/>
      <c r="N717" s="227"/>
      <c r="O717" s="228"/>
      <c r="P717" s="228"/>
    </row>
    <row r="718" spans="1:16" x14ac:dyDescent="0.35">
      <c r="A718" s="227"/>
      <c r="B718" s="227"/>
      <c r="C718" s="227"/>
      <c r="D718" s="307"/>
      <c r="E718" s="227"/>
      <c r="F718" s="304"/>
      <c r="G718" s="227"/>
      <c r="H718" s="309"/>
      <c r="I718" s="227"/>
      <c r="J718" s="227"/>
      <c r="K718" s="37"/>
      <c r="L718" s="227"/>
      <c r="M718" s="227"/>
      <c r="N718" s="227"/>
      <c r="O718" s="228"/>
      <c r="P718" s="228"/>
    </row>
    <row r="719" spans="1:16" x14ac:dyDescent="0.35">
      <c r="A719" s="227"/>
      <c r="B719" s="227"/>
      <c r="C719" s="227"/>
      <c r="D719" s="307"/>
      <c r="E719" s="227"/>
      <c r="F719" s="304"/>
      <c r="G719" s="227"/>
      <c r="H719" s="309"/>
      <c r="I719" s="227"/>
      <c r="J719" s="227"/>
      <c r="K719" s="37"/>
      <c r="L719" s="227"/>
      <c r="M719" s="227"/>
      <c r="N719" s="227"/>
      <c r="O719" s="228"/>
      <c r="P719" s="228"/>
    </row>
    <row r="720" spans="1:16" x14ac:dyDescent="0.35">
      <c r="A720" s="227"/>
      <c r="B720" s="227"/>
      <c r="C720" s="227"/>
      <c r="D720" s="307"/>
      <c r="E720" s="227"/>
      <c r="F720" s="304"/>
      <c r="G720" s="227"/>
      <c r="H720" s="309"/>
      <c r="I720" s="227"/>
      <c r="J720" s="227"/>
      <c r="K720" s="37"/>
      <c r="L720" s="227"/>
      <c r="M720" s="227"/>
      <c r="N720" s="227"/>
      <c r="O720" s="228"/>
      <c r="P720" s="228"/>
    </row>
    <row r="721" spans="1:16" x14ac:dyDescent="0.35">
      <c r="A721" s="227"/>
      <c r="B721" s="227"/>
      <c r="C721" s="227"/>
      <c r="D721" s="307"/>
      <c r="E721" s="227"/>
      <c r="F721" s="304"/>
      <c r="G721" s="227"/>
      <c r="H721" s="309"/>
      <c r="I721" s="227"/>
      <c r="J721" s="227"/>
      <c r="K721" s="37"/>
      <c r="L721" s="227"/>
      <c r="M721" s="227"/>
      <c r="N721" s="227"/>
      <c r="O721" s="228"/>
      <c r="P721" s="228"/>
    </row>
    <row r="722" spans="1:16" x14ac:dyDescent="0.35">
      <c r="A722" s="227"/>
      <c r="B722" s="227"/>
      <c r="C722" s="227"/>
      <c r="D722" s="307"/>
      <c r="E722" s="227"/>
      <c r="F722" s="304"/>
      <c r="G722" s="227"/>
      <c r="H722" s="309"/>
      <c r="I722" s="227"/>
      <c r="J722" s="227"/>
      <c r="K722" s="37"/>
      <c r="L722" s="227"/>
      <c r="M722" s="227"/>
      <c r="N722" s="227"/>
      <c r="O722" s="228"/>
      <c r="P722" s="228"/>
    </row>
    <row r="723" spans="1:16" x14ac:dyDescent="0.35">
      <c r="A723" s="227"/>
      <c r="B723" s="227"/>
      <c r="C723" s="227"/>
      <c r="D723" s="307"/>
      <c r="E723" s="227"/>
      <c r="F723" s="304"/>
      <c r="G723" s="227"/>
      <c r="H723" s="309"/>
      <c r="I723" s="227"/>
      <c r="J723" s="227"/>
      <c r="K723" s="37"/>
      <c r="L723" s="227"/>
      <c r="M723" s="227"/>
      <c r="N723" s="227"/>
      <c r="O723" s="228"/>
      <c r="P723" s="228"/>
    </row>
    <row r="724" spans="1:16" x14ac:dyDescent="0.35">
      <c r="A724" s="227"/>
      <c r="B724" s="227"/>
      <c r="C724" s="227"/>
      <c r="D724" s="307"/>
      <c r="E724" s="227"/>
      <c r="F724" s="304"/>
      <c r="G724" s="227"/>
      <c r="H724" s="309"/>
      <c r="I724" s="227"/>
      <c r="J724" s="227"/>
      <c r="K724" s="37"/>
      <c r="L724" s="227"/>
      <c r="M724" s="227"/>
      <c r="N724" s="227"/>
      <c r="O724" s="228"/>
      <c r="P724" s="228"/>
    </row>
    <row r="725" spans="1:16" x14ac:dyDescent="0.35">
      <c r="A725" s="227"/>
      <c r="B725" s="227"/>
      <c r="C725" s="227"/>
      <c r="D725" s="307"/>
      <c r="E725" s="227"/>
      <c r="F725" s="304"/>
      <c r="G725" s="227"/>
      <c r="H725" s="309"/>
      <c r="I725" s="227"/>
      <c r="J725" s="227"/>
      <c r="K725" s="37"/>
      <c r="L725" s="227"/>
      <c r="M725" s="227"/>
      <c r="N725" s="227"/>
      <c r="O725" s="228"/>
      <c r="P725" s="228"/>
    </row>
    <row r="726" spans="1:16" x14ac:dyDescent="0.35">
      <c r="A726" s="227"/>
      <c r="B726" s="227"/>
      <c r="C726" s="227"/>
      <c r="D726" s="307"/>
      <c r="E726" s="227"/>
      <c r="F726" s="304"/>
      <c r="G726" s="227"/>
      <c r="H726" s="309"/>
      <c r="I726" s="227"/>
      <c r="J726" s="227"/>
      <c r="K726" s="37"/>
      <c r="L726" s="227"/>
      <c r="M726" s="227"/>
      <c r="N726" s="227"/>
      <c r="O726" s="228"/>
      <c r="P726" s="228"/>
    </row>
    <row r="727" spans="1:16" x14ac:dyDescent="0.35">
      <c r="A727" s="227"/>
      <c r="B727" s="227"/>
      <c r="C727" s="227"/>
      <c r="D727" s="307"/>
      <c r="E727" s="227"/>
      <c r="F727" s="304"/>
      <c r="G727" s="227"/>
      <c r="H727" s="309"/>
      <c r="I727" s="227"/>
      <c r="J727" s="227"/>
      <c r="K727" s="37"/>
      <c r="L727" s="227"/>
      <c r="M727" s="227"/>
      <c r="N727" s="227"/>
      <c r="O727" s="228"/>
      <c r="P727" s="228"/>
    </row>
    <row r="728" spans="1:16" x14ac:dyDescent="0.35">
      <c r="A728" s="227"/>
      <c r="B728" s="227"/>
      <c r="C728" s="227"/>
      <c r="D728" s="307"/>
      <c r="E728" s="227"/>
      <c r="F728" s="304"/>
      <c r="G728" s="227"/>
      <c r="H728" s="309"/>
      <c r="I728" s="227"/>
      <c r="J728" s="227"/>
      <c r="K728" s="37"/>
      <c r="L728" s="227"/>
      <c r="M728" s="227"/>
      <c r="N728" s="227"/>
      <c r="O728" s="228"/>
      <c r="P728" s="228"/>
    </row>
    <row r="729" spans="1:16" x14ac:dyDescent="0.35">
      <c r="A729" s="227"/>
      <c r="B729" s="227"/>
      <c r="C729" s="227"/>
      <c r="D729" s="307"/>
      <c r="E729" s="227"/>
      <c r="F729" s="304"/>
      <c r="G729" s="227"/>
      <c r="H729" s="309"/>
      <c r="I729" s="227"/>
      <c r="J729" s="227"/>
      <c r="K729" s="37"/>
      <c r="L729" s="227"/>
      <c r="M729" s="227"/>
      <c r="N729" s="227"/>
      <c r="O729" s="228"/>
      <c r="P729" s="228"/>
    </row>
    <row r="730" spans="1:16" x14ac:dyDescent="0.35">
      <c r="A730" s="227"/>
      <c r="B730" s="227"/>
      <c r="C730" s="227"/>
      <c r="D730" s="307"/>
      <c r="E730" s="227"/>
      <c r="F730" s="304"/>
      <c r="G730" s="227"/>
      <c r="H730" s="309"/>
      <c r="I730" s="227"/>
      <c r="J730" s="227"/>
      <c r="K730" s="37"/>
      <c r="L730" s="227"/>
      <c r="M730" s="227"/>
      <c r="N730" s="227"/>
      <c r="O730" s="228"/>
      <c r="P730" s="228"/>
    </row>
    <row r="731" spans="1:16" x14ac:dyDescent="0.35">
      <c r="A731" s="227"/>
      <c r="B731" s="227"/>
      <c r="C731" s="227"/>
      <c r="D731" s="307"/>
      <c r="E731" s="227"/>
      <c r="F731" s="304"/>
      <c r="G731" s="227"/>
      <c r="H731" s="309"/>
      <c r="I731" s="227"/>
      <c r="J731" s="227"/>
      <c r="K731" s="37"/>
      <c r="L731" s="227"/>
      <c r="M731" s="227"/>
      <c r="N731" s="227"/>
      <c r="O731" s="228"/>
      <c r="P731" s="228"/>
    </row>
    <row r="732" spans="1:16" x14ac:dyDescent="0.35">
      <c r="A732" s="227"/>
      <c r="B732" s="227"/>
      <c r="C732" s="227"/>
      <c r="D732" s="307"/>
      <c r="E732" s="227"/>
      <c r="F732" s="304"/>
      <c r="G732" s="227"/>
      <c r="H732" s="309"/>
      <c r="I732" s="227"/>
      <c r="J732" s="227"/>
      <c r="K732" s="37"/>
      <c r="L732" s="227"/>
      <c r="M732" s="227"/>
      <c r="N732" s="227"/>
      <c r="O732" s="228"/>
      <c r="P732" s="228"/>
    </row>
    <row r="733" spans="1:16" x14ac:dyDescent="0.35">
      <c r="A733" s="227"/>
      <c r="B733" s="227"/>
      <c r="C733" s="227"/>
      <c r="D733" s="307"/>
      <c r="E733" s="227"/>
      <c r="F733" s="304"/>
      <c r="G733" s="227"/>
      <c r="H733" s="309"/>
      <c r="I733" s="227"/>
      <c r="J733" s="227"/>
      <c r="K733" s="37"/>
      <c r="L733" s="227"/>
      <c r="M733" s="227"/>
      <c r="N733" s="227"/>
      <c r="O733" s="228"/>
      <c r="P733" s="228"/>
    </row>
    <row r="734" spans="1:16" x14ac:dyDescent="0.35">
      <c r="A734" s="227"/>
      <c r="B734" s="227"/>
      <c r="C734" s="227"/>
      <c r="D734" s="307"/>
      <c r="E734" s="227"/>
      <c r="F734" s="304"/>
      <c r="G734" s="227"/>
      <c r="H734" s="309"/>
      <c r="I734" s="227"/>
      <c r="J734" s="227"/>
      <c r="K734" s="37"/>
      <c r="L734" s="227"/>
      <c r="M734" s="227"/>
      <c r="N734" s="227"/>
      <c r="O734" s="228"/>
      <c r="P734" s="228"/>
    </row>
    <row r="735" spans="1:16" x14ac:dyDescent="0.35">
      <c r="A735" s="227"/>
      <c r="B735" s="227"/>
      <c r="C735" s="227"/>
      <c r="D735" s="307"/>
      <c r="E735" s="227"/>
      <c r="F735" s="304"/>
      <c r="G735" s="227"/>
      <c r="H735" s="309"/>
      <c r="I735" s="227"/>
      <c r="J735" s="227"/>
      <c r="K735" s="37"/>
      <c r="L735" s="227"/>
      <c r="M735" s="227"/>
      <c r="N735" s="227"/>
      <c r="O735" s="228"/>
      <c r="P735" s="228"/>
    </row>
    <row r="736" spans="1:16" x14ac:dyDescent="0.35">
      <c r="A736" s="227"/>
      <c r="B736" s="227"/>
      <c r="C736" s="227"/>
      <c r="D736" s="307"/>
      <c r="E736" s="227"/>
      <c r="F736" s="304"/>
      <c r="G736" s="227"/>
      <c r="H736" s="309"/>
      <c r="I736" s="227"/>
      <c r="J736" s="227"/>
      <c r="K736" s="37"/>
      <c r="L736" s="227"/>
      <c r="M736" s="227"/>
      <c r="N736" s="227"/>
      <c r="O736" s="228"/>
      <c r="P736" s="228"/>
    </row>
    <row r="737" spans="1:16" x14ac:dyDescent="0.35">
      <c r="A737" s="227"/>
      <c r="B737" s="227"/>
      <c r="C737" s="227"/>
      <c r="D737" s="307"/>
      <c r="E737" s="227"/>
      <c r="F737" s="304"/>
      <c r="G737" s="227"/>
      <c r="H737" s="309"/>
      <c r="I737" s="227"/>
      <c r="J737" s="227"/>
      <c r="K737" s="37"/>
      <c r="L737" s="227"/>
      <c r="M737" s="227"/>
      <c r="N737" s="227"/>
      <c r="O737" s="228"/>
      <c r="P737" s="228"/>
    </row>
    <row r="738" spans="1:16" x14ac:dyDescent="0.35">
      <c r="A738" s="227"/>
      <c r="B738" s="227"/>
      <c r="C738" s="227"/>
      <c r="D738" s="307"/>
      <c r="E738" s="227"/>
      <c r="F738" s="304"/>
      <c r="G738" s="227"/>
      <c r="H738" s="309"/>
      <c r="I738" s="227"/>
      <c r="J738" s="227"/>
      <c r="K738" s="37"/>
      <c r="L738" s="227"/>
      <c r="M738" s="227"/>
      <c r="N738" s="227"/>
      <c r="O738" s="228"/>
      <c r="P738" s="228"/>
    </row>
    <row r="739" spans="1:16" x14ac:dyDescent="0.35">
      <c r="A739" s="227"/>
      <c r="B739" s="227"/>
      <c r="C739" s="227"/>
      <c r="D739" s="307"/>
      <c r="E739" s="227"/>
      <c r="F739" s="304"/>
      <c r="G739" s="227"/>
      <c r="H739" s="309"/>
      <c r="I739" s="227"/>
      <c r="J739" s="227"/>
      <c r="K739" s="37"/>
      <c r="L739" s="227"/>
      <c r="M739" s="227"/>
      <c r="N739" s="227"/>
      <c r="O739" s="228"/>
      <c r="P739" s="228"/>
    </row>
    <row r="740" spans="1:16" x14ac:dyDescent="0.35">
      <c r="A740" s="227"/>
      <c r="B740" s="227"/>
      <c r="C740" s="227"/>
      <c r="D740" s="307"/>
      <c r="E740" s="227"/>
      <c r="F740" s="304"/>
      <c r="G740" s="227"/>
      <c r="H740" s="309"/>
      <c r="I740" s="227"/>
      <c r="J740" s="227"/>
      <c r="K740" s="37"/>
      <c r="L740" s="227"/>
      <c r="M740" s="227"/>
      <c r="N740" s="227"/>
      <c r="O740" s="228"/>
      <c r="P740" s="228"/>
    </row>
    <row r="741" spans="1:16" x14ac:dyDescent="0.35">
      <c r="A741" s="227"/>
      <c r="B741" s="227"/>
      <c r="C741" s="227"/>
      <c r="D741" s="307"/>
      <c r="E741" s="227"/>
      <c r="F741" s="304"/>
      <c r="G741" s="227"/>
      <c r="H741" s="309"/>
      <c r="I741" s="227"/>
      <c r="J741" s="227"/>
      <c r="K741" s="37"/>
      <c r="L741" s="227"/>
      <c r="M741" s="227"/>
      <c r="N741" s="227"/>
      <c r="O741" s="228"/>
      <c r="P741" s="228"/>
    </row>
    <row r="742" spans="1:16" x14ac:dyDescent="0.35">
      <c r="A742" s="227"/>
      <c r="B742" s="227"/>
      <c r="C742" s="227"/>
      <c r="D742" s="307"/>
      <c r="E742" s="227"/>
      <c r="F742" s="304"/>
      <c r="G742" s="227"/>
      <c r="H742" s="309"/>
      <c r="I742" s="227"/>
      <c r="J742" s="227"/>
      <c r="K742" s="37"/>
      <c r="L742" s="227"/>
      <c r="M742" s="227"/>
      <c r="N742" s="227"/>
      <c r="O742" s="228"/>
      <c r="P742" s="228"/>
    </row>
    <row r="743" spans="1:16" x14ac:dyDescent="0.35">
      <c r="A743" s="227"/>
      <c r="B743" s="227"/>
      <c r="C743" s="227"/>
      <c r="D743" s="307"/>
      <c r="E743" s="227"/>
      <c r="F743" s="304"/>
      <c r="G743" s="227"/>
      <c r="H743" s="309"/>
      <c r="I743" s="227"/>
      <c r="J743" s="227"/>
      <c r="K743" s="37"/>
      <c r="L743" s="227"/>
      <c r="M743" s="227"/>
      <c r="N743" s="227"/>
      <c r="O743" s="228"/>
      <c r="P743" s="228"/>
    </row>
    <row r="744" spans="1:16" x14ac:dyDescent="0.35">
      <c r="A744" s="227"/>
      <c r="B744" s="227"/>
      <c r="C744" s="227"/>
      <c r="D744" s="307"/>
      <c r="E744" s="227"/>
      <c r="F744" s="304"/>
      <c r="G744" s="227"/>
      <c r="H744" s="309"/>
      <c r="I744" s="227"/>
      <c r="J744" s="227"/>
      <c r="K744" s="37"/>
      <c r="L744" s="227"/>
      <c r="M744" s="227"/>
      <c r="N744" s="227"/>
      <c r="O744" s="228"/>
      <c r="P744" s="228"/>
    </row>
    <row r="745" spans="1:16" x14ac:dyDescent="0.35">
      <c r="A745" s="227"/>
      <c r="B745" s="227"/>
      <c r="C745" s="227"/>
      <c r="D745" s="307"/>
      <c r="E745" s="227"/>
      <c r="F745" s="304"/>
      <c r="G745" s="227"/>
      <c r="H745" s="309"/>
      <c r="I745" s="227"/>
      <c r="J745" s="227"/>
      <c r="K745" s="37"/>
      <c r="L745" s="227"/>
      <c r="M745" s="227"/>
      <c r="N745" s="227"/>
      <c r="O745" s="228"/>
      <c r="P745" s="228"/>
    </row>
    <row r="746" spans="1:16" x14ac:dyDescent="0.35">
      <c r="A746" s="227"/>
      <c r="B746" s="227"/>
      <c r="C746" s="227"/>
      <c r="D746" s="307"/>
      <c r="E746" s="227"/>
      <c r="F746" s="304"/>
      <c r="G746" s="227"/>
      <c r="H746" s="309"/>
      <c r="I746" s="227"/>
      <c r="J746" s="227"/>
      <c r="K746" s="37"/>
      <c r="L746" s="227"/>
      <c r="M746" s="227"/>
      <c r="N746" s="227"/>
      <c r="O746" s="228"/>
      <c r="P746" s="228"/>
    </row>
    <row r="747" spans="1:16" x14ac:dyDescent="0.35">
      <c r="A747" s="227"/>
      <c r="B747" s="227"/>
      <c r="C747" s="227"/>
      <c r="D747" s="307"/>
      <c r="E747" s="227"/>
      <c r="F747" s="304"/>
      <c r="G747" s="227"/>
      <c r="H747" s="309"/>
      <c r="I747" s="227"/>
      <c r="J747" s="227"/>
      <c r="K747" s="37"/>
      <c r="L747" s="227"/>
      <c r="M747" s="227"/>
      <c r="N747" s="227"/>
      <c r="O747" s="228"/>
      <c r="P747" s="228"/>
    </row>
    <row r="748" spans="1:16" x14ac:dyDescent="0.35">
      <c r="A748" s="227"/>
      <c r="B748" s="227"/>
      <c r="C748" s="227"/>
      <c r="D748" s="307"/>
      <c r="E748" s="227"/>
      <c r="F748" s="304"/>
      <c r="G748" s="227"/>
      <c r="H748" s="309"/>
      <c r="I748" s="227"/>
      <c r="J748" s="227"/>
      <c r="K748" s="37"/>
      <c r="L748" s="227"/>
      <c r="M748" s="227"/>
      <c r="N748" s="227"/>
      <c r="O748" s="228"/>
      <c r="P748" s="228"/>
    </row>
    <row r="749" spans="1:16" x14ac:dyDescent="0.35">
      <c r="A749" s="227"/>
      <c r="B749" s="227"/>
      <c r="C749" s="227"/>
      <c r="D749" s="307"/>
      <c r="E749" s="227"/>
      <c r="F749" s="304"/>
      <c r="G749" s="227"/>
      <c r="H749" s="309"/>
      <c r="I749" s="227"/>
      <c r="J749" s="227"/>
      <c r="K749" s="37"/>
      <c r="L749" s="227"/>
      <c r="M749" s="227"/>
      <c r="N749" s="227"/>
      <c r="O749" s="228"/>
      <c r="P749" s="228"/>
    </row>
    <row r="750" spans="1:16" x14ac:dyDescent="0.35">
      <c r="A750" s="227"/>
      <c r="B750" s="227"/>
      <c r="C750" s="227"/>
      <c r="D750" s="307"/>
      <c r="E750" s="227"/>
      <c r="F750" s="304"/>
      <c r="G750" s="227"/>
      <c r="H750" s="309"/>
      <c r="I750" s="227"/>
      <c r="J750" s="227"/>
      <c r="K750" s="37"/>
      <c r="L750" s="227"/>
      <c r="M750" s="227"/>
      <c r="N750" s="227"/>
      <c r="O750" s="228"/>
      <c r="P750" s="228"/>
    </row>
    <row r="751" spans="1:16" x14ac:dyDescent="0.35">
      <c r="A751" s="227"/>
      <c r="B751" s="227"/>
      <c r="C751" s="227"/>
      <c r="D751" s="307"/>
      <c r="E751" s="227"/>
      <c r="F751" s="304"/>
      <c r="G751" s="227"/>
      <c r="H751" s="309"/>
      <c r="I751" s="227"/>
      <c r="J751" s="227"/>
      <c r="K751" s="37"/>
      <c r="L751" s="227"/>
      <c r="M751" s="227"/>
      <c r="N751" s="227"/>
      <c r="O751" s="228"/>
      <c r="P751" s="228"/>
    </row>
    <row r="1048576" spans="1:1" ht="15.5" x14ac:dyDescent="0.35">
      <c r="A1048576" s="103"/>
    </row>
  </sheetData>
  <autoFilter ref="O1:O148" xr:uid="{00000000-0009-0000-0000-000000000000}"/>
  <mergeCells count="8">
    <mergeCell ref="E1:G3"/>
    <mergeCell ref="B4:D4"/>
    <mergeCell ref="E4:G4"/>
    <mergeCell ref="O4:P4"/>
    <mergeCell ref="H4:N4"/>
    <mergeCell ref="A1:D1"/>
    <mergeCell ref="A2:D2"/>
    <mergeCell ref="A3:D3"/>
  </mergeCells>
  <phoneticPr fontId="16" type="noConversion"/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309A-E354-476E-8A05-FEB639E1FCFE}">
  <sheetPr>
    <tabColor rgb="FF0070C0"/>
  </sheetPr>
  <dimension ref="A1:AG304"/>
  <sheetViews>
    <sheetView topLeftCell="A48" zoomScale="120" zoomScaleNormal="120" workbookViewId="0">
      <selection activeCell="A52" sqref="A52"/>
    </sheetView>
  </sheetViews>
  <sheetFormatPr baseColWidth="10" defaultRowHeight="14.5" x14ac:dyDescent="0.35"/>
  <cols>
    <col min="1" max="1" width="14" style="8" customWidth="1"/>
    <col min="2" max="2" width="17.7265625" style="8" customWidth="1"/>
    <col min="3" max="3" width="17.81640625" style="6" customWidth="1"/>
    <col min="4" max="4" width="27.1796875" style="24" customWidth="1"/>
    <col min="5" max="5" width="20.81640625" style="2" customWidth="1"/>
    <col min="6" max="6" width="24.1796875" style="2" customWidth="1"/>
    <col min="7" max="7" width="12.26953125" style="10" customWidth="1"/>
    <col min="8" max="8" width="17.26953125" style="8" customWidth="1"/>
    <col min="9" max="9" width="14.81640625" style="8" customWidth="1"/>
    <col min="10" max="10" width="17.1796875" style="8" customWidth="1"/>
    <col min="11" max="11" width="16" style="8" customWidth="1"/>
    <col min="12" max="12" width="15.26953125" style="6" customWidth="1"/>
    <col min="13" max="13" width="14.453125" customWidth="1"/>
    <col min="14" max="14" width="24.453125" style="6" customWidth="1"/>
    <col min="15" max="15" width="19.453125" customWidth="1"/>
    <col min="16" max="16" width="23" style="6" customWidth="1"/>
    <col min="17" max="17" width="135.1796875" customWidth="1"/>
    <col min="18" max="18" width="12.54296875" style="8" bestFit="1" customWidth="1"/>
    <col min="19" max="20" width="11.453125" style="8"/>
    <col min="21" max="21" width="17.26953125" style="8" customWidth="1"/>
    <col min="22" max="22" width="11.453125" style="6"/>
    <col min="25" max="25" width="48.7265625" style="5" customWidth="1"/>
  </cols>
  <sheetData>
    <row r="1" spans="1:27" ht="15.5" x14ac:dyDescent="0.35">
      <c r="A1" s="370" t="s">
        <v>8</v>
      </c>
      <c r="B1" s="371"/>
      <c r="C1" s="371"/>
      <c r="D1" s="372"/>
      <c r="E1" s="369" t="s">
        <v>25</v>
      </c>
      <c r="F1" s="369"/>
      <c r="G1" s="369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7" ht="15.5" x14ac:dyDescent="0.35">
      <c r="A2" s="370" t="s">
        <v>0</v>
      </c>
      <c r="B2" s="371"/>
      <c r="C2" s="371"/>
      <c r="D2" s="372"/>
      <c r="E2" s="369"/>
      <c r="F2" s="369"/>
      <c r="G2" s="369"/>
      <c r="H2" s="11"/>
      <c r="I2" s="11"/>
      <c r="J2" s="11"/>
      <c r="K2" s="11"/>
      <c r="L2" s="11"/>
      <c r="M2" s="11"/>
      <c r="N2" s="11"/>
      <c r="O2" s="11"/>
      <c r="P2" s="11"/>
      <c r="Q2" s="11"/>
      <c r="R2" s="365" t="s">
        <v>28</v>
      </c>
      <c r="S2" s="365"/>
      <c r="T2" s="365"/>
      <c r="U2" s="365"/>
      <c r="V2" s="365"/>
      <c r="W2" s="365"/>
      <c r="X2" s="365"/>
      <c r="Y2" s="365"/>
    </row>
    <row r="3" spans="1:27" ht="15.5" x14ac:dyDescent="0.35">
      <c r="A3" s="370" t="s">
        <v>9</v>
      </c>
      <c r="B3" s="371"/>
      <c r="C3" s="371"/>
      <c r="D3" s="372"/>
      <c r="E3" s="369"/>
      <c r="F3" s="369"/>
      <c r="G3" s="369"/>
      <c r="H3" s="11"/>
      <c r="I3" s="11"/>
      <c r="J3" s="11"/>
      <c r="K3" s="11"/>
      <c r="L3" s="11"/>
      <c r="M3" s="11"/>
      <c r="N3" s="11"/>
      <c r="O3" s="11"/>
      <c r="P3" s="11"/>
      <c r="Q3" s="11"/>
      <c r="R3" s="365"/>
      <c r="S3" s="365"/>
      <c r="T3" s="365"/>
      <c r="U3" s="365"/>
      <c r="V3" s="365"/>
      <c r="W3" s="365"/>
      <c r="X3" s="365"/>
      <c r="Y3" s="365"/>
    </row>
    <row r="4" spans="1:27" ht="15.5" x14ac:dyDescent="0.35">
      <c r="A4" s="125"/>
      <c r="B4" s="366" t="s">
        <v>10</v>
      </c>
      <c r="C4" s="366"/>
      <c r="D4" s="366"/>
      <c r="E4" s="367" t="s">
        <v>12</v>
      </c>
      <c r="F4" s="367"/>
      <c r="G4" s="367"/>
      <c r="H4" s="364" t="s">
        <v>13</v>
      </c>
      <c r="I4" s="364"/>
      <c r="J4" s="364"/>
      <c r="K4" s="364"/>
      <c r="L4" s="364"/>
      <c r="M4" s="364"/>
      <c r="N4" s="364"/>
      <c r="O4" s="169"/>
      <c r="P4" s="368" t="s">
        <v>21</v>
      </c>
      <c r="Q4" s="368"/>
      <c r="R4" s="364" t="s">
        <v>13</v>
      </c>
      <c r="S4" s="364"/>
      <c r="T4" s="364"/>
      <c r="U4" s="364"/>
      <c r="V4" s="364"/>
      <c r="W4" s="364"/>
      <c r="X4" s="364"/>
      <c r="Y4" s="169"/>
      <c r="Z4" s="67"/>
    </row>
    <row r="5" spans="1:27" ht="15.5" x14ac:dyDescent="0.35">
      <c r="A5" s="123" t="s">
        <v>1</v>
      </c>
      <c r="B5" s="123" t="s">
        <v>2</v>
      </c>
      <c r="C5" s="123" t="s">
        <v>3</v>
      </c>
      <c r="D5" s="124" t="s">
        <v>11</v>
      </c>
      <c r="E5" s="123" t="s">
        <v>4</v>
      </c>
      <c r="F5" s="123" t="s">
        <v>5</v>
      </c>
      <c r="G5" s="123" t="s">
        <v>6</v>
      </c>
      <c r="H5" s="123" t="s">
        <v>14</v>
      </c>
      <c r="I5" s="123" t="s">
        <v>15</v>
      </c>
      <c r="J5" s="123" t="s">
        <v>16</v>
      </c>
      <c r="K5" s="123" t="s">
        <v>17</v>
      </c>
      <c r="L5" s="123" t="s">
        <v>18</v>
      </c>
      <c r="M5" s="123" t="s">
        <v>19</v>
      </c>
      <c r="N5" s="123" t="s">
        <v>20</v>
      </c>
      <c r="O5" s="105" t="s">
        <v>23</v>
      </c>
      <c r="P5" s="105" t="s">
        <v>22</v>
      </c>
      <c r="Q5" s="43" t="s">
        <v>7</v>
      </c>
      <c r="R5" s="41" t="s">
        <v>14</v>
      </c>
      <c r="S5" s="41" t="s">
        <v>15</v>
      </c>
      <c r="T5" s="41" t="s">
        <v>16</v>
      </c>
      <c r="U5" s="41" t="s">
        <v>17</v>
      </c>
      <c r="V5" s="41" t="s">
        <v>67</v>
      </c>
      <c r="W5" s="41" t="s">
        <v>32</v>
      </c>
      <c r="X5" s="41" t="s">
        <v>20</v>
      </c>
      <c r="Y5" s="43" t="s">
        <v>33</v>
      </c>
    </row>
    <row r="6" spans="1:27" ht="15.5" x14ac:dyDescent="0.35">
      <c r="A6" s="44"/>
      <c r="B6" s="45"/>
      <c r="C6" s="45"/>
      <c r="D6" s="42"/>
      <c r="E6" s="46"/>
      <c r="F6" s="46"/>
      <c r="G6" s="47"/>
      <c r="H6" s="167">
        <v>1.5</v>
      </c>
      <c r="I6" s="110">
        <v>3</v>
      </c>
      <c r="J6" s="110">
        <v>7</v>
      </c>
      <c r="K6" s="110">
        <v>15</v>
      </c>
      <c r="L6" s="110">
        <v>25</v>
      </c>
      <c r="M6" s="168"/>
      <c r="N6" s="47"/>
      <c r="O6" s="50" t="s">
        <v>24</v>
      </c>
      <c r="P6" s="92"/>
      <c r="Q6" s="41"/>
      <c r="R6" s="48">
        <v>1.5</v>
      </c>
      <c r="S6" s="49">
        <v>3</v>
      </c>
      <c r="T6" s="49">
        <v>7</v>
      </c>
      <c r="U6" s="49">
        <v>15</v>
      </c>
      <c r="V6" s="49">
        <v>25</v>
      </c>
      <c r="W6" s="47"/>
      <c r="X6" s="47"/>
      <c r="Y6" s="50" t="s">
        <v>34</v>
      </c>
    </row>
    <row r="7" spans="1:27" ht="15.5" x14ac:dyDescent="0.35">
      <c r="A7" s="103">
        <v>46082</v>
      </c>
      <c r="B7" s="79">
        <v>0.26041666666666669</v>
      </c>
      <c r="C7" s="79">
        <v>0.7368055555555556</v>
      </c>
      <c r="D7" s="53">
        <f t="shared" ref="D7:D38" si="0">1+C7-B7</f>
        <v>1.476388888888889</v>
      </c>
      <c r="E7" s="322">
        <v>149866</v>
      </c>
      <c r="F7" s="324">
        <v>150983</v>
      </c>
      <c r="G7" s="302">
        <f t="shared" ref="G7:G70" si="1">(F7-E7)/100</f>
        <v>11.17</v>
      </c>
      <c r="H7" s="346"/>
      <c r="I7" s="346"/>
      <c r="J7" s="346"/>
      <c r="K7" s="346">
        <v>77</v>
      </c>
      <c r="L7" s="346"/>
      <c r="M7" s="342">
        <f t="shared" ref="M7:M29" si="2">+(($H$6*H7)+($I$6*I7)+($J$6*J7)+($K$6*K7)+($L$6*L7))</f>
        <v>1155</v>
      </c>
      <c r="N7" s="342">
        <f t="shared" ref="N7:N38" si="3">+M7</f>
        <v>1155</v>
      </c>
      <c r="O7" s="342">
        <f t="shared" ref="O7:O38" si="4">+M7/G7</f>
        <v>103.40196956132498</v>
      </c>
      <c r="P7" s="77" t="s">
        <v>170</v>
      </c>
      <c r="Q7" s="57"/>
      <c r="R7" s="351"/>
      <c r="S7" s="351"/>
      <c r="T7" s="351"/>
      <c r="U7" s="351"/>
      <c r="V7" s="351"/>
      <c r="W7" s="350" t="s">
        <v>142</v>
      </c>
      <c r="X7" s="350" t="s">
        <v>142</v>
      </c>
      <c r="Y7" s="350"/>
    </row>
    <row r="8" spans="1:27" ht="15.5" x14ac:dyDescent="0.35">
      <c r="A8" s="103">
        <v>46082</v>
      </c>
      <c r="B8" s="79">
        <v>0.77638888888888891</v>
      </c>
      <c r="C8" s="79">
        <v>0.24236111111111111</v>
      </c>
      <c r="D8" s="53">
        <f t="shared" si="0"/>
        <v>0.46597222222222212</v>
      </c>
      <c r="E8" s="322">
        <f t="shared" ref="E8:E71" si="5">F7</f>
        <v>150983</v>
      </c>
      <c r="F8" s="324">
        <v>152183</v>
      </c>
      <c r="G8" s="302">
        <f t="shared" si="1"/>
        <v>12</v>
      </c>
      <c r="H8" s="346"/>
      <c r="I8" s="346">
        <v>58</v>
      </c>
      <c r="J8" s="346"/>
      <c r="K8" s="346">
        <v>69</v>
      </c>
      <c r="L8" s="346">
        <v>6</v>
      </c>
      <c r="M8" s="342">
        <f t="shared" si="2"/>
        <v>1359</v>
      </c>
      <c r="N8" s="342">
        <f t="shared" si="3"/>
        <v>1359</v>
      </c>
      <c r="O8" s="342">
        <f t="shared" si="4"/>
        <v>113.25</v>
      </c>
      <c r="P8" s="77" t="s">
        <v>177</v>
      </c>
      <c r="Q8" s="57"/>
      <c r="R8" s="351"/>
      <c r="S8" s="351"/>
      <c r="T8" s="351"/>
      <c r="U8" s="351"/>
      <c r="V8" s="351"/>
      <c r="W8" s="350" t="s">
        <v>142</v>
      </c>
      <c r="X8" s="350" t="s">
        <v>142</v>
      </c>
      <c r="Y8" s="350"/>
    </row>
    <row r="9" spans="1:27" ht="15.5" x14ac:dyDescent="0.35">
      <c r="A9" s="103">
        <v>46083</v>
      </c>
      <c r="B9" s="79">
        <v>0.26874999999999999</v>
      </c>
      <c r="C9" s="79">
        <v>0.56944444444444442</v>
      </c>
      <c r="D9" s="53">
        <f t="shared" si="0"/>
        <v>1.3006944444444444</v>
      </c>
      <c r="E9" s="322">
        <f t="shared" si="5"/>
        <v>152183</v>
      </c>
      <c r="F9" s="231">
        <v>152928</v>
      </c>
      <c r="G9" s="302">
        <f t="shared" si="1"/>
        <v>7.45</v>
      </c>
      <c r="H9" s="343"/>
      <c r="I9" s="343">
        <v>68</v>
      </c>
      <c r="J9" s="343">
        <v>25</v>
      </c>
      <c r="K9" s="343">
        <v>18</v>
      </c>
      <c r="L9" s="343"/>
      <c r="M9" s="342">
        <f t="shared" si="2"/>
        <v>649</v>
      </c>
      <c r="N9" s="342">
        <f t="shared" si="3"/>
        <v>649</v>
      </c>
      <c r="O9" s="342">
        <f t="shared" si="4"/>
        <v>87.114093959731548</v>
      </c>
      <c r="P9" s="77" t="s">
        <v>168</v>
      </c>
      <c r="Q9" s="77"/>
      <c r="R9" s="341"/>
      <c r="S9" s="341"/>
      <c r="T9" s="341"/>
      <c r="U9" s="341"/>
      <c r="V9" s="341"/>
      <c r="W9" s="340" t="s">
        <v>142</v>
      </c>
      <c r="X9" s="340" t="s">
        <v>142</v>
      </c>
      <c r="Y9" s="340"/>
      <c r="Z9" s="78"/>
      <c r="AA9" s="78"/>
    </row>
    <row r="10" spans="1:27" ht="15.5" x14ac:dyDescent="0.35">
      <c r="A10" s="103">
        <v>46083</v>
      </c>
      <c r="B10" s="79">
        <v>0.60833333333333328</v>
      </c>
      <c r="C10" s="79">
        <v>0.73541666666666672</v>
      </c>
      <c r="D10" s="53">
        <f t="shared" si="0"/>
        <v>1.1270833333333332</v>
      </c>
      <c r="E10" s="322">
        <f t="shared" si="5"/>
        <v>152928</v>
      </c>
      <c r="F10" s="231">
        <v>153308</v>
      </c>
      <c r="G10" s="302">
        <f t="shared" si="1"/>
        <v>3.8</v>
      </c>
      <c r="H10" s="343">
        <v>9</v>
      </c>
      <c r="I10" s="343">
        <v>59</v>
      </c>
      <c r="J10" s="343">
        <v>9</v>
      </c>
      <c r="K10" s="343">
        <v>6</v>
      </c>
      <c r="L10" s="343"/>
      <c r="M10" s="342">
        <f t="shared" si="2"/>
        <v>343.5</v>
      </c>
      <c r="N10" s="342">
        <f t="shared" si="3"/>
        <v>343.5</v>
      </c>
      <c r="O10" s="342">
        <f t="shared" si="4"/>
        <v>90.394736842105274</v>
      </c>
      <c r="P10" s="77" t="s">
        <v>188</v>
      </c>
      <c r="Q10" s="77"/>
      <c r="R10" s="341"/>
      <c r="S10" s="341"/>
      <c r="T10" s="341"/>
      <c r="U10" s="341"/>
      <c r="V10" s="341"/>
      <c r="W10" s="340" t="s">
        <v>142</v>
      </c>
      <c r="X10" s="340" t="s">
        <v>142</v>
      </c>
      <c r="Y10" s="340"/>
      <c r="Z10" s="78"/>
      <c r="AA10" s="78"/>
    </row>
    <row r="11" spans="1:27" ht="15.5" x14ac:dyDescent="0.35">
      <c r="A11" s="103">
        <v>46083</v>
      </c>
      <c r="B11" s="79">
        <v>0.75902777777777775</v>
      </c>
      <c r="C11" s="79">
        <v>0.90138888888888891</v>
      </c>
      <c r="D11" s="53">
        <f t="shared" si="0"/>
        <v>1.1423611111111112</v>
      </c>
      <c r="E11" s="322">
        <f t="shared" si="5"/>
        <v>153308</v>
      </c>
      <c r="F11" s="231">
        <v>153740</v>
      </c>
      <c r="G11" s="302">
        <f t="shared" si="1"/>
        <v>4.32</v>
      </c>
      <c r="H11" s="343"/>
      <c r="I11" s="343">
        <v>100</v>
      </c>
      <c r="J11" s="343">
        <v>7</v>
      </c>
      <c r="K11" s="343">
        <v>2</v>
      </c>
      <c r="L11" s="343"/>
      <c r="M11" s="342">
        <f t="shared" si="2"/>
        <v>379</v>
      </c>
      <c r="N11" s="342">
        <f t="shared" si="3"/>
        <v>379</v>
      </c>
      <c r="O11" s="342">
        <f t="shared" si="4"/>
        <v>87.731481481481481</v>
      </c>
      <c r="P11" s="77" t="s">
        <v>201</v>
      </c>
      <c r="Q11" s="77"/>
      <c r="R11" s="341"/>
      <c r="S11" s="341"/>
      <c r="T11" s="341"/>
      <c r="U11" s="341"/>
      <c r="V11" s="341"/>
      <c r="W11" s="340"/>
      <c r="X11" s="340"/>
      <c r="Y11" s="340"/>
      <c r="Z11" s="78"/>
      <c r="AA11" s="78"/>
    </row>
    <row r="12" spans="1:27" ht="15.5" x14ac:dyDescent="0.35">
      <c r="A12" s="103">
        <v>46083</v>
      </c>
      <c r="B12" s="79">
        <v>0.9243055555555556</v>
      </c>
      <c r="C12" s="79">
        <v>0.24652777777777779</v>
      </c>
      <c r="D12" s="53">
        <f t="shared" si="0"/>
        <v>0.32222222222222208</v>
      </c>
      <c r="E12" s="322">
        <f t="shared" si="5"/>
        <v>153740</v>
      </c>
      <c r="F12" s="231">
        <v>154546</v>
      </c>
      <c r="G12" s="302">
        <f t="shared" si="1"/>
        <v>8.06</v>
      </c>
      <c r="H12" s="343"/>
      <c r="I12" s="343">
        <v>61</v>
      </c>
      <c r="J12" s="343"/>
      <c r="K12" s="343">
        <v>38</v>
      </c>
      <c r="L12" s="343"/>
      <c r="M12" s="342">
        <f t="shared" si="2"/>
        <v>753</v>
      </c>
      <c r="N12" s="342">
        <f t="shared" si="3"/>
        <v>753</v>
      </c>
      <c r="O12" s="342">
        <f t="shared" si="4"/>
        <v>93.424317617865995</v>
      </c>
      <c r="P12" s="77" t="s">
        <v>175</v>
      </c>
      <c r="Q12" s="77"/>
      <c r="R12" s="341"/>
      <c r="S12" s="341"/>
      <c r="T12" s="341"/>
      <c r="U12" s="341"/>
      <c r="V12" s="341"/>
      <c r="W12" s="340" t="s">
        <v>142</v>
      </c>
      <c r="X12" s="340" t="s">
        <v>142</v>
      </c>
      <c r="Y12" s="340"/>
      <c r="Z12" s="78"/>
      <c r="AA12" s="78"/>
    </row>
    <row r="13" spans="1:27" ht="15.5" x14ac:dyDescent="0.35">
      <c r="A13" s="103">
        <v>46084</v>
      </c>
      <c r="B13" s="79">
        <v>0.26944444444444443</v>
      </c>
      <c r="C13" s="79">
        <v>0.5708333333333333</v>
      </c>
      <c r="D13" s="53">
        <f t="shared" si="0"/>
        <v>1.3013888888888889</v>
      </c>
      <c r="E13" s="322">
        <f t="shared" si="5"/>
        <v>154546</v>
      </c>
      <c r="F13" s="231">
        <v>155319</v>
      </c>
      <c r="G13" s="302">
        <f t="shared" si="1"/>
        <v>7.73</v>
      </c>
      <c r="H13" s="343">
        <v>51</v>
      </c>
      <c r="I13" s="343"/>
      <c r="J13" s="343"/>
      <c r="K13" s="343">
        <v>44</v>
      </c>
      <c r="L13" s="343"/>
      <c r="M13" s="342">
        <f>+(($H$6*H13)+($I$6*I13)+($J$6*J13)+($K$6*K13)+(13*L13))</f>
        <v>736.5</v>
      </c>
      <c r="N13" s="342">
        <f t="shared" si="3"/>
        <v>736.5</v>
      </c>
      <c r="O13" s="342">
        <f t="shared" si="4"/>
        <v>95.278137128072444</v>
      </c>
      <c r="P13" s="77" t="s">
        <v>173</v>
      </c>
      <c r="Q13" s="77"/>
      <c r="R13" s="341"/>
      <c r="S13" s="341"/>
      <c r="T13" s="341"/>
      <c r="U13" s="341"/>
      <c r="V13" s="341"/>
      <c r="W13" s="340" t="s">
        <v>142</v>
      </c>
      <c r="X13" s="340" t="s">
        <v>142</v>
      </c>
      <c r="Y13" s="340"/>
      <c r="Z13" s="78"/>
      <c r="AA13" s="78"/>
    </row>
    <row r="14" spans="1:27" s="233" customFormat="1" ht="15.5" x14ac:dyDescent="0.35">
      <c r="A14" s="103">
        <v>46084</v>
      </c>
      <c r="B14" s="79">
        <v>0.60624999999999996</v>
      </c>
      <c r="C14" s="79">
        <v>0.75902777777777775</v>
      </c>
      <c r="D14" s="53">
        <f t="shared" si="0"/>
        <v>1.1527777777777779</v>
      </c>
      <c r="E14" s="322">
        <f t="shared" si="5"/>
        <v>155319</v>
      </c>
      <c r="F14" s="231">
        <v>155747</v>
      </c>
      <c r="G14" s="302">
        <f t="shared" si="1"/>
        <v>4.28</v>
      </c>
      <c r="H14" s="343"/>
      <c r="I14" s="343"/>
      <c r="J14" s="343"/>
      <c r="K14" s="343">
        <v>28</v>
      </c>
      <c r="L14" s="343"/>
      <c r="M14" s="342">
        <f t="shared" si="2"/>
        <v>420</v>
      </c>
      <c r="N14" s="342">
        <f t="shared" si="3"/>
        <v>420</v>
      </c>
      <c r="O14" s="342">
        <f t="shared" si="4"/>
        <v>98.130841121495322</v>
      </c>
      <c r="P14" s="77" t="s">
        <v>170</v>
      </c>
      <c r="Q14" s="234"/>
      <c r="R14" s="352"/>
      <c r="S14" s="352"/>
      <c r="T14" s="352"/>
      <c r="U14" s="352"/>
      <c r="V14" s="352"/>
      <c r="W14" s="352" t="s">
        <v>142</v>
      </c>
      <c r="X14" s="352" t="s">
        <v>142</v>
      </c>
      <c r="Y14" s="352"/>
      <c r="Z14" s="236"/>
      <c r="AA14" s="236"/>
    </row>
    <row r="15" spans="1:27" ht="15.5" x14ac:dyDescent="0.35">
      <c r="A15" s="103">
        <v>46084</v>
      </c>
      <c r="B15" s="79">
        <v>0.77222222222222225</v>
      </c>
      <c r="C15" s="79">
        <v>0.90833333333333333</v>
      </c>
      <c r="D15" s="53">
        <f t="shared" si="0"/>
        <v>1.1361111111111111</v>
      </c>
      <c r="E15" s="322">
        <f t="shared" si="5"/>
        <v>155747</v>
      </c>
      <c r="F15" s="231">
        <v>156112</v>
      </c>
      <c r="G15" s="302">
        <f t="shared" si="1"/>
        <v>3.65</v>
      </c>
      <c r="H15" s="343"/>
      <c r="I15" s="343"/>
      <c r="J15" s="343"/>
      <c r="K15" s="343">
        <v>9</v>
      </c>
      <c r="L15" s="343">
        <v>12</v>
      </c>
      <c r="M15" s="342">
        <f t="shared" si="2"/>
        <v>435</v>
      </c>
      <c r="N15" s="342">
        <f t="shared" si="3"/>
        <v>435</v>
      </c>
      <c r="O15" s="342">
        <f t="shared" si="4"/>
        <v>119.17808219178083</v>
      </c>
      <c r="P15" s="77" t="s">
        <v>170</v>
      </c>
      <c r="Q15" s="77"/>
      <c r="R15" s="341"/>
      <c r="S15" s="341"/>
      <c r="T15" s="341"/>
      <c r="U15" s="341"/>
      <c r="V15" s="341"/>
      <c r="W15" s="340" t="s">
        <v>142</v>
      </c>
      <c r="X15" s="340" t="s">
        <v>142</v>
      </c>
      <c r="Y15" s="340"/>
      <c r="Z15" s="78"/>
      <c r="AA15" s="78"/>
    </row>
    <row r="16" spans="1:27" ht="15.5" x14ac:dyDescent="0.35">
      <c r="A16" s="103">
        <v>46084</v>
      </c>
      <c r="B16" s="79">
        <v>0.92152777777777772</v>
      </c>
      <c r="C16" s="79">
        <v>0.24930555555555556</v>
      </c>
      <c r="D16" s="53">
        <f t="shared" si="0"/>
        <v>0.32777777777777772</v>
      </c>
      <c r="E16" s="322">
        <f t="shared" si="5"/>
        <v>156112</v>
      </c>
      <c r="F16" s="231">
        <v>156916</v>
      </c>
      <c r="G16" s="302">
        <f t="shared" si="1"/>
        <v>8.0399999999999991</v>
      </c>
      <c r="H16" s="343"/>
      <c r="I16" s="343">
        <v>60</v>
      </c>
      <c r="J16" s="343"/>
      <c r="K16" s="343">
        <v>21</v>
      </c>
      <c r="L16" s="343">
        <v>5</v>
      </c>
      <c r="M16" s="342">
        <f t="shared" si="2"/>
        <v>620</v>
      </c>
      <c r="N16" s="342">
        <f t="shared" si="3"/>
        <v>620</v>
      </c>
      <c r="O16" s="342">
        <f t="shared" si="4"/>
        <v>77.114427860696523</v>
      </c>
      <c r="P16" s="77" t="s">
        <v>175</v>
      </c>
      <c r="Q16" s="77"/>
      <c r="R16" s="341"/>
      <c r="S16" s="341"/>
      <c r="T16" s="341"/>
      <c r="U16" s="341"/>
      <c r="V16" s="341"/>
      <c r="W16" s="340"/>
      <c r="X16" s="340"/>
      <c r="Y16" s="340"/>
      <c r="Z16" s="78"/>
      <c r="AA16" s="78"/>
    </row>
    <row r="17" spans="1:27" ht="15.5" x14ac:dyDescent="0.35">
      <c r="A17" s="103">
        <v>46085</v>
      </c>
      <c r="B17" s="79">
        <v>0.27291666666666664</v>
      </c>
      <c r="C17" s="79">
        <v>0.56736111111111109</v>
      </c>
      <c r="D17" s="53">
        <f t="shared" si="0"/>
        <v>1.2944444444444443</v>
      </c>
      <c r="E17" s="322">
        <f t="shared" si="5"/>
        <v>156916</v>
      </c>
      <c r="F17" s="231">
        <v>157723</v>
      </c>
      <c r="G17" s="302">
        <f t="shared" si="1"/>
        <v>8.07</v>
      </c>
      <c r="H17" s="343"/>
      <c r="I17" s="343">
        <v>92</v>
      </c>
      <c r="J17" s="343"/>
      <c r="K17" s="343">
        <v>30</v>
      </c>
      <c r="L17" s="343"/>
      <c r="M17" s="342">
        <f t="shared" si="2"/>
        <v>726</v>
      </c>
      <c r="N17" s="342">
        <f t="shared" si="3"/>
        <v>726</v>
      </c>
      <c r="O17" s="342">
        <f t="shared" si="4"/>
        <v>89.962825278810399</v>
      </c>
      <c r="P17" s="77" t="s">
        <v>173</v>
      </c>
      <c r="Q17" s="77"/>
      <c r="R17" s="341"/>
      <c r="S17" s="341"/>
      <c r="T17" s="341"/>
      <c r="U17" s="341"/>
      <c r="V17" s="341"/>
      <c r="W17" s="340" t="s">
        <v>142</v>
      </c>
      <c r="X17" s="340" t="s">
        <v>142</v>
      </c>
      <c r="Y17" s="340"/>
      <c r="Z17" s="78"/>
      <c r="AA17" s="78"/>
    </row>
    <row r="18" spans="1:27" ht="15.5" x14ac:dyDescent="0.35">
      <c r="A18" s="103">
        <v>46085</v>
      </c>
      <c r="B18" s="79">
        <v>0.59375</v>
      </c>
      <c r="C18" s="79">
        <v>0.73958333333333337</v>
      </c>
      <c r="D18" s="53">
        <f t="shared" si="0"/>
        <v>1.1458333333333335</v>
      </c>
      <c r="E18" s="322">
        <f t="shared" si="5"/>
        <v>157723</v>
      </c>
      <c r="F18" s="231">
        <v>158140</v>
      </c>
      <c r="G18" s="302">
        <f t="shared" si="1"/>
        <v>4.17</v>
      </c>
      <c r="H18" s="343"/>
      <c r="I18" s="343">
        <v>50</v>
      </c>
      <c r="J18" s="343"/>
      <c r="K18" s="343">
        <v>11</v>
      </c>
      <c r="L18" s="343"/>
      <c r="M18" s="342">
        <f t="shared" si="2"/>
        <v>315</v>
      </c>
      <c r="N18" s="342">
        <f t="shared" si="3"/>
        <v>315</v>
      </c>
      <c r="O18" s="342">
        <f t="shared" si="4"/>
        <v>75.539568345323744</v>
      </c>
      <c r="P18" s="77" t="s">
        <v>171</v>
      </c>
      <c r="Q18" s="77"/>
      <c r="R18" s="341"/>
      <c r="S18" s="341"/>
      <c r="T18" s="341"/>
      <c r="U18" s="341"/>
      <c r="V18" s="341"/>
      <c r="W18" s="340" t="s">
        <v>142</v>
      </c>
      <c r="X18" s="340" t="s">
        <v>142</v>
      </c>
      <c r="Y18" s="340"/>
      <c r="Z18" s="78"/>
      <c r="AA18" s="78"/>
    </row>
    <row r="19" spans="1:27" s="233" customFormat="1" ht="15.5" x14ac:dyDescent="0.35">
      <c r="A19" s="103">
        <v>46085</v>
      </c>
      <c r="B19" s="79">
        <v>0.76041666666666663</v>
      </c>
      <c r="C19" s="79">
        <v>0.90972222222222221</v>
      </c>
      <c r="D19" s="53">
        <f t="shared" si="0"/>
        <v>1.1493055555555558</v>
      </c>
      <c r="E19" s="322">
        <f t="shared" si="5"/>
        <v>158140</v>
      </c>
      <c r="F19" s="231">
        <v>158504</v>
      </c>
      <c r="G19" s="302">
        <f t="shared" si="1"/>
        <v>3.64</v>
      </c>
      <c r="H19" s="343"/>
      <c r="I19" s="343">
        <v>10</v>
      </c>
      <c r="J19" s="343">
        <v>19</v>
      </c>
      <c r="K19" s="343">
        <v>8</v>
      </c>
      <c r="L19" s="343"/>
      <c r="M19" s="342">
        <f t="shared" si="2"/>
        <v>283</v>
      </c>
      <c r="N19" s="342">
        <f t="shared" si="3"/>
        <v>283</v>
      </c>
      <c r="O19" s="342">
        <f t="shared" si="4"/>
        <v>77.747252747252745</v>
      </c>
      <c r="P19" s="77" t="s">
        <v>171</v>
      </c>
      <c r="Q19" s="234"/>
      <c r="R19" s="352"/>
      <c r="S19" s="352"/>
      <c r="T19" s="352"/>
      <c r="U19" s="352"/>
      <c r="V19" s="352"/>
      <c r="W19" s="352" t="s">
        <v>142</v>
      </c>
      <c r="X19" s="352" t="s">
        <v>142</v>
      </c>
      <c r="Y19" s="352"/>
      <c r="Z19" s="236"/>
      <c r="AA19" s="236"/>
    </row>
    <row r="20" spans="1:27" ht="15.5" x14ac:dyDescent="0.35">
      <c r="A20" s="103">
        <v>46087</v>
      </c>
      <c r="B20" s="79">
        <v>0.67569444444444449</v>
      </c>
      <c r="C20" s="79">
        <v>0.7319444444444444</v>
      </c>
      <c r="D20" s="53">
        <f t="shared" si="0"/>
        <v>1.0562499999999999</v>
      </c>
      <c r="E20" s="322">
        <f t="shared" si="5"/>
        <v>158504</v>
      </c>
      <c r="F20" s="231">
        <v>159012</v>
      </c>
      <c r="G20" s="302">
        <f t="shared" si="1"/>
        <v>5.08</v>
      </c>
      <c r="H20" s="343"/>
      <c r="I20" s="343"/>
      <c r="J20" s="343"/>
      <c r="K20" s="343">
        <v>10</v>
      </c>
      <c r="L20" s="343"/>
      <c r="M20" s="342">
        <f t="shared" si="2"/>
        <v>150</v>
      </c>
      <c r="N20" s="342">
        <f t="shared" si="3"/>
        <v>150</v>
      </c>
      <c r="O20" s="342">
        <f t="shared" si="4"/>
        <v>29.527559055118111</v>
      </c>
      <c r="P20" s="77" t="s">
        <v>178</v>
      </c>
      <c r="Q20" s="77"/>
      <c r="R20" s="341"/>
      <c r="S20" s="341"/>
      <c r="T20" s="341"/>
      <c r="U20" s="341"/>
      <c r="V20" s="341"/>
      <c r="W20" s="340" t="s">
        <v>142</v>
      </c>
      <c r="X20" s="340" t="s">
        <v>142</v>
      </c>
      <c r="Y20" s="340"/>
      <c r="Z20" s="78"/>
      <c r="AA20" s="78"/>
    </row>
    <row r="21" spans="1:27" ht="15.5" x14ac:dyDescent="0.35">
      <c r="A21" s="103">
        <v>46087</v>
      </c>
      <c r="B21" s="79">
        <v>0.78888888888888886</v>
      </c>
      <c r="C21" s="79">
        <v>0.90902777777777777</v>
      </c>
      <c r="D21" s="53">
        <f t="shared" si="0"/>
        <v>1.120138888888889</v>
      </c>
      <c r="E21" s="322">
        <f t="shared" si="5"/>
        <v>159012</v>
      </c>
      <c r="F21" s="231">
        <v>159405</v>
      </c>
      <c r="G21" s="302">
        <f t="shared" si="1"/>
        <v>3.93</v>
      </c>
      <c r="H21" s="343"/>
      <c r="I21" s="343">
        <v>18</v>
      </c>
      <c r="J21" s="343"/>
      <c r="K21" s="343">
        <v>9</v>
      </c>
      <c r="L21" s="343"/>
      <c r="M21" s="342">
        <f t="shared" si="2"/>
        <v>189</v>
      </c>
      <c r="N21" s="342">
        <f t="shared" si="3"/>
        <v>189</v>
      </c>
      <c r="O21" s="342">
        <f t="shared" si="4"/>
        <v>48.091603053435115</v>
      </c>
      <c r="P21" s="77" t="s">
        <v>178</v>
      </c>
      <c r="Q21" s="77"/>
      <c r="R21" s="341"/>
      <c r="S21" s="341"/>
      <c r="T21" s="341"/>
      <c r="U21" s="341"/>
      <c r="V21" s="341"/>
      <c r="W21" s="340"/>
      <c r="X21" s="340"/>
      <c r="Y21" s="340"/>
      <c r="Z21" s="78"/>
      <c r="AA21" s="78"/>
    </row>
    <row r="22" spans="1:27" ht="15.5" x14ac:dyDescent="0.35">
      <c r="A22" s="103">
        <v>46087</v>
      </c>
      <c r="B22" s="79">
        <v>0.93125000000000002</v>
      </c>
      <c r="C22" s="79">
        <v>0.23958333333333334</v>
      </c>
      <c r="D22" s="53">
        <f t="shared" si="0"/>
        <v>0.30833333333333324</v>
      </c>
      <c r="E22" s="322">
        <f t="shared" si="5"/>
        <v>159405</v>
      </c>
      <c r="F22" s="231">
        <v>160208</v>
      </c>
      <c r="G22" s="302">
        <f t="shared" si="1"/>
        <v>8.0299999999999994</v>
      </c>
      <c r="H22" s="343"/>
      <c r="I22" s="343">
        <v>50</v>
      </c>
      <c r="J22" s="343"/>
      <c r="K22" s="343">
        <v>30</v>
      </c>
      <c r="L22" s="343"/>
      <c r="M22" s="342">
        <f t="shared" si="2"/>
        <v>600</v>
      </c>
      <c r="N22" s="342">
        <f t="shared" si="3"/>
        <v>600</v>
      </c>
      <c r="O22" s="342">
        <f t="shared" si="4"/>
        <v>74.719800747198008</v>
      </c>
      <c r="P22" s="77" t="s">
        <v>175</v>
      </c>
      <c r="Q22" s="77"/>
      <c r="R22" s="341"/>
      <c r="S22" s="341"/>
      <c r="T22" s="341"/>
      <c r="U22" s="341"/>
      <c r="V22" s="341"/>
      <c r="W22" s="340" t="s">
        <v>142</v>
      </c>
      <c r="X22" s="340" t="s">
        <v>142</v>
      </c>
      <c r="Y22" s="340"/>
      <c r="Z22" s="78"/>
      <c r="AA22" s="78"/>
    </row>
    <row r="23" spans="1:27" ht="15.5" x14ac:dyDescent="0.35">
      <c r="A23" s="103">
        <v>46088</v>
      </c>
      <c r="B23" s="79">
        <v>0.27430555555555558</v>
      </c>
      <c r="C23" s="79">
        <v>0.57986111111111116</v>
      </c>
      <c r="D23" s="53">
        <f t="shared" si="0"/>
        <v>1.3055555555555556</v>
      </c>
      <c r="E23" s="322">
        <f t="shared" si="5"/>
        <v>160208</v>
      </c>
      <c r="F23" s="231">
        <v>161020</v>
      </c>
      <c r="G23" s="302">
        <f t="shared" si="1"/>
        <v>8.1199999999999992</v>
      </c>
      <c r="H23" s="343">
        <v>46</v>
      </c>
      <c r="I23" s="343">
        <v>38</v>
      </c>
      <c r="J23" s="343">
        <v>27</v>
      </c>
      <c r="K23" s="343">
        <v>16</v>
      </c>
      <c r="L23" s="343"/>
      <c r="M23" s="342">
        <f>+(($H$6*H23)+($I$6*I23)+($J$6*J23)+($K$6*K23)+(13*L23))</f>
        <v>612</v>
      </c>
      <c r="N23" s="342">
        <f t="shared" si="3"/>
        <v>612</v>
      </c>
      <c r="O23" s="342">
        <f t="shared" si="4"/>
        <v>75.369458128078819</v>
      </c>
      <c r="P23" s="77" t="s">
        <v>168</v>
      </c>
      <c r="Q23" s="77"/>
      <c r="R23" s="341"/>
      <c r="S23" s="341"/>
      <c r="T23" s="341"/>
      <c r="U23" s="341"/>
      <c r="V23" s="341"/>
      <c r="W23" s="340"/>
      <c r="X23" s="340"/>
      <c r="Y23" s="340"/>
      <c r="Z23" s="78"/>
      <c r="AA23" s="78"/>
    </row>
    <row r="24" spans="1:27" s="228" customFormat="1" ht="15.5" x14ac:dyDescent="0.35">
      <c r="A24" s="103">
        <v>46088</v>
      </c>
      <c r="B24" s="79">
        <v>0.6020833333333333</v>
      </c>
      <c r="C24" s="79">
        <v>0.76388888888888884</v>
      </c>
      <c r="D24" s="53">
        <f t="shared" si="0"/>
        <v>1.1618055555555555</v>
      </c>
      <c r="E24" s="322">
        <f t="shared" si="5"/>
        <v>161020</v>
      </c>
      <c r="F24" s="231">
        <v>161433</v>
      </c>
      <c r="G24" s="302">
        <f t="shared" si="1"/>
        <v>4.13</v>
      </c>
      <c r="H24" s="343"/>
      <c r="I24" s="343">
        <v>59</v>
      </c>
      <c r="J24" s="343">
        <v>29</v>
      </c>
      <c r="K24" s="343"/>
      <c r="L24" s="343"/>
      <c r="M24" s="343">
        <f t="shared" si="2"/>
        <v>380</v>
      </c>
      <c r="N24" s="343">
        <f t="shared" si="3"/>
        <v>380</v>
      </c>
      <c r="O24" s="343">
        <f t="shared" si="4"/>
        <v>92.009685230024218</v>
      </c>
      <c r="P24" s="77" t="s">
        <v>188</v>
      </c>
      <c r="Q24" s="82"/>
      <c r="R24" s="348"/>
      <c r="S24" s="348"/>
      <c r="T24" s="348"/>
      <c r="U24" s="348"/>
      <c r="V24" s="348"/>
      <c r="W24" s="348"/>
      <c r="X24" s="348"/>
      <c r="Y24" s="348"/>
      <c r="Z24" s="246"/>
      <c r="AA24" s="246"/>
    </row>
    <row r="25" spans="1:27" ht="15.5" x14ac:dyDescent="0.35">
      <c r="A25" s="103">
        <v>46088</v>
      </c>
      <c r="B25" s="79">
        <v>0.78194444444444444</v>
      </c>
      <c r="C25" s="79">
        <v>0.90694444444444444</v>
      </c>
      <c r="D25" s="53">
        <f t="shared" si="0"/>
        <v>1.125</v>
      </c>
      <c r="E25" s="322">
        <f t="shared" si="5"/>
        <v>161433</v>
      </c>
      <c r="F25" s="324">
        <v>161815</v>
      </c>
      <c r="G25" s="302">
        <f t="shared" si="1"/>
        <v>3.82</v>
      </c>
      <c r="H25" s="346"/>
      <c r="I25" s="346"/>
      <c r="J25" s="346"/>
      <c r="K25" s="346">
        <v>24</v>
      </c>
      <c r="L25" s="346"/>
      <c r="M25" s="342">
        <f t="shared" si="2"/>
        <v>360</v>
      </c>
      <c r="N25" s="342">
        <f t="shared" si="3"/>
        <v>360</v>
      </c>
      <c r="O25" s="342">
        <f t="shared" si="4"/>
        <v>94.240837696335078</v>
      </c>
      <c r="P25" s="77" t="s">
        <v>186</v>
      </c>
      <c r="Q25" s="57"/>
      <c r="R25" s="351"/>
      <c r="S25" s="351"/>
      <c r="T25" s="351"/>
      <c r="U25" s="351"/>
      <c r="V25" s="351"/>
      <c r="W25" s="350" t="s">
        <v>142</v>
      </c>
      <c r="X25" s="350" t="s">
        <v>142</v>
      </c>
      <c r="Y25" s="350"/>
    </row>
    <row r="26" spans="1:27" ht="15.5" x14ac:dyDescent="0.35">
      <c r="A26" s="103">
        <v>46088</v>
      </c>
      <c r="B26" s="79">
        <v>0.9291666666666667</v>
      </c>
      <c r="C26" s="79">
        <v>0.23680555555555555</v>
      </c>
      <c r="D26" s="53">
        <f t="shared" si="0"/>
        <v>0.3076388888888888</v>
      </c>
      <c r="E26" s="322">
        <f t="shared" si="5"/>
        <v>161815</v>
      </c>
      <c r="F26" s="324">
        <v>162600</v>
      </c>
      <c r="G26" s="302">
        <f t="shared" si="1"/>
        <v>7.85</v>
      </c>
      <c r="H26" s="346">
        <v>17</v>
      </c>
      <c r="I26" s="346">
        <v>61</v>
      </c>
      <c r="J26" s="346">
        <v>33</v>
      </c>
      <c r="K26" s="346">
        <v>14</v>
      </c>
      <c r="L26" s="346"/>
      <c r="M26" s="342">
        <f t="shared" si="2"/>
        <v>649.5</v>
      </c>
      <c r="N26" s="342">
        <f t="shared" si="3"/>
        <v>649.5</v>
      </c>
      <c r="O26" s="342">
        <f t="shared" si="4"/>
        <v>82.738853503184714</v>
      </c>
      <c r="P26" s="77" t="s">
        <v>175</v>
      </c>
      <c r="Q26" s="57"/>
      <c r="R26" s="351"/>
      <c r="S26" s="351"/>
      <c r="T26" s="351"/>
      <c r="U26" s="351"/>
      <c r="V26" s="351"/>
      <c r="W26" s="350" t="s">
        <v>142</v>
      </c>
      <c r="X26" s="350" t="s">
        <v>142</v>
      </c>
      <c r="Y26" s="350"/>
    </row>
    <row r="27" spans="1:27" ht="15.5" x14ac:dyDescent="0.35">
      <c r="A27" s="103">
        <v>46089</v>
      </c>
      <c r="B27" s="79">
        <v>0.26041666666666669</v>
      </c>
      <c r="C27" s="79">
        <v>0.66319444444444442</v>
      </c>
      <c r="D27" s="53">
        <f t="shared" si="0"/>
        <v>1.4027777777777777</v>
      </c>
      <c r="E27" s="322">
        <f t="shared" si="5"/>
        <v>162600</v>
      </c>
      <c r="F27" s="231">
        <v>163632</v>
      </c>
      <c r="G27" s="302">
        <f t="shared" si="1"/>
        <v>10.32</v>
      </c>
      <c r="H27" s="343"/>
      <c r="I27" s="343">
        <v>77</v>
      </c>
      <c r="J27" s="343"/>
      <c r="K27" s="343">
        <v>46</v>
      </c>
      <c r="L27" s="343"/>
      <c r="M27" s="342">
        <f t="shared" si="2"/>
        <v>921</v>
      </c>
      <c r="N27" s="342">
        <f t="shared" si="3"/>
        <v>921</v>
      </c>
      <c r="O27" s="342">
        <f t="shared" si="4"/>
        <v>89.244186046511629</v>
      </c>
      <c r="P27" s="77" t="s">
        <v>191</v>
      </c>
      <c r="Q27" s="77" t="s">
        <v>208</v>
      </c>
      <c r="R27" s="341"/>
      <c r="S27" s="341"/>
      <c r="T27" s="341"/>
      <c r="U27" s="341"/>
      <c r="V27" s="341"/>
      <c r="W27" s="340" t="s">
        <v>142</v>
      </c>
      <c r="X27" s="340" t="s">
        <v>142</v>
      </c>
      <c r="Y27" s="340"/>
      <c r="Z27" s="78"/>
      <c r="AA27" s="78"/>
    </row>
    <row r="28" spans="1:27" ht="15.5" x14ac:dyDescent="0.35">
      <c r="A28" s="103">
        <v>46089</v>
      </c>
      <c r="B28" s="79">
        <v>3.888888888888889E-2</v>
      </c>
      <c r="C28" s="79">
        <v>0.24027777777777778</v>
      </c>
      <c r="D28" s="53">
        <f t="shared" si="0"/>
        <v>1.2013888888888888</v>
      </c>
      <c r="E28" s="322">
        <f t="shared" si="5"/>
        <v>163632</v>
      </c>
      <c r="F28" s="231">
        <v>164202</v>
      </c>
      <c r="G28" s="302">
        <f t="shared" si="1"/>
        <v>5.7</v>
      </c>
      <c r="H28" s="343"/>
      <c r="I28" s="343">
        <v>62</v>
      </c>
      <c r="J28" s="343"/>
      <c r="K28" s="343">
        <v>15</v>
      </c>
      <c r="L28" s="343"/>
      <c r="M28" s="342">
        <f>+(($H$6*H28)+($I$6*I28)+($J$6*J28)+($K$6*K28)+(13*L28))</f>
        <v>411</v>
      </c>
      <c r="N28" s="342">
        <f t="shared" si="3"/>
        <v>411</v>
      </c>
      <c r="O28" s="342">
        <f t="shared" si="4"/>
        <v>72.10526315789474</v>
      </c>
      <c r="P28" s="77" t="s">
        <v>171</v>
      </c>
      <c r="Q28" s="77" t="s">
        <v>210</v>
      </c>
      <c r="R28" s="341"/>
      <c r="S28" s="341"/>
      <c r="T28" s="341"/>
      <c r="U28" s="341"/>
      <c r="V28" s="341"/>
      <c r="W28" s="340" t="s">
        <v>142</v>
      </c>
      <c r="X28" s="340" t="s">
        <v>142</v>
      </c>
      <c r="Y28" s="340"/>
      <c r="Z28" s="78"/>
      <c r="AA28" s="78"/>
    </row>
    <row r="29" spans="1:27" ht="15.5" x14ac:dyDescent="0.35">
      <c r="A29" s="103">
        <v>46090</v>
      </c>
      <c r="B29" s="79">
        <v>0.25694444444444442</v>
      </c>
      <c r="C29" s="79">
        <v>0.56944444444444442</v>
      </c>
      <c r="D29" s="53">
        <f t="shared" si="0"/>
        <v>1.3125</v>
      </c>
      <c r="E29" s="322">
        <f t="shared" si="5"/>
        <v>164202</v>
      </c>
      <c r="F29" s="231">
        <v>164920</v>
      </c>
      <c r="G29" s="302">
        <f t="shared" si="1"/>
        <v>7.18</v>
      </c>
      <c r="H29" s="343"/>
      <c r="I29" s="343">
        <v>40</v>
      </c>
      <c r="J29" s="343"/>
      <c r="K29" s="343">
        <v>48</v>
      </c>
      <c r="L29" s="343"/>
      <c r="M29" s="342">
        <f t="shared" si="2"/>
        <v>840</v>
      </c>
      <c r="N29" s="342">
        <f t="shared" si="3"/>
        <v>840</v>
      </c>
      <c r="O29" s="342">
        <f t="shared" si="4"/>
        <v>116.99164345403901</v>
      </c>
      <c r="P29" s="77" t="s">
        <v>201</v>
      </c>
      <c r="Q29" s="43"/>
      <c r="R29" s="341"/>
      <c r="S29" s="341"/>
      <c r="T29" s="341"/>
      <c r="U29" s="341"/>
      <c r="V29" s="341"/>
      <c r="W29" s="340" t="s">
        <v>142</v>
      </c>
      <c r="X29" s="340" t="s">
        <v>142</v>
      </c>
      <c r="Y29" s="340"/>
      <c r="Z29" s="78"/>
      <c r="AA29" s="78"/>
    </row>
    <row r="30" spans="1:27" ht="15.5" x14ac:dyDescent="0.35">
      <c r="A30" s="103">
        <v>46090</v>
      </c>
      <c r="B30" s="79">
        <v>0.60486111111111107</v>
      </c>
      <c r="C30" s="79">
        <v>0.73333333333333328</v>
      </c>
      <c r="D30" s="53">
        <f t="shared" si="0"/>
        <v>1.1284722222222223</v>
      </c>
      <c r="E30" s="322">
        <f t="shared" si="5"/>
        <v>164920</v>
      </c>
      <c r="F30" s="231">
        <v>165302</v>
      </c>
      <c r="G30" s="302">
        <f t="shared" si="1"/>
        <v>3.82</v>
      </c>
      <c r="H30" s="343"/>
      <c r="I30" s="343"/>
      <c r="J30" s="343"/>
      <c r="K30" s="343">
        <v>24</v>
      </c>
      <c r="L30" s="343">
        <v>2</v>
      </c>
      <c r="M30" s="342">
        <f>+(($H$6*H30)+($I$6*I30)+($J$6*J30)+($K$6*K30)+(13*L30))</f>
        <v>386</v>
      </c>
      <c r="N30" s="342">
        <f t="shared" si="3"/>
        <v>386</v>
      </c>
      <c r="O30" s="342">
        <f t="shared" si="4"/>
        <v>101.04712041884817</v>
      </c>
      <c r="P30" s="77" t="s">
        <v>171</v>
      </c>
      <c r="Q30" s="77"/>
      <c r="R30" s="341"/>
      <c r="S30" s="341"/>
      <c r="T30" s="341"/>
      <c r="U30" s="341"/>
      <c r="V30" s="341"/>
      <c r="W30" s="340" t="s">
        <v>142</v>
      </c>
      <c r="X30" s="340" t="s">
        <v>142</v>
      </c>
      <c r="Y30" s="340"/>
      <c r="Z30" s="78"/>
      <c r="AA30" s="78"/>
    </row>
    <row r="31" spans="1:27" ht="15.5" x14ac:dyDescent="0.35">
      <c r="A31" s="103">
        <v>46090</v>
      </c>
      <c r="B31" s="79">
        <v>0.77777777777777779</v>
      </c>
      <c r="C31" s="79">
        <v>0.90347222222222223</v>
      </c>
      <c r="D31" s="53">
        <f t="shared" si="0"/>
        <v>1.1256944444444446</v>
      </c>
      <c r="E31" s="322">
        <f t="shared" si="5"/>
        <v>165302</v>
      </c>
      <c r="F31" s="231">
        <v>165693</v>
      </c>
      <c r="G31" s="302">
        <f t="shared" si="1"/>
        <v>3.91</v>
      </c>
      <c r="H31" s="343"/>
      <c r="I31" s="343">
        <v>68</v>
      </c>
      <c r="J31" s="343"/>
      <c r="K31" s="343">
        <v>8</v>
      </c>
      <c r="L31" s="343"/>
      <c r="M31" s="342">
        <f>+(($H$6*H31)+($I$6*I31)+($J$6*J31)+($K$6*K31)+($L$6*L31))</f>
        <v>324</v>
      </c>
      <c r="N31" s="342">
        <f t="shared" si="3"/>
        <v>324</v>
      </c>
      <c r="O31" s="342">
        <f t="shared" si="4"/>
        <v>82.864450127877234</v>
      </c>
      <c r="P31" s="77" t="s">
        <v>178</v>
      </c>
      <c r="Q31" s="77"/>
      <c r="R31" s="341"/>
      <c r="S31" s="341"/>
      <c r="T31" s="341"/>
      <c r="U31" s="341"/>
      <c r="V31" s="341"/>
      <c r="W31" s="340" t="s">
        <v>142</v>
      </c>
      <c r="X31" s="340" t="s">
        <v>142</v>
      </c>
      <c r="Y31" s="340"/>
      <c r="Z31" s="78"/>
      <c r="AA31" s="78"/>
    </row>
    <row r="32" spans="1:27" ht="15.5" x14ac:dyDescent="0.35">
      <c r="A32" s="103">
        <v>46090</v>
      </c>
      <c r="B32" s="79">
        <v>0.92361111111111116</v>
      </c>
      <c r="C32" s="79">
        <v>0.23402777777777778</v>
      </c>
      <c r="D32" s="53">
        <f>1+C32-B32</f>
        <v>0.31041666666666656</v>
      </c>
      <c r="E32" s="322">
        <f t="shared" si="5"/>
        <v>165693</v>
      </c>
      <c r="F32" s="231">
        <v>166485</v>
      </c>
      <c r="G32" s="302">
        <f t="shared" si="1"/>
        <v>7.92</v>
      </c>
      <c r="H32" s="343"/>
      <c r="I32" s="343">
        <v>115</v>
      </c>
      <c r="J32" s="343">
        <v>36</v>
      </c>
      <c r="K32" s="343">
        <v>12</v>
      </c>
      <c r="L32" s="343"/>
      <c r="M32" s="342">
        <f>+(($H$6*H32)+($I$6*I32)+($J$6*J32)+($K$6*K32)+(13*L32))</f>
        <v>777</v>
      </c>
      <c r="N32" s="342">
        <f>+M32</f>
        <v>777</v>
      </c>
      <c r="O32" s="342">
        <f>+M32/G32</f>
        <v>98.106060606060609</v>
      </c>
      <c r="P32" s="77" t="s">
        <v>175</v>
      </c>
      <c r="Q32" s="77"/>
      <c r="R32" s="341"/>
      <c r="S32" s="341"/>
      <c r="T32" s="341"/>
      <c r="U32" s="341"/>
      <c r="V32" s="341"/>
      <c r="W32" s="340" t="s">
        <v>142</v>
      </c>
      <c r="X32" s="340" t="s">
        <v>142</v>
      </c>
      <c r="Y32" s="340"/>
      <c r="Z32" s="78"/>
      <c r="AA32" s="78"/>
    </row>
    <row r="33" spans="1:27" ht="15.5" x14ac:dyDescent="0.35">
      <c r="A33" s="103">
        <v>46091</v>
      </c>
      <c r="B33" s="79">
        <v>0.25347222222222221</v>
      </c>
      <c r="C33" s="79">
        <v>0.57499999999999996</v>
      </c>
      <c r="D33" s="53">
        <f>1+C33-B33</f>
        <v>1.3215277777777779</v>
      </c>
      <c r="E33" s="322">
        <f t="shared" si="5"/>
        <v>166485</v>
      </c>
      <c r="F33" s="231">
        <v>167280</v>
      </c>
      <c r="G33" s="302">
        <f t="shared" si="1"/>
        <v>7.95</v>
      </c>
      <c r="H33" s="343">
        <v>20</v>
      </c>
      <c r="I33" s="343"/>
      <c r="J33" s="343">
        <v>51</v>
      </c>
      <c r="K33" s="343">
        <v>30</v>
      </c>
      <c r="L33" s="343"/>
      <c r="M33" s="342">
        <f>+(($H$6*H33)+($I$6*I33)+($J$6*J33)+($K$6*K33)+($L$6*L33))</f>
        <v>837</v>
      </c>
      <c r="N33" s="342">
        <f>+M33</f>
        <v>837</v>
      </c>
      <c r="O33" s="342">
        <f>+M33/G33</f>
        <v>105.28301886792453</v>
      </c>
      <c r="P33" s="77" t="s">
        <v>179</v>
      </c>
      <c r="Q33" s="77"/>
      <c r="R33" s="341"/>
      <c r="S33" s="341"/>
      <c r="T33" s="341"/>
      <c r="U33" s="341"/>
      <c r="V33" s="341"/>
      <c r="W33" s="340" t="s">
        <v>142</v>
      </c>
      <c r="X33" s="340" t="s">
        <v>142</v>
      </c>
      <c r="Y33" s="340"/>
      <c r="Z33" s="78"/>
      <c r="AA33" s="78"/>
    </row>
    <row r="34" spans="1:27" ht="15.5" x14ac:dyDescent="0.35">
      <c r="A34" s="103">
        <v>46091</v>
      </c>
      <c r="B34" s="79">
        <v>0.59722222222222221</v>
      </c>
      <c r="C34" s="79">
        <v>0.74305555555555558</v>
      </c>
      <c r="D34" s="53">
        <f>1+C34-B34</f>
        <v>1.1458333333333335</v>
      </c>
      <c r="E34" s="322">
        <f t="shared" si="5"/>
        <v>167280</v>
      </c>
      <c r="F34" s="231">
        <v>167691</v>
      </c>
      <c r="G34" s="302">
        <f t="shared" si="1"/>
        <v>4.1100000000000003</v>
      </c>
      <c r="H34" s="343"/>
      <c r="I34" s="343"/>
      <c r="J34" s="343"/>
      <c r="K34" s="343">
        <v>28</v>
      </c>
      <c r="L34" s="343"/>
      <c r="M34" s="349">
        <f>+(($H$6*H34)+($I$6*I34)+($J$6*J34)+($K$6*K34)+(13*L34))</f>
        <v>420</v>
      </c>
      <c r="N34" s="342">
        <f>+M34</f>
        <v>420</v>
      </c>
      <c r="O34" s="342">
        <f>+M34/G34</f>
        <v>102.1897810218978</v>
      </c>
      <c r="P34" s="82" t="s">
        <v>191</v>
      </c>
      <c r="Q34" s="77"/>
      <c r="R34" s="341"/>
      <c r="S34" s="341"/>
      <c r="T34" s="341"/>
      <c r="U34" s="341"/>
      <c r="V34" s="341"/>
      <c r="W34" s="340" t="s">
        <v>142</v>
      </c>
      <c r="X34" s="340" t="s">
        <v>142</v>
      </c>
      <c r="Y34" s="340"/>
      <c r="Z34" s="78"/>
      <c r="AA34" s="78"/>
    </row>
    <row r="35" spans="1:27" ht="15.5" x14ac:dyDescent="0.35">
      <c r="A35" s="103">
        <v>46091</v>
      </c>
      <c r="B35" s="79">
        <v>0.77569444444444446</v>
      </c>
      <c r="C35" s="79">
        <v>0.90486111111111112</v>
      </c>
      <c r="D35" s="53">
        <f t="shared" si="0"/>
        <v>1.1291666666666667</v>
      </c>
      <c r="E35" s="322">
        <f t="shared" si="5"/>
        <v>167691</v>
      </c>
      <c r="F35" s="231">
        <v>168085</v>
      </c>
      <c r="G35" s="302">
        <f t="shared" si="1"/>
        <v>3.94</v>
      </c>
      <c r="H35" s="343"/>
      <c r="I35" s="343"/>
      <c r="J35" s="343"/>
      <c r="K35" s="343">
        <v>27</v>
      </c>
      <c r="L35" s="343"/>
      <c r="M35" s="342">
        <f>+(($H$6*H35)+($I$6*I35)+($J$6*J35)+($K$6*K35)+($L$6*L35))</f>
        <v>405</v>
      </c>
      <c r="N35" s="342">
        <f t="shared" si="3"/>
        <v>405</v>
      </c>
      <c r="O35" s="342">
        <f t="shared" si="4"/>
        <v>102.79187817258884</v>
      </c>
      <c r="P35" s="77" t="s">
        <v>170</v>
      </c>
      <c r="Q35" s="77"/>
      <c r="R35" s="341"/>
      <c r="S35" s="341"/>
      <c r="T35" s="341"/>
      <c r="U35" s="341"/>
      <c r="V35" s="341"/>
      <c r="W35" s="340">
        <f>+(($H$6*R35)+($I$6*S35)+($J$6*T35)+($K$6*U35)+($L$6*V35))</f>
        <v>0</v>
      </c>
      <c r="X35" s="340">
        <f>+W35</f>
        <v>0</v>
      </c>
      <c r="Y35" s="340"/>
      <c r="Z35" s="78"/>
      <c r="AA35" s="78"/>
    </row>
    <row r="36" spans="1:27" ht="15.5" x14ac:dyDescent="0.35">
      <c r="A36" s="103">
        <v>46091</v>
      </c>
      <c r="B36" s="79">
        <v>0.91874999999999996</v>
      </c>
      <c r="C36" s="79">
        <v>0.24861111111111112</v>
      </c>
      <c r="D36" s="53">
        <f t="shared" si="0"/>
        <v>0.32986111111111116</v>
      </c>
      <c r="E36" s="322">
        <v>168085</v>
      </c>
      <c r="F36" s="231">
        <v>168882</v>
      </c>
      <c r="G36" s="302">
        <f t="shared" si="1"/>
        <v>7.97</v>
      </c>
      <c r="H36" s="343"/>
      <c r="I36" s="343">
        <v>71</v>
      </c>
      <c r="J36" s="343"/>
      <c r="K36" s="343">
        <v>43</v>
      </c>
      <c r="L36" s="343"/>
      <c r="M36" s="342">
        <f>+(($H$6*H36)+($I$6*I36)+($J$6*J36)+($K$6*K36)+($L$6*L36))</f>
        <v>858</v>
      </c>
      <c r="N36" s="342">
        <f t="shared" si="3"/>
        <v>858</v>
      </c>
      <c r="O36" s="342">
        <f t="shared" si="4"/>
        <v>107.65370138017566</v>
      </c>
      <c r="P36" s="77" t="s">
        <v>201</v>
      </c>
      <c r="Q36" s="77"/>
      <c r="R36" s="341"/>
      <c r="S36" s="341"/>
      <c r="T36" s="341"/>
      <c r="U36" s="341"/>
      <c r="V36" s="341"/>
      <c r="W36" s="340"/>
      <c r="X36" s="340"/>
      <c r="Y36" s="340"/>
      <c r="Z36" s="78"/>
      <c r="AA36" s="78"/>
    </row>
    <row r="37" spans="1:27" ht="15.5" x14ac:dyDescent="0.35">
      <c r="A37" s="103">
        <v>46090</v>
      </c>
      <c r="B37" s="79">
        <v>0.27083333333333331</v>
      </c>
      <c r="C37" s="79">
        <v>0.55763888888888891</v>
      </c>
      <c r="D37" s="53">
        <f t="shared" si="0"/>
        <v>1.2868055555555558</v>
      </c>
      <c r="E37" s="322">
        <f t="shared" si="5"/>
        <v>168882</v>
      </c>
      <c r="F37" s="231">
        <v>169588</v>
      </c>
      <c r="G37" s="302">
        <f t="shared" si="1"/>
        <v>7.06</v>
      </c>
      <c r="H37" s="343"/>
      <c r="I37" s="343"/>
      <c r="J37" s="343">
        <v>30</v>
      </c>
      <c r="K37" s="343">
        <v>24</v>
      </c>
      <c r="L37" s="343"/>
      <c r="M37" s="342">
        <f>+(($H$6*H37)+($I$6*I37)+($J$6*J37)+($K$6*K37)+(13*L37))</f>
        <v>570</v>
      </c>
      <c r="N37" s="342">
        <f t="shared" si="3"/>
        <v>570</v>
      </c>
      <c r="O37" s="342">
        <f t="shared" si="4"/>
        <v>80.736543909348441</v>
      </c>
      <c r="P37" s="77" t="s">
        <v>173</v>
      </c>
      <c r="Q37" s="77"/>
      <c r="R37" s="341"/>
      <c r="S37" s="341"/>
      <c r="T37" s="341"/>
      <c r="U37" s="341"/>
      <c r="V37" s="341"/>
      <c r="W37" s="340"/>
      <c r="X37" s="340"/>
      <c r="Y37" s="340"/>
      <c r="Z37" s="78"/>
      <c r="AA37" s="78"/>
    </row>
    <row r="38" spans="1:27" ht="15.5" x14ac:dyDescent="0.35">
      <c r="A38" s="103">
        <v>46092</v>
      </c>
      <c r="B38" s="79">
        <v>0.75763888888888886</v>
      </c>
      <c r="C38" s="79">
        <v>0.90347222222222223</v>
      </c>
      <c r="D38" s="53">
        <f t="shared" si="0"/>
        <v>1.1458333333333335</v>
      </c>
      <c r="E38" s="322">
        <v>169915</v>
      </c>
      <c r="F38" s="231">
        <v>170302</v>
      </c>
      <c r="G38" s="302">
        <f t="shared" si="1"/>
        <v>3.87</v>
      </c>
      <c r="H38" s="343"/>
      <c r="I38" s="343"/>
      <c r="J38" s="343"/>
      <c r="K38" s="343">
        <v>27</v>
      </c>
      <c r="L38" s="343"/>
      <c r="M38" s="342">
        <f t="shared" ref="M38:M44" si="6">+(($H$6*H38)+($I$6*I38)+($J$6*J38)+($K$6*K38)+($L$6*L38))</f>
        <v>405</v>
      </c>
      <c r="N38" s="342">
        <f t="shared" si="3"/>
        <v>405</v>
      </c>
      <c r="O38" s="342">
        <f t="shared" si="4"/>
        <v>104.65116279069767</v>
      </c>
      <c r="P38" s="77" t="s">
        <v>179</v>
      </c>
      <c r="Q38" s="77"/>
      <c r="R38" s="341"/>
      <c r="S38" s="341"/>
      <c r="T38" s="341"/>
      <c r="U38" s="341"/>
      <c r="V38" s="341"/>
      <c r="W38" s="340">
        <f>+(($H$6*R38)+($I$6*S38)+($J$6*T38)+($K$6*U38)+($L$6*V38))</f>
        <v>0</v>
      </c>
      <c r="X38" s="340">
        <f>+W38</f>
        <v>0</v>
      </c>
      <c r="Y38" s="340"/>
      <c r="Z38" s="78"/>
      <c r="AA38" s="78"/>
    </row>
    <row r="39" spans="1:27" ht="14.25" customHeight="1" x14ac:dyDescent="0.35">
      <c r="A39" s="103">
        <v>46092</v>
      </c>
      <c r="B39" s="79">
        <v>0.92152777777777772</v>
      </c>
      <c r="C39" s="79">
        <v>0.23819444444444443</v>
      </c>
      <c r="D39" s="53">
        <f t="shared" ref="D39:D70" si="7">1+C39-B39</f>
        <v>0.31666666666666665</v>
      </c>
      <c r="E39" s="322">
        <f t="shared" si="5"/>
        <v>170302</v>
      </c>
      <c r="F39" s="231">
        <v>171091</v>
      </c>
      <c r="G39" s="302">
        <f t="shared" si="1"/>
        <v>7.89</v>
      </c>
      <c r="H39" s="343"/>
      <c r="I39" s="343">
        <v>109</v>
      </c>
      <c r="J39" s="343"/>
      <c r="K39" s="343">
        <v>34</v>
      </c>
      <c r="L39" s="343"/>
      <c r="M39" s="342">
        <f>+(($H$6*H39)+($I$6*I39)+($J$6*J39)+($K$6*K39)+(13*L39))</f>
        <v>837</v>
      </c>
      <c r="N39" s="342">
        <f t="shared" ref="N39:N70" si="8">+M39</f>
        <v>837</v>
      </c>
      <c r="O39" s="342">
        <f t="shared" ref="O39:O70" si="9">+M39/G39</f>
        <v>106.08365019011407</v>
      </c>
      <c r="P39" s="77" t="s">
        <v>201</v>
      </c>
      <c r="Q39" s="77"/>
      <c r="R39" s="341"/>
      <c r="S39" s="341"/>
      <c r="T39" s="341"/>
      <c r="U39" s="341"/>
      <c r="V39" s="341"/>
      <c r="W39" s="340"/>
      <c r="X39" s="340"/>
      <c r="Y39" s="340"/>
      <c r="Z39" s="78"/>
      <c r="AA39" s="78"/>
    </row>
    <row r="40" spans="1:27" ht="14.25" customHeight="1" x14ac:dyDescent="0.35">
      <c r="A40" s="103">
        <v>46093</v>
      </c>
      <c r="B40" s="79">
        <v>0.26805555555555555</v>
      </c>
      <c r="C40" s="79">
        <v>0.58333333333333337</v>
      </c>
      <c r="D40" s="53">
        <f t="shared" si="7"/>
        <v>1.315277777777778</v>
      </c>
      <c r="E40" s="322">
        <f t="shared" si="5"/>
        <v>171091</v>
      </c>
      <c r="F40" s="231">
        <v>171609</v>
      </c>
      <c r="G40" s="302">
        <f t="shared" si="1"/>
        <v>5.18</v>
      </c>
      <c r="H40" s="343"/>
      <c r="I40" s="343"/>
      <c r="J40" s="343">
        <v>36</v>
      </c>
      <c r="K40" s="343">
        <v>15</v>
      </c>
      <c r="L40" s="343">
        <v>2</v>
      </c>
      <c r="M40" s="342">
        <f>+(($H$6*H40)+($I$6*I40)+($J$6*J40)+($K$6*K40)+(13*L40))</f>
        <v>503</v>
      </c>
      <c r="N40" s="342">
        <f t="shared" si="8"/>
        <v>503</v>
      </c>
      <c r="O40" s="342">
        <f t="shared" si="9"/>
        <v>97.104247104247108</v>
      </c>
      <c r="P40" s="77" t="s">
        <v>186</v>
      </c>
      <c r="Q40" s="77"/>
      <c r="R40" s="341"/>
      <c r="S40" s="341"/>
      <c r="T40" s="341"/>
      <c r="U40" s="341"/>
      <c r="V40" s="341"/>
      <c r="W40" s="340">
        <f t="shared" ref="W40:W48" si="10">+(($H$6*R40)+($I$6*S40)+($J$6*T40)+($K$6*U40)+($L$6*V40))</f>
        <v>0</v>
      </c>
      <c r="X40" s="340">
        <f t="shared" ref="X40:X48" si="11">+W40</f>
        <v>0</v>
      </c>
      <c r="Y40" s="340"/>
      <c r="Z40" s="78"/>
      <c r="AA40" s="78"/>
    </row>
    <row r="41" spans="1:27" ht="15.5" x14ac:dyDescent="0.35">
      <c r="A41" s="103">
        <v>46093</v>
      </c>
      <c r="B41" s="79">
        <v>0.59861111111111109</v>
      </c>
      <c r="C41" s="79">
        <v>0.74930555555555556</v>
      </c>
      <c r="D41" s="53">
        <f t="shared" si="7"/>
        <v>1.1506944444444445</v>
      </c>
      <c r="E41" s="322">
        <f t="shared" si="5"/>
        <v>171609</v>
      </c>
      <c r="F41" s="231">
        <v>172003</v>
      </c>
      <c r="G41" s="302">
        <v>4</v>
      </c>
      <c r="H41" s="343"/>
      <c r="I41" s="343"/>
      <c r="J41" s="343">
        <v>90</v>
      </c>
      <c r="K41" s="343">
        <v>6</v>
      </c>
      <c r="L41" s="343"/>
      <c r="M41" s="342">
        <f t="shared" si="6"/>
        <v>720</v>
      </c>
      <c r="N41" s="342">
        <f t="shared" si="8"/>
        <v>720</v>
      </c>
      <c r="O41" s="342">
        <f t="shared" si="9"/>
        <v>180</v>
      </c>
      <c r="P41" s="77" t="s">
        <v>170</v>
      </c>
      <c r="Q41" s="77"/>
      <c r="R41" s="341"/>
      <c r="S41" s="341"/>
      <c r="T41" s="341"/>
      <c r="U41" s="341"/>
      <c r="V41" s="341"/>
      <c r="W41" s="340">
        <f t="shared" si="10"/>
        <v>0</v>
      </c>
      <c r="X41" s="340">
        <f t="shared" si="11"/>
        <v>0</v>
      </c>
      <c r="Y41" s="340"/>
      <c r="Z41" s="78"/>
      <c r="AA41" s="78"/>
    </row>
    <row r="42" spans="1:27" ht="15.5" x14ac:dyDescent="0.35">
      <c r="A42" s="103">
        <v>46093</v>
      </c>
      <c r="B42" s="79">
        <v>0.78055555555555556</v>
      </c>
      <c r="C42" s="79">
        <v>0.90763888888888888</v>
      </c>
      <c r="D42" s="53">
        <f t="shared" si="7"/>
        <v>1.1270833333333332</v>
      </c>
      <c r="E42" s="322">
        <f t="shared" si="5"/>
        <v>172003</v>
      </c>
      <c r="F42" s="324">
        <v>172396</v>
      </c>
      <c r="G42" s="302">
        <f t="shared" si="1"/>
        <v>3.93</v>
      </c>
      <c r="H42" s="343"/>
      <c r="I42" s="343">
        <v>11</v>
      </c>
      <c r="J42" s="343"/>
      <c r="K42" s="343">
        <v>24</v>
      </c>
      <c r="L42" s="343"/>
      <c r="M42" s="342">
        <f t="shared" si="6"/>
        <v>393</v>
      </c>
      <c r="N42" s="342">
        <f t="shared" si="8"/>
        <v>393</v>
      </c>
      <c r="O42" s="342">
        <f t="shared" si="9"/>
        <v>100</v>
      </c>
      <c r="P42" s="77" t="s">
        <v>178</v>
      </c>
      <c r="Q42" s="77"/>
      <c r="R42" s="341"/>
      <c r="S42" s="341"/>
      <c r="T42" s="341"/>
      <c r="U42" s="341"/>
      <c r="V42" s="341"/>
      <c r="W42" s="340">
        <f t="shared" si="10"/>
        <v>0</v>
      </c>
      <c r="X42" s="340">
        <f t="shared" si="11"/>
        <v>0</v>
      </c>
      <c r="Y42" s="340"/>
      <c r="Z42" s="78"/>
      <c r="AA42" s="78"/>
    </row>
    <row r="43" spans="1:27" ht="15.5" x14ac:dyDescent="0.35">
      <c r="A43" s="103">
        <v>46093</v>
      </c>
      <c r="B43" s="79">
        <v>0.92777777777777781</v>
      </c>
      <c r="C43" s="79">
        <v>0.2361111111111111</v>
      </c>
      <c r="D43" s="53">
        <f t="shared" si="7"/>
        <v>0.30833333333333335</v>
      </c>
      <c r="E43" s="322">
        <f t="shared" si="5"/>
        <v>172396</v>
      </c>
      <c r="F43" s="231">
        <v>173205</v>
      </c>
      <c r="G43" s="302">
        <f t="shared" si="1"/>
        <v>8.09</v>
      </c>
      <c r="H43" s="343"/>
      <c r="I43" s="343"/>
      <c r="J43" s="343">
        <v>46</v>
      </c>
      <c r="K43" s="343">
        <v>32</v>
      </c>
      <c r="L43" s="343"/>
      <c r="M43" s="342">
        <f>+(($H$6*H43)+($I$6*I43)+($J$6*J43)+($K$6*K43)+(13*L43))</f>
        <v>802</v>
      </c>
      <c r="N43" s="342">
        <f t="shared" si="8"/>
        <v>802</v>
      </c>
      <c r="O43" s="342">
        <f t="shared" si="9"/>
        <v>99.134734239802228</v>
      </c>
      <c r="P43" s="77" t="s">
        <v>201</v>
      </c>
      <c r="Q43" s="77"/>
      <c r="R43" s="341"/>
      <c r="S43" s="341"/>
      <c r="T43" s="341"/>
      <c r="U43" s="341"/>
      <c r="V43" s="341"/>
      <c r="W43" s="340">
        <f t="shared" si="10"/>
        <v>0</v>
      </c>
      <c r="X43" s="340">
        <f t="shared" si="11"/>
        <v>0</v>
      </c>
      <c r="Y43" s="340"/>
      <c r="Z43" s="78"/>
      <c r="AA43" s="78"/>
    </row>
    <row r="44" spans="1:27" ht="15.5" x14ac:dyDescent="0.35">
      <c r="A44" s="103">
        <v>46094</v>
      </c>
      <c r="B44" s="79">
        <v>0.25694444444444442</v>
      </c>
      <c r="C44" s="79">
        <v>0.58194444444444449</v>
      </c>
      <c r="D44" s="53">
        <f t="shared" si="7"/>
        <v>1.325</v>
      </c>
      <c r="E44" s="322">
        <f t="shared" si="5"/>
        <v>173205</v>
      </c>
      <c r="F44" s="231">
        <v>174007</v>
      </c>
      <c r="G44" s="302">
        <f t="shared" si="1"/>
        <v>8.02</v>
      </c>
      <c r="H44" s="343">
        <v>3</v>
      </c>
      <c r="I44" s="343">
        <v>87</v>
      </c>
      <c r="J44" s="343">
        <v>36</v>
      </c>
      <c r="K44" s="343">
        <v>25</v>
      </c>
      <c r="L44" s="343"/>
      <c r="M44" s="342">
        <f t="shared" si="6"/>
        <v>892.5</v>
      </c>
      <c r="N44" s="342">
        <f t="shared" si="8"/>
        <v>892.5</v>
      </c>
      <c r="O44" s="342">
        <f t="shared" si="9"/>
        <v>111.28428927680798</v>
      </c>
      <c r="P44" s="334" t="s">
        <v>186</v>
      </c>
      <c r="Q44" s="77"/>
      <c r="R44" s="341"/>
      <c r="S44" s="341"/>
      <c r="T44" s="341"/>
      <c r="U44" s="341"/>
      <c r="V44" s="341"/>
      <c r="W44" s="340">
        <f t="shared" si="10"/>
        <v>0</v>
      </c>
      <c r="X44" s="340">
        <f t="shared" si="11"/>
        <v>0</v>
      </c>
      <c r="Y44" s="340"/>
      <c r="Z44" s="78"/>
      <c r="AA44" s="78"/>
    </row>
    <row r="45" spans="1:27" ht="15.5" x14ac:dyDescent="0.35">
      <c r="A45" s="103">
        <v>46094</v>
      </c>
      <c r="B45" s="79">
        <v>0.60763888888888884</v>
      </c>
      <c r="C45" s="79">
        <v>0.74652777777777779</v>
      </c>
      <c r="D45" s="53">
        <f t="shared" ref="D45:D54" si="12">1+C45-B45</f>
        <v>1.1388888888888888</v>
      </c>
      <c r="E45" s="322">
        <f t="shared" si="5"/>
        <v>174007</v>
      </c>
      <c r="F45" s="231">
        <v>174392</v>
      </c>
      <c r="G45" s="302">
        <f t="shared" si="1"/>
        <v>3.85</v>
      </c>
      <c r="H45" s="343"/>
      <c r="I45" s="343"/>
      <c r="J45" s="343"/>
      <c r="K45" s="343">
        <v>14</v>
      </c>
      <c r="L45" s="343">
        <v>8</v>
      </c>
      <c r="M45" s="342">
        <f>+(($H$6*H45)+($I$6*I45)+($J$6*J45)+($K$6*K45)+($L$6*L45))</f>
        <v>410</v>
      </c>
      <c r="N45" s="342">
        <f t="shared" ref="N45:N54" si="13">+M45</f>
        <v>410</v>
      </c>
      <c r="O45" s="342">
        <f t="shared" ref="O45:O54" si="14">+M45/G45</f>
        <v>106.49350649350649</v>
      </c>
      <c r="P45" s="77" t="s">
        <v>178</v>
      </c>
      <c r="Q45" s="77"/>
      <c r="R45" s="341"/>
      <c r="S45" s="341"/>
      <c r="T45" s="341"/>
      <c r="U45" s="341"/>
      <c r="V45" s="341"/>
      <c r="W45" s="340">
        <f t="shared" si="10"/>
        <v>0</v>
      </c>
      <c r="X45" s="340">
        <f t="shared" si="11"/>
        <v>0</v>
      </c>
      <c r="Y45" s="340"/>
      <c r="Z45" s="78"/>
      <c r="AA45" s="78"/>
    </row>
    <row r="46" spans="1:27" ht="15.5" x14ac:dyDescent="0.35">
      <c r="A46" s="103">
        <v>46094</v>
      </c>
      <c r="B46" s="79">
        <v>0.78055555555555556</v>
      </c>
      <c r="C46" s="79">
        <v>0.90833333333333333</v>
      </c>
      <c r="D46" s="53">
        <f t="shared" si="12"/>
        <v>1.1277777777777778</v>
      </c>
      <c r="E46" s="322">
        <f t="shared" si="5"/>
        <v>174392</v>
      </c>
      <c r="F46" s="324">
        <v>174736</v>
      </c>
      <c r="G46" s="302">
        <f t="shared" si="1"/>
        <v>3.44</v>
      </c>
      <c r="H46" s="343"/>
      <c r="I46" s="343"/>
      <c r="J46" s="343"/>
      <c r="K46" s="343">
        <v>22</v>
      </c>
      <c r="L46" s="343"/>
      <c r="M46" s="342">
        <f>+(($H$6*H46)+($I$6*I46)+($J$6*J46)+($K$6*K46)+($L$6*L46))</f>
        <v>330</v>
      </c>
      <c r="N46" s="342">
        <f t="shared" si="13"/>
        <v>330</v>
      </c>
      <c r="O46" s="342">
        <f t="shared" si="14"/>
        <v>95.930232558139537</v>
      </c>
      <c r="P46" s="77" t="s">
        <v>178</v>
      </c>
      <c r="Q46" s="77"/>
      <c r="R46" s="341"/>
      <c r="S46" s="341"/>
      <c r="T46" s="341"/>
      <c r="U46" s="341"/>
      <c r="V46" s="341"/>
      <c r="W46" s="340">
        <f t="shared" si="10"/>
        <v>0</v>
      </c>
      <c r="X46" s="340">
        <f t="shared" si="11"/>
        <v>0</v>
      </c>
      <c r="Y46" s="340"/>
      <c r="Z46" s="78"/>
      <c r="AA46" s="78"/>
    </row>
    <row r="47" spans="1:27" ht="15.5" x14ac:dyDescent="0.35">
      <c r="A47" s="103">
        <v>46094</v>
      </c>
      <c r="B47" s="79">
        <v>0.93055555555555558</v>
      </c>
      <c r="C47" s="79">
        <v>0.23749999999999999</v>
      </c>
      <c r="D47" s="53">
        <f t="shared" si="12"/>
        <v>0.30694444444444446</v>
      </c>
      <c r="E47" s="322">
        <f t="shared" si="5"/>
        <v>174736</v>
      </c>
      <c r="F47" s="231">
        <v>175527</v>
      </c>
      <c r="G47" s="302">
        <f t="shared" si="1"/>
        <v>7.91</v>
      </c>
      <c r="H47" s="343"/>
      <c r="I47" s="343">
        <v>93</v>
      </c>
      <c r="J47" s="343"/>
      <c r="K47" s="343">
        <v>46</v>
      </c>
      <c r="L47" s="343"/>
      <c r="M47" s="342">
        <f>+(($H$6*H47)+($I$6*I47)+($J$6*J47)+($K$6*K47)+($L$6*L47))</f>
        <v>969</v>
      </c>
      <c r="N47" s="342">
        <f t="shared" si="13"/>
        <v>969</v>
      </c>
      <c r="O47" s="342">
        <f t="shared" si="14"/>
        <v>122.5031605562579</v>
      </c>
      <c r="P47" s="77" t="s">
        <v>201</v>
      </c>
      <c r="Q47" s="77"/>
      <c r="R47" s="341"/>
      <c r="S47" s="341"/>
      <c r="T47" s="341"/>
      <c r="U47" s="341"/>
      <c r="V47" s="341"/>
      <c r="W47" s="340">
        <f t="shared" si="10"/>
        <v>0</v>
      </c>
      <c r="X47" s="340">
        <f t="shared" si="11"/>
        <v>0</v>
      </c>
      <c r="Y47" s="340"/>
      <c r="Z47" s="78"/>
      <c r="AA47" s="78"/>
    </row>
    <row r="48" spans="1:27" ht="15.5" x14ac:dyDescent="0.35">
      <c r="A48" s="103">
        <v>46095</v>
      </c>
      <c r="B48" s="79">
        <v>0.25624999999999998</v>
      </c>
      <c r="C48" s="79">
        <v>0.57499999999999996</v>
      </c>
      <c r="D48" s="53">
        <f t="shared" si="12"/>
        <v>1.3187500000000001</v>
      </c>
      <c r="E48" s="322">
        <f t="shared" si="5"/>
        <v>175527</v>
      </c>
      <c r="F48" s="231">
        <v>176302</v>
      </c>
      <c r="G48" s="302">
        <f t="shared" si="1"/>
        <v>7.75</v>
      </c>
      <c r="H48" s="343">
        <v>48</v>
      </c>
      <c r="I48" s="343">
        <v>37</v>
      </c>
      <c r="J48" s="343"/>
      <c r="K48" s="343">
        <v>36</v>
      </c>
      <c r="L48" s="343"/>
      <c r="M48" s="342">
        <f>+(($H$6*H48)+($I$6*I48)+($J$6*J48)+($K$6*K48)+($L$6*L48))</f>
        <v>723</v>
      </c>
      <c r="N48" s="342">
        <f t="shared" si="13"/>
        <v>723</v>
      </c>
      <c r="O48" s="342">
        <f t="shared" si="14"/>
        <v>93.290322580645167</v>
      </c>
      <c r="P48" s="334" t="s">
        <v>173</v>
      </c>
      <c r="Q48" s="77" t="s">
        <v>220</v>
      </c>
      <c r="R48" s="341"/>
      <c r="S48" s="341"/>
      <c r="T48" s="341"/>
      <c r="U48" s="341"/>
      <c r="V48" s="341"/>
      <c r="W48" s="340">
        <f t="shared" si="10"/>
        <v>0</v>
      </c>
      <c r="X48" s="340">
        <f t="shared" si="11"/>
        <v>0</v>
      </c>
      <c r="Y48" s="340"/>
      <c r="Z48" s="78"/>
      <c r="AA48" s="78"/>
    </row>
    <row r="49" spans="1:33" ht="15.5" x14ac:dyDescent="0.35">
      <c r="A49" s="103">
        <v>46095</v>
      </c>
      <c r="B49" s="79">
        <v>0.60763888888888884</v>
      </c>
      <c r="C49" s="79">
        <v>0.75555555555555554</v>
      </c>
      <c r="D49" s="53">
        <f t="shared" si="12"/>
        <v>1.1479166666666667</v>
      </c>
      <c r="E49" s="322">
        <f t="shared" si="5"/>
        <v>176302</v>
      </c>
      <c r="F49" s="231">
        <v>176776</v>
      </c>
      <c r="G49" s="302">
        <v>4</v>
      </c>
      <c r="H49" s="343"/>
      <c r="I49" s="343"/>
      <c r="J49" s="343"/>
      <c r="K49" s="343">
        <v>30</v>
      </c>
      <c r="L49" s="343"/>
      <c r="M49" s="342">
        <f>+(($H$6*H49)+($I$6*I49)+($J$6*J49)+($K$6*K49)+(13*L49))</f>
        <v>450</v>
      </c>
      <c r="N49" s="342">
        <f t="shared" si="13"/>
        <v>450</v>
      </c>
      <c r="O49" s="342">
        <f t="shared" si="14"/>
        <v>112.5</v>
      </c>
      <c r="P49" s="82" t="s">
        <v>178</v>
      </c>
      <c r="Q49" s="77"/>
      <c r="R49" s="341"/>
      <c r="S49" s="341"/>
      <c r="T49" s="341"/>
      <c r="U49" s="341"/>
      <c r="V49" s="341"/>
      <c r="W49" s="340"/>
      <c r="X49" s="340"/>
      <c r="Y49" s="340"/>
      <c r="Z49" s="78"/>
      <c r="AA49" s="78"/>
    </row>
    <row r="50" spans="1:33" s="247" customFormat="1" ht="15.5" x14ac:dyDescent="0.35">
      <c r="A50" s="103">
        <v>46095</v>
      </c>
      <c r="B50" s="79">
        <v>0.77152777777777781</v>
      </c>
      <c r="C50" s="79">
        <v>0.91388888888888886</v>
      </c>
      <c r="D50" s="53">
        <f t="shared" si="12"/>
        <v>1.1423611111111109</v>
      </c>
      <c r="E50" s="322">
        <f t="shared" si="5"/>
        <v>176776</v>
      </c>
      <c r="F50" s="231">
        <v>176964</v>
      </c>
      <c r="G50" s="302">
        <v>4</v>
      </c>
      <c r="H50" s="343"/>
      <c r="I50" s="343"/>
      <c r="J50" s="343"/>
      <c r="K50" s="343">
        <v>27</v>
      </c>
      <c r="L50" s="343"/>
      <c r="M50" s="342">
        <f>+(($H$6*H50)+($I$6*I50)+($J$6*J50)+($K$6*K50)+($L$6*L50))</f>
        <v>405</v>
      </c>
      <c r="N50" s="343">
        <f t="shared" si="13"/>
        <v>405</v>
      </c>
      <c r="O50" s="343">
        <f t="shared" si="14"/>
        <v>101.25</v>
      </c>
      <c r="P50" s="77" t="s">
        <v>186</v>
      </c>
      <c r="Q50" s="82"/>
      <c r="R50" s="348"/>
      <c r="S50" s="348"/>
      <c r="T50" s="348"/>
      <c r="U50" s="348"/>
      <c r="V50" s="348"/>
      <c r="W50" s="348"/>
      <c r="X50" s="348"/>
      <c r="Y50" s="348"/>
      <c r="Z50" s="246"/>
      <c r="AA50" s="246"/>
      <c r="AB50" s="228"/>
      <c r="AC50" s="228"/>
      <c r="AD50" s="228"/>
      <c r="AE50" s="228"/>
      <c r="AF50" s="228"/>
      <c r="AG50" s="228"/>
    </row>
    <row r="51" spans="1:33" ht="15.5" x14ac:dyDescent="0.35">
      <c r="A51" s="103">
        <v>46095</v>
      </c>
      <c r="B51" s="79">
        <v>0.93263888888888891</v>
      </c>
      <c r="C51" s="79">
        <v>0.24166666666666667</v>
      </c>
      <c r="D51" s="53">
        <f t="shared" si="12"/>
        <v>0.30902777777777779</v>
      </c>
      <c r="E51" s="322">
        <f t="shared" si="5"/>
        <v>176964</v>
      </c>
      <c r="F51" s="231">
        <v>177877</v>
      </c>
      <c r="G51" s="302">
        <v>8</v>
      </c>
      <c r="H51" s="343"/>
      <c r="I51" s="343">
        <v>134</v>
      </c>
      <c r="J51" s="343">
        <v>35</v>
      </c>
      <c r="K51" s="343">
        <v>2</v>
      </c>
      <c r="L51" s="343">
        <v>6</v>
      </c>
      <c r="M51" s="342">
        <f>+(($H$6*H51)+($I$6*I51)+($J$6*J51)+($K$6*K51)+($L$6*L51))</f>
        <v>827</v>
      </c>
      <c r="N51" s="342">
        <f t="shared" si="13"/>
        <v>827</v>
      </c>
      <c r="O51" s="342">
        <f t="shared" si="14"/>
        <v>103.375</v>
      </c>
      <c r="P51" s="77" t="s">
        <v>201</v>
      </c>
      <c r="Q51" s="77"/>
      <c r="R51" s="341"/>
      <c r="S51" s="341"/>
      <c r="T51" s="341"/>
      <c r="U51" s="341"/>
      <c r="V51" s="341"/>
      <c r="W51" s="340">
        <f>+(($H$6*R51)+($I$6*S51)+($J$6*T51)+($K$6*U51)+($L$6*V51))</f>
        <v>0</v>
      </c>
      <c r="X51" s="340">
        <f>+W51</f>
        <v>0</v>
      </c>
      <c r="Y51" s="340"/>
      <c r="Z51" s="78"/>
      <c r="AA51" s="78"/>
    </row>
    <row r="52" spans="1:33" ht="15.5" x14ac:dyDescent="0.35">
      <c r="A52" s="103"/>
      <c r="B52" s="79"/>
      <c r="C52" s="79"/>
      <c r="D52" s="53">
        <f t="shared" si="12"/>
        <v>1</v>
      </c>
      <c r="E52" s="322">
        <f t="shared" si="5"/>
        <v>177877</v>
      </c>
      <c r="F52" s="231"/>
      <c r="G52" s="302">
        <f t="shared" si="1"/>
        <v>-1778.77</v>
      </c>
      <c r="H52" s="343"/>
      <c r="I52" s="343"/>
      <c r="J52" s="343"/>
      <c r="K52" s="343"/>
      <c r="L52" s="343"/>
      <c r="M52" s="342">
        <f>+(($H$6*H52)+($I$6*I52)+($J$6*J52)+($K$6*K52)+($L$6*L52))</f>
        <v>0</v>
      </c>
      <c r="N52" s="342">
        <f t="shared" si="13"/>
        <v>0</v>
      </c>
      <c r="O52" s="342">
        <f t="shared" si="14"/>
        <v>0</v>
      </c>
      <c r="P52" s="77" t="s">
        <v>171</v>
      </c>
      <c r="Q52" s="77"/>
      <c r="R52" s="341"/>
      <c r="S52" s="341"/>
      <c r="T52" s="341"/>
      <c r="U52" s="341"/>
      <c r="V52" s="341"/>
      <c r="W52" s="340">
        <f>+(($H$6*R52)+($I$6*S52)+($J$6*T52)+($K$6*U52)+($L$6*V52))</f>
        <v>0</v>
      </c>
      <c r="X52" s="340">
        <f>+W52</f>
        <v>0</v>
      </c>
      <c r="Y52" s="340"/>
      <c r="Z52" s="78"/>
      <c r="AA52" s="78"/>
    </row>
    <row r="53" spans="1:33" ht="15.5" x14ac:dyDescent="0.35">
      <c r="A53" s="103"/>
      <c r="B53" s="79"/>
      <c r="C53" s="79"/>
      <c r="D53" s="53">
        <f t="shared" si="12"/>
        <v>1</v>
      </c>
      <c r="E53" s="322">
        <f t="shared" si="5"/>
        <v>0</v>
      </c>
      <c r="F53" s="231"/>
      <c r="G53" s="302">
        <f t="shared" si="1"/>
        <v>0</v>
      </c>
      <c r="H53" s="343"/>
      <c r="I53" s="343"/>
      <c r="J53" s="343"/>
      <c r="K53" s="343"/>
      <c r="L53" s="343"/>
      <c r="M53" s="342">
        <f>+(($H$6*H53)+($I$6*I53)+($J$6*J53)+($K$6*K53)+(13*L53))</f>
        <v>0</v>
      </c>
      <c r="N53" s="342">
        <f t="shared" si="13"/>
        <v>0</v>
      </c>
      <c r="O53" s="342" t="e">
        <f t="shared" si="14"/>
        <v>#DIV/0!</v>
      </c>
      <c r="P53" s="77" t="s">
        <v>173</v>
      </c>
      <c r="Q53" s="77"/>
      <c r="R53" s="341"/>
      <c r="S53" s="341"/>
      <c r="T53" s="341"/>
      <c r="U53" s="341"/>
      <c r="V53" s="341"/>
      <c r="W53" s="340">
        <f>+(($H$6*R53)+($I$6*S53)+($J$6*T53)+($K$6*U53)+($L$6*V53))</f>
        <v>0</v>
      </c>
      <c r="X53" s="340">
        <f>+W53</f>
        <v>0</v>
      </c>
      <c r="Y53" s="340"/>
      <c r="Z53" s="78"/>
      <c r="AA53" s="78"/>
    </row>
    <row r="54" spans="1:33" ht="15.5" x14ac:dyDescent="0.35">
      <c r="A54" s="103"/>
      <c r="B54" s="72"/>
      <c r="C54" s="72"/>
      <c r="D54" s="53">
        <f t="shared" si="12"/>
        <v>1</v>
      </c>
      <c r="E54" s="322">
        <f t="shared" si="5"/>
        <v>0</v>
      </c>
      <c r="F54" s="231"/>
      <c r="G54" s="302">
        <f t="shared" si="1"/>
        <v>0</v>
      </c>
      <c r="H54" s="343"/>
      <c r="I54" s="343"/>
      <c r="J54" s="343"/>
      <c r="K54" s="343"/>
      <c r="L54" s="343"/>
      <c r="M54" s="342">
        <f t="shared" ref="M54:M69" si="15">+(($H$6*H54)+($I$6*I54)+($J$6*J54)+($K$6*K54)+($L$6*L54))</f>
        <v>0</v>
      </c>
      <c r="N54" s="342">
        <f t="shared" si="13"/>
        <v>0</v>
      </c>
      <c r="O54" s="342" t="e">
        <f t="shared" si="14"/>
        <v>#DIV/0!</v>
      </c>
      <c r="P54" s="77" t="s">
        <v>170</v>
      </c>
      <c r="Q54" s="77"/>
      <c r="R54" s="341"/>
      <c r="S54" s="341"/>
      <c r="T54" s="341"/>
      <c r="U54" s="341"/>
      <c r="V54" s="341"/>
      <c r="W54" s="340">
        <f>+(($H$6*R54)+($I$6*S54)+($J$6*T54)+($K$6*U54)+($L$6*V54))</f>
        <v>0</v>
      </c>
      <c r="X54" s="340">
        <f>+W54</f>
        <v>0</v>
      </c>
      <c r="Y54" s="340"/>
      <c r="Z54" s="78"/>
      <c r="AA54" s="78"/>
    </row>
    <row r="55" spans="1:33" ht="15.5" x14ac:dyDescent="0.35">
      <c r="A55" s="103"/>
      <c r="B55" s="79"/>
      <c r="C55" s="79"/>
      <c r="D55" s="53">
        <f t="shared" si="7"/>
        <v>1</v>
      </c>
      <c r="E55" s="322">
        <f t="shared" si="5"/>
        <v>0</v>
      </c>
      <c r="F55" s="231"/>
      <c r="G55" s="302">
        <f t="shared" si="1"/>
        <v>0</v>
      </c>
      <c r="H55" s="343"/>
      <c r="I55" s="343"/>
      <c r="J55" s="343"/>
      <c r="K55" s="343"/>
      <c r="L55" s="343"/>
      <c r="M55" s="342">
        <f t="shared" si="15"/>
        <v>0</v>
      </c>
      <c r="N55" s="342">
        <f t="shared" si="8"/>
        <v>0</v>
      </c>
      <c r="O55" s="342" t="e">
        <f t="shared" si="9"/>
        <v>#DIV/0!</v>
      </c>
      <c r="P55" s="77" t="s">
        <v>173</v>
      </c>
      <c r="Q55" s="77"/>
      <c r="R55" s="341"/>
      <c r="S55" s="341"/>
      <c r="T55" s="341"/>
      <c r="U55" s="341"/>
      <c r="V55" s="341"/>
      <c r="W55" s="340"/>
      <c r="X55" s="340"/>
      <c r="Y55" s="340"/>
      <c r="Z55" s="78"/>
      <c r="AA55" s="78"/>
    </row>
    <row r="56" spans="1:33" ht="15.5" x14ac:dyDescent="0.35">
      <c r="A56" s="103"/>
      <c r="B56" s="79"/>
      <c r="C56" s="79"/>
      <c r="D56" s="53">
        <f t="shared" si="7"/>
        <v>1</v>
      </c>
      <c r="E56" s="322">
        <f t="shared" si="5"/>
        <v>0</v>
      </c>
      <c r="F56" s="231"/>
      <c r="G56" s="302">
        <f t="shared" si="1"/>
        <v>0</v>
      </c>
      <c r="H56" s="343"/>
      <c r="I56" s="343"/>
      <c r="J56" s="343"/>
      <c r="K56" s="343"/>
      <c r="L56" s="343"/>
      <c r="M56" s="342">
        <f>+(($H$6*H56)+($I$6*I56)+($J$6*J56)+($K$6*K56)+(13*L56))</f>
        <v>0</v>
      </c>
      <c r="N56" s="342">
        <f t="shared" si="8"/>
        <v>0</v>
      </c>
      <c r="O56" s="342" t="e">
        <f t="shared" si="9"/>
        <v>#DIV/0!</v>
      </c>
      <c r="P56" s="77" t="s">
        <v>173</v>
      </c>
      <c r="Q56" s="77"/>
      <c r="R56" s="341"/>
      <c r="S56" s="341"/>
      <c r="T56" s="341"/>
      <c r="U56" s="341"/>
      <c r="V56" s="341"/>
      <c r="W56" s="340"/>
      <c r="X56" s="340"/>
      <c r="Y56" s="340"/>
      <c r="Z56" s="78"/>
      <c r="AA56" s="78"/>
    </row>
    <row r="57" spans="1:33" ht="15.5" x14ac:dyDescent="0.35">
      <c r="A57" s="103"/>
      <c r="B57" s="79"/>
      <c r="C57" s="79"/>
      <c r="D57" s="53">
        <f t="shared" si="7"/>
        <v>1</v>
      </c>
      <c r="E57" s="322">
        <f t="shared" si="5"/>
        <v>0</v>
      </c>
      <c r="F57" s="324"/>
      <c r="G57" s="302">
        <f t="shared" si="1"/>
        <v>0</v>
      </c>
      <c r="H57" s="346"/>
      <c r="I57" s="346"/>
      <c r="J57" s="346"/>
      <c r="K57" s="346"/>
      <c r="L57" s="346"/>
      <c r="M57" s="342">
        <f t="shared" si="15"/>
        <v>0</v>
      </c>
      <c r="N57" s="342">
        <f t="shared" si="8"/>
        <v>0</v>
      </c>
      <c r="O57" s="342" t="e">
        <f t="shared" si="9"/>
        <v>#DIV/0!</v>
      </c>
      <c r="P57" s="77" t="s">
        <v>177</v>
      </c>
      <c r="Q57" s="77"/>
      <c r="R57" s="341"/>
      <c r="S57" s="341"/>
      <c r="T57" s="341"/>
      <c r="U57" s="341"/>
      <c r="V57" s="341"/>
      <c r="W57" s="340"/>
      <c r="X57" s="340"/>
      <c r="Y57" s="340"/>
      <c r="Z57" s="78"/>
      <c r="AA57" s="78"/>
    </row>
    <row r="58" spans="1:33" ht="15.5" x14ac:dyDescent="0.35">
      <c r="A58" s="103"/>
      <c r="B58" s="79"/>
      <c r="C58" s="79"/>
      <c r="D58" s="53">
        <f t="shared" si="7"/>
        <v>1</v>
      </c>
      <c r="E58" s="322">
        <f t="shared" si="5"/>
        <v>0</v>
      </c>
      <c r="F58" s="324"/>
      <c r="G58" s="302">
        <f t="shared" si="1"/>
        <v>0</v>
      </c>
      <c r="H58" s="346"/>
      <c r="I58" s="346"/>
      <c r="J58" s="346"/>
      <c r="K58" s="346"/>
      <c r="L58" s="346"/>
      <c r="M58" s="342">
        <f t="shared" si="15"/>
        <v>0</v>
      </c>
      <c r="N58" s="347">
        <f t="shared" si="8"/>
        <v>0</v>
      </c>
      <c r="O58" s="342" t="e">
        <f t="shared" si="9"/>
        <v>#DIV/0!</v>
      </c>
      <c r="P58" s="82" t="s">
        <v>179</v>
      </c>
      <c r="Q58" s="77"/>
      <c r="R58" s="341"/>
      <c r="S58" s="341"/>
      <c r="T58" s="341"/>
      <c r="U58" s="341"/>
      <c r="V58" s="341"/>
      <c r="W58" s="340"/>
      <c r="X58" s="340"/>
      <c r="Y58" s="340"/>
      <c r="Z58" s="78"/>
      <c r="AA58" s="78"/>
    </row>
    <row r="59" spans="1:33" s="228" customFormat="1" ht="15.5" x14ac:dyDescent="0.35">
      <c r="A59" s="103"/>
      <c r="B59" s="72"/>
      <c r="C59" s="72"/>
      <c r="D59" s="53">
        <f t="shared" si="7"/>
        <v>1</v>
      </c>
      <c r="E59" s="322">
        <f t="shared" si="5"/>
        <v>0</v>
      </c>
      <c r="F59" s="231"/>
      <c r="G59" s="302">
        <f t="shared" si="1"/>
        <v>0</v>
      </c>
      <c r="H59" s="343"/>
      <c r="I59" s="343"/>
      <c r="J59" s="343"/>
      <c r="K59" s="343"/>
      <c r="L59" s="343"/>
      <c r="M59" s="342">
        <f t="shared" si="15"/>
        <v>0</v>
      </c>
      <c r="N59" s="346">
        <f t="shared" si="8"/>
        <v>0</v>
      </c>
      <c r="O59" s="343" t="e">
        <f t="shared" si="9"/>
        <v>#DIV/0!</v>
      </c>
      <c r="P59" s="77" t="s">
        <v>171</v>
      </c>
      <c r="Q59" s="82"/>
      <c r="R59" s="348"/>
      <c r="S59" s="348"/>
      <c r="T59" s="348"/>
      <c r="U59" s="348"/>
      <c r="V59" s="348"/>
      <c r="W59" s="348"/>
      <c r="X59" s="348"/>
      <c r="Y59" s="348"/>
      <c r="Z59" s="246"/>
      <c r="AA59" s="246"/>
    </row>
    <row r="60" spans="1:33" s="250" customFormat="1" ht="15.5" x14ac:dyDescent="0.35">
      <c r="A60" s="103"/>
      <c r="B60" s="79"/>
      <c r="C60" s="79"/>
      <c r="D60" s="53">
        <f t="shared" si="7"/>
        <v>1</v>
      </c>
      <c r="E60" s="322">
        <f t="shared" si="5"/>
        <v>0</v>
      </c>
      <c r="F60" s="231"/>
      <c r="G60" s="302">
        <f t="shared" si="1"/>
        <v>0</v>
      </c>
      <c r="H60" s="343"/>
      <c r="I60" s="343"/>
      <c r="J60" s="343"/>
      <c r="K60" s="343"/>
      <c r="L60" s="343"/>
      <c r="M60" s="342">
        <f t="shared" si="15"/>
        <v>0</v>
      </c>
      <c r="N60" s="347">
        <f t="shared" si="8"/>
        <v>0</v>
      </c>
      <c r="O60" s="342" t="e">
        <f t="shared" si="9"/>
        <v>#DIV/0!</v>
      </c>
      <c r="P60" s="77" t="s">
        <v>171</v>
      </c>
      <c r="Q60" s="248"/>
      <c r="R60" s="345"/>
      <c r="S60" s="345"/>
      <c r="T60" s="345"/>
      <c r="U60" s="345"/>
      <c r="V60" s="345"/>
      <c r="W60" s="345"/>
      <c r="X60" s="345"/>
      <c r="Y60" s="345"/>
      <c r="Z60" s="249"/>
      <c r="AA60" s="249"/>
    </row>
    <row r="61" spans="1:33" ht="15.5" x14ac:dyDescent="0.35">
      <c r="A61" s="103"/>
      <c r="B61" s="79"/>
      <c r="C61" s="79"/>
      <c r="D61" s="73">
        <f t="shared" si="7"/>
        <v>1</v>
      </c>
      <c r="E61" s="322">
        <f t="shared" si="5"/>
        <v>0</v>
      </c>
      <c r="F61" s="231"/>
      <c r="G61" s="302">
        <f t="shared" si="1"/>
        <v>0</v>
      </c>
      <c r="H61" s="343"/>
      <c r="I61" s="343"/>
      <c r="J61" s="343"/>
      <c r="K61" s="343"/>
      <c r="L61" s="343"/>
      <c r="M61" s="342">
        <f t="shared" si="15"/>
        <v>0</v>
      </c>
      <c r="N61" s="347">
        <f t="shared" si="8"/>
        <v>0</v>
      </c>
      <c r="O61" s="342" t="e">
        <f t="shared" si="9"/>
        <v>#DIV/0!</v>
      </c>
      <c r="P61" s="77" t="s">
        <v>177</v>
      </c>
      <c r="Q61" s="77"/>
      <c r="R61" s="341"/>
      <c r="S61" s="341"/>
      <c r="T61" s="341"/>
      <c r="U61" s="341"/>
      <c r="V61" s="341"/>
      <c r="W61" s="340"/>
      <c r="X61" s="340"/>
      <c r="Y61" s="340"/>
      <c r="Z61" s="78"/>
      <c r="AA61" s="78"/>
    </row>
    <row r="62" spans="1:33" ht="15.5" x14ac:dyDescent="0.35">
      <c r="A62" s="103"/>
      <c r="B62" s="79"/>
      <c r="C62" s="79"/>
      <c r="D62" s="73">
        <f t="shared" si="7"/>
        <v>1</v>
      </c>
      <c r="E62" s="322">
        <f t="shared" si="5"/>
        <v>0</v>
      </c>
      <c r="F62" s="231"/>
      <c r="G62" s="302">
        <f t="shared" si="1"/>
        <v>0</v>
      </c>
      <c r="H62" s="343"/>
      <c r="I62" s="343"/>
      <c r="J62" s="343"/>
      <c r="K62" s="343"/>
      <c r="L62" s="343"/>
      <c r="M62" s="342">
        <f t="shared" si="15"/>
        <v>0</v>
      </c>
      <c r="N62" s="347">
        <f t="shared" si="8"/>
        <v>0</v>
      </c>
      <c r="O62" s="342" t="e">
        <f t="shared" si="9"/>
        <v>#DIV/0!</v>
      </c>
      <c r="P62" s="77" t="s">
        <v>179</v>
      </c>
      <c r="Q62" s="77"/>
      <c r="R62" s="341"/>
      <c r="S62" s="341"/>
      <c r="T62" s="341"/>
      <c r="U62" s="341"/>
      <c r="V62" s="341"/>
      <c r="W62" s="340"/>
      <c r="X62" s="340"/>
      <c r="Y62" s="340"/>
      <c r="Z62" s="78"/>
      <c r="AA62" s="78"/>
    </row>
    <row r="63" spans="1:33" ht="15.5" x14ac:dyDescent="0.35">
      <c r="A63" s="103"/>
      <c r="B63" s="79"/>
      <c r="C63" s="79"/>
      <c r="D63" s="73">
        <f t="shared" si="7"/>
        <v>1</v>
      </c>
      <c r="E63" s="322">
        <f t="shared" si="5"/>
        <v>0</v>
      </c>
      <c r="F63" s="231"/>
      <c r="G63" s="302">
        <f t="shared" si="1"/>
        <v>0</v>
      </c>
      <c r="H63" s="343"/>
      <c r="I63" s="343"/>
      <c r="J63" s="343"/>
      <c r="K63" s="343"/>
      <c r="L63" s="343"/>
      <c r="M63" s="342">
        <f t="shared" si="15"/>
        <v>0</v>
      </c>
      <c r="N63" s="347">
        <f t="shared" si="8"/>
        <v>0</v>
      </c>
      <c r="O63" s="342" t="e">
        <f t="shared" si="9"/>
        <v>#DIV/0!</v>
      </c>
      <c r="P63" s="77" t="s">
        <v>171</v>
      </c>
      <c r="Q63" s="77"/>
      <c r="R63" s="341"/>
      <c r="S63" s="341"/>
      <c r="T63" s="341"/>
      <c r="U63" s="341"/>
      <c r="V63" s="341"/>
      <c r="W63" s="340"/>
      <c r="X63" s="340"/>
      <c r="Y63" s="340"/>
      <c r="Z63" s="78"/>
      <c r="AA63" s="78"/>
    </row>
    <row r="64" spans="1:33" ht="15.5" x14ac:dyDescent="0.35">
      <c r="A64" s="103"/>
      <c r="B64" s="72"/>
      <c r="C64" s="72"/>
      <c r="D64" s="73">
        <f t="shared" si="7"/>
        <v>1</v>
      </c>
      <c r="E64" s="322">
        <f t="shared" si="5"/>
        <v>0</v>
      </c>
      <c r="F64" s="231"/>
      <c r="G64" s="302">
        <f t="shared" si="1"/>
        <v>0</v>
      </c>
      <c r="H64" s="343"/>
      <c r="I64" s="343"/>
      <c r="J64" s="343"/>
      <c r="K64" s="343"/>
      <c r="L64" s="343"/>
      <c r="M64" s="342">
        <f t="shared" si="15"/>
        <v>0</v>
      </c>
      <c r="N64" s="347">
        <f t="shared" si="8"/>
        <v>0</v>
      </c>
      <c r="O64" s="342" t="e">
        <f t="shared" si="9"/>
        <v>#DIV/0!</v>
      </c>
      <c r="P64" s="77" t="s">
        <v>178</v>
      </c>
      <c r="Q64" s="77"/>
      <c r="R64" s="341"/>
      <c r="S64" s="341"/>
      <c r="T64" s="341"/>
      <c r="U64" s="341"/>
      <c r="V64" s="341"/>
      <c r="W64" s="340">
        <f>+(($H$6*R64)+($I$6*S64)+($J$6*T64)+($K$6*U64)+($L$6*V64))</f>
        <v>0</v>
      </c>
      <c r="X64" s="340">
        <f>+W64</f>
        <v>0</v>
      </c>
      <c r="Y64" s="340"/>
      <c r="Z64" s="78"/>
      <c r="AA64" s="78"/>
    </row>
    <row r="65" spans="1:27" ht="15.5" x14ac:dyDescent="0.35">
      <c r="A65" s="103"/>
      <c r="B65" s="79"/>
      <c r="C65" s="79"/>
      <c r="D65" s="73">
        <f t="shared" si="7"/>
        <v>1</v>
      </c>
      <c r="E65" s="322">
        <f t="shared" si="5"/>
        <v>0</v>
      </c>
      <c r="F65" s="231"/>
      <c r="G65" s="302">
        <f t="shared" si="1"/>
        <v>0</v>
      </c>
      <c r="H65" s="343"/>
      <c r="I65" s="343"/>
      <c r="J65" s="343"/>
      <c r="K65" s="343"/>
      <c r="L65" s="343"/>
      <c r="M65" s="342">
        <f t="shared" si="15"/>
        <v>0</v>
      </c>
      <c r="N65" s="347">
        <f t="shared" si="8"/>
        <v>0</v>
      </c>
      <c r="O65" s="342" t="e">
        <f t="shared" si="9"/>
        <v>#DIV/0!</v>
      </c>
      <c r="P65" s="77" t="s">
        <v>178</v>
      </c>
      <c r="Q65" s="77"/>
      <c r="R65" s="341"/>
      <c r="S65" s="341"/>
      <c r="T65" s="341"/>
      <c r="U65" s="341"/>
      <c r="V65" s="341"/>
      <c r="W65" s="340"/>
      <c r="X65" s="340"/>
      <c r="Y65" s="340"/>
      <c r="Z65" s="78"/>
      <c r="AA65" s="78"/>
    </row>
    <row r="66" spans="1:27" ht="15.5" x14ac:dyDescent="0.35">
      <c r="A66" s="103"/>
      <c r="B66" s="79"/>
      <c r="C66" s="79"/>
      <c r="D66" s="73">
        <f t="shared" si="7"/>
        <v>1</v>
      </c>
      <c r="E66" s="322">
        <f t="shared" si="5"/>
        <v>0</v>
      </c>
      <c r="F66" s="231"/>
      <c r="G66" s="302">
        <f t="shared" si="1"/>
        <v>0</v>
      </c>
      <c r="H66" s="343"/>
      <c r="I66" s="343"/>
      <c r="J66" s="343"/>
      <c r="K66" s="343"/>
      <c r="L66" s="343"/>
      <c r="M66" s="342">
        <f t="shared" si="15"/>
        <v>0</v>
      </c>
      <c r="N66" s="342">
        <f t="shared" si="8"/>
        <v>0</v>
      </c>
      <c r="O66" s="342" t="e">
        <f t="shared" si="9"/>
        <v>#DIV/0!</v>
      </c>
      <c r="P66" s="334" t="s">
        <v>179</v>
      </c>
      <c r="Q66" s="77"/>
      <c r="R66" s="341"/>
      <c r="S66" s="341"/>
      <c r="T66" s="341"/>
      <c r="U66" s="341"/>
      <c r="V66" s="341"/>
      <c r="W66" s="340">
        <f>+(($H$6*R66)+($I$6*S66)+($J$6*T66)+($K$6*U66)+($L$6*V66))</f>
        <v>0</v>
      </c>
      <c r="X66" s="340">
        <f>+W66</f>
        <v>0</v>
      </c>
      <c r="Y66" s="340"/>
      <c r="Z66" s="78"/>
      <c r="AA66" s="78"/>
    </row>
    <row r="67" spans="1:27" ht="15.5" x14ac:dyDescent="0.35">
      <c r="A67" s="103"/>
      <c r="B67" s="79"/>
      <c r="C67" s="79"/>
      <c r="D67" s="73">
        <f t="shared" si="7"/>
        <v>1</v>
      </c>
      <c r="E67" s="322">
        <f t="shared" si="5"/>
        <v>0</v>
      </c>
      <c r="F67" s="231"/>
      <c r="G67" s="302">
        <f t="shared" si="1"/>
        <v>0</v>
      </c>
      <c r="H67" s="343"/>
      <c r="I67" s="343"/>
      <c r="J67" s="343"/>
      <c r="K67" s="343"/>
      <c r="L67" s="343"/>
      <c r="M67" s="342">
        <f t="shared" si="15"/>
        <v>0</v>
      </c>
      <c r="N67" s="342">
        <f t="shared" si="8"/>
        <v>0</v>
      </c>
      <c r="O67" s="342" t="e">
        <f t="shared" si="9"/>
        <v>#DIV/0!</v>
      </c>
      <c r="P67" s="77" t="s">
        <v>186</v>
      </c>
      <c r="Q67" s="77"/>
      <c r="R67" s="341"/>
      <c r="S67" s="341"/>
      <c r="T67" s="341"/>
      <c r="U67" s="341"/>
      <c r="V67" s="341"/>
      <c r="W67" s="340">
        <f>+(($H$6*R67)+($I$6*S67)+($J$6*T67)+($K$6*U67)+($L$6*V67))</f>
        <v>0</v>
      </c>
      <c r="X67" s="340">
        <f>+W67</f>
        <v>0</v>
      </c>
      <c r="Y67" s="340"/>
      <c r="Z67" s="78"/>
      <c r="AA67" s="78"/>
    </row>
    <row r="68" spans="1:27" ht="15.5" x14ac:dyDescent="0.35">
      <c r="A68" s="103"/>
      <c r="B68" s="79"/>
      <c r="C68" s="79"/>
      <c r="D68" s="73">
        <f t="shared" si="7"/>
        <v>1</v>
      </c>
      <c r="E68" s="322">
        <f t="shared" si="5"/>
        <v>0</v>
      </c>
      <c r="F68" s="231"/>
      <c r="G68" s="302">
        <f t="shared" si="1"/>
        <v>0</v>
      </c>
      <c r="H68" s="343"/>
      <c r="I68" s="343"/>
      <c r="J68" s="343"/>
      <c r="K68" s="343"/>
      <c r="L68" s="343"/>
      <c r="M68" s="342">
        <f t="shared" si="15"/>
        <v>0</v>
      </c>
      <c r="N68" s="342">
        <f t="shared" si="8"/>
        <v>0</v>
      </c>
      <c r="O68" s="342" t="e">
        <f t="shared" si="9"/>
        <v>#DIV/0!</v>
      </c>
      <c r="P68" s="77" t="s">
        <v>171</v>
      </c>
      <c r="Q68" s="77"/>
      <c r="R68" s="341"/>
      <c r="S68" s="341"/>
      <c r="T68" s="341"/>
      <c r="U68" s="341"/>
      <c r="V68" s="341"/>
      <c r="W68" s="340">
        <f>+(($H$6*R68)+($I$6*S68)+($J$6*T68)+($K$6*U68)+($L$6*V68))</f>
        <v>0</v>
      </c>
      <c r="X68" s="340">
        <f>+W68</f>
        <v>0</v>
      </c>
      <c r="Y68" s="340"/>
      <c r="Z68" s="78"/>
      <c r="AA68" s="78"/>
    </row>
    <row r="69" spans="1:27" ht="15.5" x14ac:dyDescent="0.35">
      <c r="A69" s="103"/>
      <c r="B69" s="79"/>
      <c r="C69" s="79"/>
      <c r="D69" s="73">
        <f t="shared" si="7"/>
        <v>1</v>
      </c>
      <c r="E69" s="322">
        <f t="shared" si="5"/>
        <v>0</v>
      </c>
      <c r="F69" s="231"/>
      <c r="G69" s="302">
        <f t="shared" si="1"/>
        <v>0</v>
      </c>
      <c r="H69" s="343"/>
      <c r="I69" s="343"/>
      <c r="J69" s="343"/>
      <c r="K69" s="343"/>
      <c r="L69" s="343"/>
      <c r="M69" s="342">
        <f t="shared" si="15"/>
        <v>0</v>
      </c>
      <c r="N69" s="342">
        <f t="shared" si="8"/>
        <v>0</v>
      </c>
      <c r="O69" s="342" t="e">
        <f t="shared" si="9"/>
        <v>#DIV/0!</v>
      </c>
      <c r="P69" s="77" t="s">
        <v>175</v>
      </c>
      <c r="Q69" s="77"/>
      <c r="R69" s="341"/>
      <c r="S69" s="341"/>
      <c r="T69" s="341"/>
      <c r="U69" s="341"/>
      <c r="V69" s="341"/>
      <c r="W69" s="340"/>
      <c r="X69" s="340"/>
      <c r="Y69" s="340"/>
      <c r="Z69" s="78"/>
      <c r="AA69" s="78"/>
    </row>
    <row r="70" spans="1:27" ht="15.5" x14ac:dyDescent="0.35">
      <c r="A70" s="103"/>
      <c r="B70" s="79"/>
      <c r="C70" s="79"/>
      <c r="D70" s="73">
        <f t="shared" si="7"/>
        <v>1</v>
      </c>
      <c r="E70" s="322">
        <f t="shared" si="5"/>
        <v>0</v>
      </c>
      <c r="F70" s="231"/>
      <c r="G70" s="302">
        <f t="shared" si="1"/>
        <v>0</v>
      </c>
      <c r="H70" s="343"/>
      <c r="I70" s="343"/>
      <c r="J70" s="343"/>
      <c r="K70" s="343"/>
      <c r="L70" s="343"/>
      <c r="M70" s="342">
        <f>+(($H$6*H70)+($I$6*I70)+($J$6*J70)+($K$6*K70)+(L70*25))</f>
        <v>0</v>
      </c>
      <c r="N70" s="342">
        <f t="shared" si="8"/>
        <v>0</v>
      </c>
      <c r="O70" s="342" t="e">
        <f t="shared" si="9"/>
        <v>#DIV/0!</v>
      </c>
      <c r="P70" s="77" t="s">
        <v>179</v>
      </c>
      <c r="Q70" s="77"/>
      <c r="R70" s="341"/>
      <c r="S70" s="341"/>
      <c r="T70" s="341"/>
      <c r="U70" s="341"/>
      <c r="V70" s="341"/>
      <c r="W70" s="340"/>
      <c r="X70" s="340"/>
      <c r="Y70" s="340"/>
      <c r="Z70" s="78"/>
      <c r="AA70" s="78"/>
    </row>
    <row r="71" spans="1:27" ht="15.5" x14ac:dyDescent="0.35">
      <c r="A71" s="103"/>
      <c r="B71" s="79"/>
      <c r="C71" s="79"/>
      <c r="D71" s="73">
        <f t="shared" ref="D71:D102" si="16">1+C71-B71</f>
        <v>1</v>
      </c>
      <c r="E71" s="322">
        <f t="shared" si="5"/>
        <v>0</v>
      </c>
      <c r="F71" s="231"/>
      <c r="G71" s="302">
        <f t="shared" ref="G71:G76" si="17">(F71-E71)/100</f>
        <v>0</v>
      </c>
      <c r="H71" s="343"/>
      <c r="I71" s="343"/>
      <c r="J71" s="343"/>
      <c r="K71" s="343"/>
      <c r="L71" s="343"/>
      <c r="M71" s="342">
        <f>+(($H$6*H71)+($I$6*I71)+($J$6*J71)+($K$6*K71)+(13*L71))</f>
        <v>0</v>
      </c>
      <c r="N71" s="342">
        <f t="shared" ref="N71:N102" si="18">+M71</f>
        <v>0</v>
      </c>
      <c r="O71" s="342" t="e">
        <f t="shared" ref="O71:O102" si="19">+M71/G71</f>
        <v>#DIV/0!</v>
      </c>
      <c r="P71" s="77" t="s">
        <v>173</v>
      </c>
      <c r="Q71" s="77"/>
      <c r="R71" s="341"/>
      <c r="S71" s="341"/>
      <c r="T71" s="341"/>
      <c r="U71" s="341"/>
      <c r="V71" s="341"/>
      <c r="W71" s="340">
        <f>+(($H$6*R71)+($I$6*S71)+($J$6*T71)+($K$6*U71)+($L$6*V71))</f>
        <v>0</v>
      </c>
      <c r="X71" s="340">
        <f>+W71</f>
        <v>0</v>
      </c>
      <c r="Y71" s="340"/>
      <c r="Z71" s="78"/>
      <c r="AA71" s="78"/>
    </row>
    <row r="72" spans="1:27" ht="15.5" x14ac:dyDescent="0.35">
      <c r="A72" s="103"/>
      <c r="B72" s="79"/>
      <c r="C72" s="79"/>
      <c r="D72" s="73">
        <f t="shared" si="16"/>
        <v>1</v>
      </c>
      <c r="E72" s="322">
        <f t="shared" ref="E72:E83" si="20">F71</f>
        <v>0</v>
      </c>
      <c r="F72" s="231"/>
      <c r="G72" s="302">
        <f t="shared" si="17"/>
        <v>0</v>
      </c>
      <c r="H72" s="343"/>
      <c r="I72" s="343"/>
      <c r="J72" s="343"/>
      <c r="K72" s="343"/>
      <c r="L72" s="343"/>
      <c r="M72" s="342">
        <f t="shared" ref="M72:M103" si="21">+(($H$6*H72)+($I$6*I72)+($J$6*J72)+($K$6*K72)+($L$6*L72))</f>
        <v>0</v>
      </c>
      <c r="N72" s="342">
        <f t="shared" si="18"/>
        <v>0</v>
      </c>
      <c r="O72" s="342" t="e">
        <f t="shared" si="19"/>
        <v>#DIV/0!</v>
      </c>
      <c r="P72" s="77" t="s">
        <v>171</v>
      </c>
      <c r="Q72" s="77"/>
      <c r="R72" s="341"/>
      <c r="S72" s="341"/>
      <c r="T72" s="341"/>
      <c r="U72" s="341"/>
      <c r="V72" s="341"/>
      <c r="W72" s="340">
        <f>+(($H$6*R72)+($I$6*S72)+($J$6*T72)+($K$6*U72)+($L$6*V72))</f>
        <v>0</v>
      </c>
      <c r="X72" s="340">
        <f>+W72</f>
        <v>0</v>
      </c>
      <c r="Y72" s="340"/>
      <c r="Z72" s="78"/>
      <c r="AA72" s="78"/>
    </row>
    <row r="73" spans="1:27" ht="15.5" x14ac:dyDescent="0.35">
      <c r="A73" s="103"/>
      <c r="B73" s="79"/>
      <c r="C73" s="79"/>
      <c r="D73" s="73">
        <f t="shared" si="16"/>
        <v>1</v>
      </c>
      <c r="E73" s="322">
        <f t="shared" si="20"/>
        <v>0</v>
      </c>
      <c r="F73" s="231"/>
      <c r="G73" s="302">
        <f t="shared" si="17"/>
        <v>0</v>
      </c>
      <c r="H73" s="343"/>
      <c r="I73" s="343"/>
      <c r="J73" s="343"/>
      <c r="K73" s="343"/>
      <c r="L73" s="343"/>
      <c r="M73" s="342">
        <f t="shared" si="21"/>
        <v>0</v>
      </c>
      <c r="N73" s="342">
        <f t="shared" si="18"/>
        <v>0</v>
      </c>
      <c r="O73" s="342" t="e">
        <f t="shared" si="19"/>
        <v>#DIV/0!</v>
      </c>
      <c r="P73" s="77" t="s">
        <v>171</v>
      </c>
      <c r="Q73" s="77"/>
      <c r="R73" s="341"/>
      <c r="S73" s="341"/>
      <c r="T73" s="341"/>
      <c r="U73" s="341"/>
      <c r="V73" s="341"/>
      <c r="W73" s="340">
        <f>+(($H$6*R73)+($I$6*S73)+($J$6*T73)+($K$6*U73)+($L$6*V73))</f>
        <v>0</v>
      </c>
      <c r="X73" s="340">
        <f>+W73</f>
        <v>0</v>
      </c>
      <c r="Y73" s="340"/>
      <c r="Z73" s="78"/>
      <c r="AA73" s="78"/>
    </row>
    <row r="74" spans="1:27" ht="15.5" x14ac:dyDescent="0.35">
      <c r="A74" s="103"/>
      <c r="B74" s="79"/>
      <c r="C74" s="79"/>
      <c r="D74" s="73">
        <f t="shared" si="16"/>
        <v>1</v>
      </c>
      <c r="E74" s="322">
        <f t="shared" si="20"/>
        <v>0</v>
      </c>
      <c r="F74" s="231"/>
      <c r="G74" s="302">
        <f t="shared" si="17"/>
        <v>0</v>
      </c>
      <c r="H74" s="343"/>
      <c r="I74" s="343"/>
      <c r="J74" s="343"/>
      <c r="K74" s="343"/>
      <c r="L74" s="343"/>
      <c r="M74" s="342">
        <f t="shared" si="21"/>
        <v>0</v>
      </c>
      <c r="N74" s="342">
        <f t="shared" si="18"/>
        <v>0</v>
      </c>
      <c r="O74" s="342" t="e">
        <f t="shared" si="19"/>
        <v>#DIV/0!</v>
      </c>
      <c r="P74" s="77" t="s">
        <v>179</v>
      </c>
      <c r="Q74" s="77"/>
      <c r="R74" s="341"/>
      <c r="S74" s="341"/>
      <c r="T74" s="341"/>
      <c r="U74" s="341"/>
      <c r="V74" s="341"/>
      <c r="W74" s="340">
        <f>+(($H$6*R74)+($I$6*S74)+($J$6*T74)+($K$6*U74)+($L$6*V74))</f>
        <v>0</v>
      </c>
      <c r="X74" s="340">
        <f>+W74</f>
        <v>0</v>
      </c>
      <c r="Y74" s="340"/>
      <c r="Z74" s="78"/>
      <c r="AA74" s="78"/>
    </row>
    <row r="75" spans="1:27" ht="15.5" x14ac:dyDescent="0.35">
      <c r="A75" s="103"/>
      <c r="B75" s="79"/>
      <c r="C75" s="79"/>
      <c r="D75" s="53">
        <f t="shared" si="16"/>
        <v>1</v>
      </c>
      <c r="E75" s="322">
        <f t="shared" si="20"/>
        <v>0</v>
      </c>
      <c r="F75" s="324"/>
      <c r="G75" s="302">
        <f t="shared" si="17"/>
        <v>0</v>
      </c>
      <c r="H75" s="346"/>
      <c r="I75" s="346"/>
      <c r="J75" s="346"/>
      <c r="K75" s="346"/>
      <c r="L75" s="346"/>
      <c r="M75" s="342">
        <f t="shared" si="21"/>
        <v>0</v>
      </c>
      <c r="N75" s="342">
        <f t="shared" si="18"/>
        <v>0</v>
      </c>
      <c r="O75" s="342" t="e">
        <f t="shared" si="19"/>
        <v>#DIV/0!</v>
      </c>
      <c r="P75" s="77" t="s">
        <v>186</v>
      </c>
      <c r="Q75" s="77"/>
      <c r="R75" s="341"/>
      <c r="S75" s="341"/>
      <c r="T75" s="341"/>
      <c r="U75" s="341"/>
      <c r="V75" s="341"/>
      <c r="W75" s="340">
        <f>+(($H$6*R75)+($I$6*S75)+($J$6*T75)+($K$6*U75)+($L$6*V75))</f>
        <v>0</v>
      </c>
      <c r="X75" s="340">
        <f>+W75</f>
        <v>0</v>
      </c>
      <c r="Y75" s="340"/>
      <c r="Z75" s="78"/>
      <c r="AA75" s="78"/>
    </row>
    <row r="76" spans="1:27" ht="15.5" x14ac:dyDescent="0.35">
      <c r="A76" s="103"/>
      <c r="B76" s="79"/>
      <c r="C76" s="79"/>
      <c r="D76" s="53">
        <f t="shared" si="16"/>
        <v>1</v>
      </c>
      <c r="E76" s="322">
        <f t="shared" si="20"/>
        <v>0</v>
      </c>
      <c r="F76" s="324"/>
      <c r="G76" s="302">
        <f t="shared" si="17"/>
        <v>0</v>
      </c>
      <c r="H76" s="346"/>
      <c r="I76" s="346"/>
      <c r="J76" s="346"/>
      <c r="K76" s="346"/>
      <c r="L76" s="346"/>
      <c r="M76" s="342">
        <f t="shared" si="21"/>
        <v>0</v>
      </c>
      <c r="N76" s="342">
        <f t="shared" si="18"/>
        <v>0</v>
      </c>
      <c r="O76" s="342" t="e">
        <f t="shared" si="19"/>
        <v>#DIV/0!</v>
      </c>
      <c r="P76" s="77" t="s">
        <v>171</v>
      </c>
      <c r="Q76" s="77"/>
      <c r="R76" s="341"/>
      <c r="S76" s="341"/>
      <c r="T76" s="341"/>
      <c r="U76" s="341"/>
      <c r="V76" s="341"/>
      <c r="W76" s="340"/>
      <c r="X76" s="340"/>
      <c r="Y76" s="340"/>
      <c r="Z76" s="78"/>
      <c r="AA76" s="78"/>
    </row>
    <row r="77" spans="1:27" ht="15.5" x14ac:dyDescent="0.35">
      <c r="A77" s="103"/>
      <c r="B77" s="79"/>
      <c r="C77" s="79"/>
      <c r="D77" s="73">
        <f t="shared" si="16"/>
        <v>1</v>
      </c>
      <c r="E77" s="322">
        <f t="shared" si="20"/>
        <v>0</v>
      </c>
      <c r="F77" s="231"/>
      <c r="G77" s="302">
        <f t="shared" ref="G77:G102" si="22">(F77-E77)/100</f>
        <v>0</v>
      </c>
      <c r="H77" s="343"/>
      <c r="I77" s="343"/>
      <c r="J77" s="343"/>
      <c r="K77" s="343"/>
      <c r="L77" s="343"/>
      <c r="M77" s="342">
        <f t="shared" si="21"/>
        <v>0</v>
      </c>
      <c r="N77" s="342">
        <f t="shared" si="18"/>
        <v>0</v>
      </c>
      <c r="O77" s="342" t="e">
        <f t="shared" si="19"/>
        <v>#DIV/0!</v>
      </c>
      <c r="P77" s="77" t="s">
        <v>171</v>
      </c>
      <c r="Q77" s="77"/>
      <c r="R77" s="341"/>
      <c r="S77" s="341"/>
      <c r="T77" s="341"/>
      <c r="U77" s="341"/>
      <c r="V77" s="341"/>
      <c r="W77" s="340"/>
      <c r="X77" s="340"/>
      <c r="Y77" s="340"/>
      <c r="Z77" s="78"/>
      <c r="AA77" s="78"/>
    </row>
    <row r="78" spans="1:27" ht="15.5" x14ac:dyDescent="0.35">
      <c r="A78" s="103"/>
      <c r="B78" s="79"/>
      <c r="C78" s="79"/>
      <c r="D78" s="73">
        <f t="shared" si="16"/>
        <v>1</v>
      </c>
      <c r="E78" s="322">
        <f t="shared" si="20"/>
        <v>0</v>
      </c>
      <c r="F78" s="231"/>
      <c r="G78" s="302">
        <f t="shared" si="22"/>
        <v>0</v>
      </c>
      <c r="H78" s="343"/>
      <c r="I78" s="343"/>
      <c r="J78" s="343"/>
      <c r="K78" s="343"/>
      <c r="L78" s="343"/>
      <c r="M78" s="342">
        <f>+(($H$6*H78)+($I$6*I78)+($J$6*J78)+($K$6*K78)+(13*L78))</f>
        <v>0</v>
      </c>
      <c r="N78" s="342">
        <f t="shared" si="18"/>
        <v>0</v>
      </c>
      <c r="O78" s="342" t="e">
        <f t="shared" si="19"/>
        <v>#DIV/0!</v>
      </c>
      <c r="P78" s="77" t="s">
        <v>186</v>
      </c>
      <c r="Q78" s="77"/>
      <c r="R78" s="341"/>
      <c r="S78" s="341"/>
      <c r="T78" s="341"/>
      <c r="U78" s="341"/>
      <c r="V78" s="341"/>
      <c r="W78" s="340">
        <f t="shared" ref="W78:W93" si="23">+(($H$6*R78)+($I$6*S78)+($J$6*T78)+($K$6*U78)+($L$6*V78))</f>
        <v>0</v>
      </c>
      <c r="X78" s="340">
        <f t="shared" ref="X78:X93" si="24">+W78</f>
        <v>0</v>
      </c>
      <c r="Y78" s="340"/>
      <c r="Z78" s="78"/>
      <c r="AA78" s="78"/>
    </row>
    <row r="79" spans="1:27" ht="15.5" x14ac:dyDescent="0.35">
      <c r="A79" s="103"/>
      <c r="B79" s="79"/>
      <c r="C79" s="79"/>
      <c r="D79" s="73">
        <f t="shared" si="16"/>
        <v>1</v>
      </c>
      <c r="E79" s="322">
        <f t="shared" si="20"/>
        <v>0</v>
      </c>
      <c r="F79" s="231"/>
      <c r="G79" s="302">
        <f t="shared" si="22"/>
        <v>0</v>
      </c>
      <c r="H79" s="343"/>
      <c r="I79" s="343"/>
      <c r="J79" s="343"/>
      <c r="K79" s="343"/>
      <c r="L79" s="343"/>
      <c r="M79" s="342">
        <f t="shared" si="21"/>
        <v>0</v>
      </c>
      <c r="N79" s="342">
        <f t="shared" si="18"/>
        <v>0</v>
      </c>
      <c r="O79" s="342" t="e">
        <f t="shared" si="19"/>
        <v>#DIV/0!</v>
      </c>
      <c r="P79" s="77" t="s">
        <v>173</v>
      </c>
      <c r="Q79" s="77"/>
      <c r="R79" s="341"/>
      <c r="S79" s="341"/>
      <c r="T79" s="341"/>
      <c r="U79" s="341"/>
      <c r="V79" s="341"/>
      <c r="W79" s="340">
        <f t="shared" si="23"/>
        <v>0</v>
      </c>
      <c r="X79" s="340">
        <f t="shared" si="24"/>
        <v>0</v>
      </c>
      <c r="Y79" s="340"/>
      <c r="Z79" s="78"/>
      <c r="AA79" s="78"/>
    </row>
    <row r="80" spans="1:27" ht="15.5" x14ac:dyDescent="0.35">
      <c r="A80" s="103"/>
      <c r="B80" s="79"/>
      <c r="C80" s="79"/>
      <c r="D80" s="73">
        <f t="shared" si="16"/>
        <v>1</v>
      </c>
      <c r="E80" s="322">
        <f t="shared" si="20"/>
        <v>0</v>
      </c>
      <c r="F80" s="231"/>
      <c r="G80" s="302">
        <f t="shared" si="22"/>
        <v>0</v>
      </c>
      <c r="H80" s="343"/>
      <c r="I80" s="343"/>
      <c r="J80" s="343"/>
      <c r="K80" s="343"/>
      <c r="L80" s="343"/>
      <c r="M80" s="342">
        <f t="shared" si="21"/>
        <v>0</v>
      </c>
      <c r="N80" s="342">
        <f t="shared" si="18"/>
        <v>0</v>
      </c>
      <c r="O80" s="342" t="e">
        <f t="shared" si="19"/>
        <v>#DIV/0!</v>
      </c>
      <c r="P80" s="77" t="s">
        <v>175</v>
      </c>
      <c r="Q80" s="77"/>
      <c r="R80" s="341"/>
      <c r="S80" s="341"/>
      <c r="T80" s="341"/>
      <c r="U80" s="341"/>
      <c r="V80" s="341"/>
      <c r="W80" s="340">
        <f t="shared" si="23"/>
        <v>0</v>
      </c>
      <c r="X80" s="340">
        <f t="shared" si="24"/>
        <v>0</v>
      </c>
      <c r="Y80" s="340"/>
      <c r="Z80" s="78"/>
      <c r="AA80" s="78"/>
    </row>
    <row r="81" spans="1:27" s="250" customFormat="1" ht="15.5" x14ac:dyDescent="0.35">
      <c r="A81" s="103"/>
      <c r="B81" s="79"/>
      <c r="C81" s="79"/>
      <c r="D81" s="73">
        <f t="shared" si="16"/>
        <v>1</v>
      </c>
      <c r="E81" s="322">
        <f t="shared" si="20"/>
        <v>0</v>
      </c>
      <c r="F81" s="231"/>
      <c r="G81" s="302">
        <f t="shared" si="22"/>
        <v>0</v>
      </c>
      <c r="H81" s="343"/>
      <c r="I81" s="343"/>
      <c r="J81" s="343"/>
      <c r="K81" s="343"/>
      <c r="L81" s="343"/>
      <c r="M81" s="342">
        <f t="shared" si="21"/>
        <v>0</v>
      </c>
      <c r="N81" s="342">
        <f t="shared" si="18"/>
        <v>0</v>
      </c>
      <c r="O81" s="342" t="e">
        <f t="shared" si="19"/>
        <v>#DIV/0!</v>
      </c>
      <c r="P81" s="77" t="s">
        <v>191</v>
      </c>
      <c r="Q81" s="248"/>
      <c r="R81" s="345"/>
      <c r="S81" s="345"/>
      <c r="T81" s="345"/>
      <c r="U81" s="345"/>
      <c r="V81" s="345"/>
      <c r="W81" s="345">
        <f t="shared" si="23"/>
        <v>0</v>
      </c>
      <c r="X81" s="345">
        <f t="shared" si="24"/>
        <v>0</v>
      </c>
      <c r="Y81" s="345"/>
      <c r="Z81" s="249"/>
      <c r="AA81" s="249"/>
    </row>
    <row r="82" spans="1:27" ht="15.5" x14ac:dyDescent="0.35">
      <c r="A82" s="103"/>
      <c r="B82" s="79"/>
      <c r="C82" s="79"/>
      <c r="D82" s="73">
        <f t="shared" si="16"/>
        <v>1</v>
      </c>
      <c r="E82" s="322">
        <f t="shared" si="20"/>
        <v>0</v>
      </c>
      <c r="F82" s="231"/>
      <c r="G82" s="302">
        <f t="shared" si="22"/>
        <v>0</v>
      </c>
      <c r="H82" s="343"/>
      <c r="I82" s="343"/>
      <c r="J82" s="343"/>
      <c r="K82" s="343"/>
      <c r="L82" s="343"/>
      <c r="M82" s="342">
        <f t="shared" si="21"/>
        <v>0</v>
      </c>
      <c r="N82" s="342">
        <f t="shared" si="18"/>
        <v>0</v>
      </c>
      <c r="O82" s="342" t="e">
        <f t="shared" si="19"/>
        <v>#DIV/0!</v>
      </c>
      <c r="P82" s="82" t="s">
        <v>177</v>
      </c>
      <c r="Q82" s="77"/>
      <c r="R82" s="341"/>
      <c r="S82" s="341"/>
      <c r="T82" s="341"/>
      <c r="U82" s="341"/>
      <c r="V82" s="341"/>
      <c r="W82" s="340">
        <f t="shared" si="23"/>
        <v>0</v>
      </c>
      <c r="X82" s="340">
        <f t="shared" si="24"/>
        <v>0</v>
      </c>
      <c r="Y82" s="340"/>
      <c r="Z82" s="78"/>
      <c r="AA82" s="78"/>
    </row>
    <row r="83" spans="1:27" ht="15.5" x14ac:dyDescent="0.35">
      <c r="A83" s="103"/>
      <c r="B83" s="79"/>
      <c r="C83" s="79"/>
      <c r="D83" s="73">
        <f t="shared" si="16"/>
        <v>1</v>
      </c>
      <c r="E83" s="322">
        <f t="shared" si="20"/>
        <v>0</v>
      </c>
      <c r="F83" s="231"/>
      <c r="G83" s="302">
        <f t="shared" si="22"/>
        <v>0</v>
      </c>
      <c r="H83" s="343"/>
      <c r="I83" s="343"/>
      <c r="J83" s="343"/>
      <c r="K83" s="343"/>
      <c r="L83" s="343"/>
      <c r="M83" s="343">
        <f t="shared" si="21"/>
        <v>0</v>
      </c>
      <c r="N83" s="342">
        <f t="shared" si="18"/>
        <v>0</v>
      </c>
      <c r="O83" s="343" t="e">
        <f t="shared" si="19"/>
        <v>#DIV/0!</v>
      </c>
      <c r="P83" s="77" t="s">
        <v>173</v>
      </c>
      <c r="Q83" s="239"/>
      <c r="R83" s="341"/>
      <c r="S83" s="341"/>
      <c r="T83" s="341"/>
      <c r="U83" s="341"/>
      <c r="V83" s="341"/>
      <c r="W83" s="340">
        <f t="shared" si="23"/>
        <v>0</v>
      </c>
      <c r="X83" s="340">
        <f t="shared" si="24"/>
        <v>0</v>
      </c>
      <c r="Y83" s="340"/>
      <c r="Z83" s="78"/>
      <c r="AA83" s="78"/>
    </row>
    <row r="84" spans="1:27" ht="15.5" x14ac:dyDescent="0.35">
      <c r="A84" s="103"/>
      <c r="B84" s="79"/>
      <c r="C84" s="79"/>
      <c r="D84" s="73">
        <f t="shared" si="16"/>
        <v>1</v>
      </c>
      <c r="E84" s="322">
        <f t="shared" ref="E84:E116" si="25">F83</f>
        <v>0</v>
      </c>
      <c r="F84" s="231"/>
      <c r="G84" s="302">
        <v>8</v>
      </c>
      <c r="H84" s="343"/>
      <c r="I84" s="343"/>
      <c r="J84" s="343"/>
      <c r="K84" s="343"/>
      <c r="L84" s="343"/>
      <c r="M84" s="342">
        <f t="shared" si="21"/>
        <v>0</v>
      </c>
      <c r="N84" s="342">
        <f t="shared" si="18"/>
        <v>0</v>
      </c>
      <c r="O84" s="342">
        <f t="shared" si="19"/>
        <v>0</v>
      </c>
      <c r="P84" s="334" t="s">
        <v>186</v>
      </c>
      <c r="Q84" s="77"/>
      <c r="R84" s="341"/>
      <c r="S84" s="341"/>
      <c r="T84" s="341"/>
      <c r="U84" s="341"/>
      <c r="V84" s="341"/>
      <c r="W84" s="340">
        <f t="shared" si="23"/>
        <v>0</v>
      </c>
      <c r="X84" s="340">
        <f t="shared" si="24"/>
        <v>0</v>
      </c>
      <c r="Y84" s="340"/>
      <c r="Z84" s="78"/>
      <c r="AA84" s="78"/>
    </row>
    <row r="85" spans="1:27" ht="15.5" x14ac:dyDescent="0.35">
      <c r="A85" s="103"/>
      <c r="B85" s="79"/>
      <c r="C85" s="79"/>
      <c r="D85" s="73">
        <f t="shared" si="16"/>
        <v>1</v>
      </c>
      <c r="E85" s="322">
        <f t="shared" si="25"/>
        <v>0</v>
      </c>
      <c r="F85" s="231"/>
      <c r="G85" s="302">
        <f t="shared" si="22"/>
        <v>0</v>
      </c>
      <c r="H85" s="343"/>
      <c r="I85" s="343"/>
      <c r="J85" s="343"/>
      <c r="K85" s="343"/>
      <c r="L85" s="343"/>
      <c r="M85" s="342">
        <f t="shared" si="21"/>
        <v>0</v>
      </c>
      <c r="N85" s="342">
        <f t="shared" si="18"/>
        <v>0</v>
      </c>
      <c r="O85" s="342" t="e">
        <f t="shared" si="19"/>
        <v>#DIV/0!</v>
      </c>
      <c r="P85" s="77" t="s">
        <v>170</v>
      </c>
      <c r="Q85" s="77"/>
      <c r="R85" s="341"/>
      <c r="S85" s="341"/>
      <c r="T85" s="341"/>
      <c r="U85" s="341"/>
      <c r="V85" s="341"/>
      <c r="W85" s="340">
        <f t="shared" si="23"/>
        <v>0</v>
      </c>
      <c r="X85" s="340">
        <f t="shared" si="24"/>
        <v>0</v>
      </c>
      <c r="Y85" s="340"/>
      <c r="Z85" s="78"/>
      <c r="AA85" s="78"/>
    </row>
    <row r="86" spans="1:27" ht="15.5" x14ac:dyDescent="0.35">
      <c r="A86" s="103"/>
      <c r="B86" s="79"/>
      <c r="C86" s="79"/>
      <c r="D86" s="73">
        <f t="shared" si="16"/>
        <v>1</v>
      </c>
      <c r="E86" s="322">
        <f t="shared" si="25"/>
        <v>0</v>
      </c>
      <c r="F86" s="231"/>
      <c r="G86" s="302">
        <f t="shared" si="22"/>
        <v>0</v>
      </c>
      <c r="H86" s="343"/>
      <c r="I86" s="343"/>
      <c r="J86" s="343"/>
      <c r="K86" s="343"/>
      <c r="L86" s="343"/>
      <c r="M86" s="342">
        <f t="shared" si="21"/>
        <v>0</v>
      </c>
      <c r="N86" s="342">
        <f t="shared" si="18"/>
        <v>0</v>
      </c>
      <c r="O86" s="342" t="e">
        <f t="shared" si="19"/>
        <v>#DIV/0!</v>
      </c>
      <c r="P86" s="77" t="s">
        <v>170</v>
      </c>
      <c r="Q86" s="77"/>
      <c r="R86" s="341"/>
      <c r="S86" s="341"/>
      <c r="T86" s="341"/>
      <c r="U86" s="341"/>
      <c r="V86" s="341"/>
      <c r="W86" s="340">
        <f t="shared" si="23"/>
        <v>0</v>
      </c>
      <c r="X86" s="340">
        <f t="shared" si="24"/>
        <v>0</v>
      </c>
      <c r="Y86" s="340"/>
      <c r="Z86" s="78"/>
      <c r="AA86" s="78"/>
    </row>
    <row r="87" spans="1:27" ht="15.5" x14ac:dyDescent="0.35">
      <c r="A87" s="103"/>
      <c r="B87" s="79"/>
      <c r="C87" s="79"/>
      <c r="D87" s="73">
        <f t="shared" si="16"/>
        <v>1</v>
      </c>
      <c r="E87" s="322">
        <f t="shared" si="25"/>
        <v>0</v>
      </c>
      <c r="F87" s="231"/>
      <c r="G87" s="302">
        <f t="shared" si="22"/>
        <v>0</v>
      </c>
      <c r="H87" s="343"/>
      <c r="I87" s="343"/>
      <c r="J87" s="343"/>
      <c r="K87" s="343"/>
      <c r="L87" s="343"/>
      <c r="M87" s="342">
        <f t="shared" si="21"/>
        <v>0</v>
      </c>
      <c r="N87" s="342">
        <f t="shared" si="18"/>
        <v>0</v>
      </c>
      <c r="O87" s="342" t="e">
        <f t="shared" si="19"/>
        <v>#DIV/0!</v>
      </c>
      <c r="P87" s="77" t="s">
        <v>173</v>
      </c>
      <c r="Q87" s="77"/>
      <c r="R87" s="341"/>
      <c r="S87" s="341"/>
      <c r="T87" s="341"/>
      <c r="U87" s="341"/>
      <c r="V87" s="341"/>
      <c r="W87" s="340">
        <f t="shared" si="23"/>
        <v>0</v>
      </c>
      <c r="X87" s="340">
        <f t="shared" si="24"/>
        <v>0</v>
      </c>
      <c r="Y87" s="340"/>
      <c r="Z87" s="78"/>
      <c r="AA87" s="78"/>
    </row>
    <row r="88" spans="1:27" ht="15.5" x14ac:dyDescent="0.35">
      <c r="A88" s="103"/>
      <c r="B88" s="79"/>
      <c r="C88" s="79"/>
      <c r="D88" s="73">
        <f t="shared" si="16"/>
        <v>1</v>
      </c>
      <c r="E88" s="322">
        <f t="shared" si="25"/>
        <v>0</v>
      </c>
      <c r="F88" s="231"/>
      <c r="G88" s="302">
        <f t="shared" si="22"/>
        <v>0</v>
      </c>
      <c r="H88" s="343"/>
      <c r="I88" s="343"/>
      <c r="J88" s="343"/>
      <c r="K88" s="343"/>
      <c r="L88" s="343"/>
      <c r="M88" s="342">
        <f t="shared" si="21"/>
        <v>0</v>
      </c>
      <c r="N88" s="342">
        <f t="shared" si="18"/>
        <v>0</v>
      </c>
      <c r="O88" s="342" t="e">
        <f t="shared" si="19"/>
        <v>#DIV/0!</v>
      </c>
      <c r="P88" s="77" t="s">
        <v>171</v>
      </c>
      <c r="Q88" s="77"/>
      <c r="R88" s="341"/>
      <c r="S88" s="341"/>
      <c r="T88" s="341"/>
      <c r="U88" s="341"/>
      <c r="V88" s="341"/>
      <c r="W88" s="340">
        <f t="shared" si="23"/>
        <v>0</v>
      </c>
      <c r="X88" s="340">
        <f t="shared" si="24"/>
        <v>0</v>
      </c>
      <c r="Y88" s="340"/>
      <c r="Z88" s="78"/>
      <c r="AA88" s="78"/>
    </row>
    <row r="89" spans="1:27" ht="15.5" x14ac:dyDescent="0.35">
      <c r="A89" s="103"/>
      <c r="B89" s="79"/>
      <c r="C89" s="79"/>
      <c r="D89" s="73">
        <v>1.1409722222222223</v>
      </c>
      <c r="E89" s="322">
        <f t="shared" si="25"/>
        <v>0</v>
      </c>
      <c r="F89" s="231"/>
      <c r="G89" s="302">
        <v>3.97</v>
      </c>
      <c r="H89" s="343"/>
      <c r="I89" s="343"/>
      <c r="J89" s="343"/>
      <c r="K89" s="343"/>
      <c r="L89" s="343"/>
      <c r="M89" s="342">
        <v>402</v>
      </c>
      <c r="N89" s="342">
        <v>402</v>
      </c>
      <c r="O89" s="342">
        <v>101.25944584382871</v>
      </c>
      <c r="P89" s="77" t="s">
        <v>177</v>
      </c>
      <c r="Q89" s="77"/>
      <c r="R89" s="341"/>
      <c r="S89" s="341"/>
      <c r="T89" s="341"/>
      <c r="U89" s="341"/>
      <c r="V89" s="341"/>
      <c r="W89" s="340">
        <v>0</v>
      </c>
      <c r="X89" s="340">
        <v>0</v>
      </c>
      <c r="Y89" s="340"/>
      <c r="Z89" s="78"/>
      <c r="AA89" s="78"/>
    </row>
    <row r="90" spans="1:27" ht="15.5" x14ac:dyDescent="0.35">
      <c r="A90" s="103"/>
      <c r="B90" s="79"/>
      <c r="C90" s="79"/>
      <c r="D90" s="73">
        <v>1.1409722222222223</v>
      </c>
      <c r="E90" s="322">
        <f t="shared" si="25"/>
        <v>0</v>
      </c>
      <c r="F90" s="231"/>
      <c r="G90" s="302">
        <v>3.97</v>
      </c>
      <c r="H90" s="343"/>
      <c r="I90" s="343"/>
      <c r="J90" s="343"/>
      <c r="K90" s="343"/>
      <c r="L90" s="343"/>
      <c r="M90" s="342">
        <v>402</v>
      </c>
      <c r="N90" s="342">
        <v>402</v>
      </c>
      <c r="O90" s="342">
        <v>101.25944584382871</v>
      </c>
      <c r="P90" s="77" t="s">
        <v>177</v>
      </c>
      <c r="Q90" s="77"/>
      <c r="R90" s="341"/>
      <c r="S90" s="341"/>
      <c r="T90" s="341"/>
      <c r="U90" s="341"/>
      <c r="V90" s="341"/>
      <c r="W90" s="340">
        <v>0</v>
      </c>
      <c r="X90" s="340">
        <v>0</v>
      </c>
      <c r="Y90" s="340"/>
      <c r="Z90" s="78"/>
      <c r="AA90" s="78"/>
    </row>
    <row r="91" spans="1:27" ht="15.5" x14ac:dyDescent="0.35">
      <c r="A91" s="103"/>
      <c r="B91" s="79"/>
      <c r="C91" s="79"/>
      <c r="D91" s="73">
        <f t="shared" si="16"/>
        <v>1</v>
      </c>
      <c r="E91" s="322">
        <f t="shared" si="25"/>
        <v>0</v>
      </c>
      <c r="F91" s="231"/>
      <c r="G91" s="302">
        <f t="shared" si="22"/>
        <v>0</v>
      </c>
      <c r="H91" s="343"/>
      <c r="I91" s="343"/>
      <c r="J91" s="343"/>
      <c r="K91" s="343"/>
      <c r="L91" s="343"/>
      <c r="M91" s="342">
        <f t="shared" si="21"/>
        <v>0</v>
      </c>
      <c r="N91" s="342">
        <f t="shared" si="18"/>
        <v>0</v>
      </c>
      <c r="O91" s="342" t="e">
        <f t="shared" si="19"/>
        <v>#DIV/0!</v>
      </c>
      <c r="P91" s="77" t="s">
        <v>173</v>
      </c>
      <c r="Q91" s="77"/>
      <c r="R91" s="341"/>
      <c r="S91" s="341"/>
      <c r="T91" s="341"/>
      <c r="U91" s="341"/>
      <c r="V91" s="341"/>
      <c r="W91" s="340">
        <f t="shared" si="23"/>
        <v>0</v>
      </c>
      <c r="X91" s="340">
        <f t="shared" si="24"/>
        <v>0</v>
      </c>
      <c r="Y91" s="340"/>
      <c r="Z91" s="78"/>
      <c r="AA91" s="78"/>
    </row>
    <row r="92" spans="1:27" ht="15.5" x14ac:dyDescent="0.35">
      <c r="A92" s="103"/>
      <c r="B92" s="79"/>
      <c r="C92" s="79"/>
      <c r="D92" s="73">
        <f t="shared" si="16"/>
        <v>1</v>
      </c>
      <c r="E92" s="322">
        <f t="shared" si="25"/>
        <v>0</v>
      </c>
      <c r="F92" s="231"/>
      <c r="G92" s="302">
        <f t="shared" si="22"/>
        <v>0</v>
      </c>
      <c r="H92" s="343"/>
      <c r="I92" s="343"/>
      <c r="J92" s="343"/>
      <c r="K92" s="343"/>
      <c r="L92" s="343"/>
      <c r="M92" s="342">
        <f t="shared" si="21"/>
        <v>0</v>
      </c>
      <c r="N92" s="342">
        <f t="shared" si="18"/>
        <v>0</v>
      </c>
      <c r="O92" s="342" t="e">
        <f t="shared" si="19"/>
        <v>#DIV/0!</v>
      </c>
      <c r="P92" s="77" t="s">
        <v>171</v>
      </c>
      <c r="Q92" s="77"/>
      <c r="R92" s="341"/>
      <c r="S92" s="341"/>
      <c r="T92" s="341"/>
      <c r="U92" s="341"/>
      <c r="V92" s="341"/>
      <c r="W92" s="340">
        <f t="shared" si="23"/>
        <v>0</v>
      </c>
      <c r="X92" s="340">
        <f t="shared" si="24"/>
        <v>0</v>
      </c>
      <c r="Y92" s="340"/>
      <c r="Z92" s="78"/>
      <c r="AA92" s="78"/>
    </row>
    <row r="93" spans="1:27" ht="15.5" x14ac:dyDescent="0.35">
      <c r="A93" s="103"/>
      <c r="B93" s="79"/>
      <c r="C93" s="79"/>
      <c r="D93" s="73">
        <f t="shared" si="16"/>
        <v>1</v>
      </c>
      <c r="E93" s="322">
        <f t="shared" si="25"/>
        <v>0</v>
      </c>
      <c r="F93" s="231"/>
      <c r="G93" s="302">
        <f t="shared" si="22"/>
        <v>0</v>
      </c>
      <c r="H93" s="343"/>
      <c r="I93" s="343"/>
      <c r="J93" s="343"/>
      <c r="K93" s="343"/>
      <c r="L93" s="343"/>
      <c r="M93" s="342">
        <f t="shared" si="21"/>
        <v>0</v>
      </c>
      <c r="N93" s="342">
        <f t="shared" si="18"/>
        <v>0</v>
      </c>
      <c r="O93" s="342" t="e">
        <f t="shared" si="19"/>
        <v>#DIV/0!</v>
      </c>
      <c r="P93" s="77" t="s">
        <v>191</v>
      </c>
      <c r="Q93" s="77"/>
      <c r="R93" s="341"/>
      <c r="S93" s="341"/>
      <c r="T93" s="341"/>
      <c r="U93" s="341"/>
      <c r="V93" s="341"/>
      <c r="W93" s="340">
        <f t="shared" si="23"/>
        <v>0</v>
      </c>
      <c r="X93" s="340">
        <f t="shared" si="24"/>
        <v>0</v>
      </c>
      <c r="Y93" s="340"/>
      <c r="Z93" s="78"/>
      <c r="AA93" s="78"/>
    </row>
    <row r="94" spans="1:27" ht="15.5" x14ac:dyDescent="0.35">
      <c r="A94" s="103"/>
      <c r="B94" s="79"/>
      <c r="C94" s="79"/>
      <c r="D94" s="73">
        <f t="shared" si="16"/>
        <v>1</v>
      </c>
      <c r="E94" s="322">
        <f t="shared" si="25"/>
        <v>0</v>
      </c>
      <c r="F94" s="231"/>
      <c r="G94" s="302">
        <f t="shared" si="22"/>
        <v>0</v>
      </c>
      <c r="H94" s="343"/>
      <c r="I94" s="343"/>
      <c r="J94" s="343"/>
      <c r="K94" s="343"/>
      <c r="L94" s="343"/>
      <c r="M94" s="342">
        <f t="shared" si="21"/>
        <v>0</v>
      </c>
      <c r="N94" s="342">
        <f t="shared" si="18"/>
        <v>0</v>
      </c>
      <c r="O94" s="342" t="e">
        <f t="shared" si="19"/>
        <v>#DIV/0!</v>
      </c>
      <c r="P94" s="334" t="s">
        <v>201</v>
      </c>
      <c r="Q94" s="77"/>
      <c r="R94" s="341"/>
      <c r="S94" s="341"/>
      <c r="T94" s="341"/>
      <c r="U94" s="341"/>
      <c r="V94" s="341"/>
      <c r="W94" s="340"/>
      <c r="X94" s="340"/>
      <c r="Y94" s="340"/>
      <c r="Z94" s="78"/>
      <c r="AA94" s="78"/>
    </row>
    <row r="95" spans="1:27" ht="15.5" x14ac:dyDescent="0.35">
      <c r="A95" s="103"/>
      <c r="B95" s="79"/>
      <c r="C95" s="79"/>
      <c r="D95" s="73">
        <f t="shared" si="16"/>
        <v>1</v>
      </c>
      <c r="E95" s="322">
        <f t="shared" si="25"/>
        <v>0</v>
      </c>
      <c r="F95" s="231"/>
      <c r="G95" s="302">
        <f t="shared" si="22"/>
        <v>0</v>
      </c>
      <c r="H95" s="343"/>
      <c r="I95" s="343"/>
      <c r="J95" s="343"/>
      <c r="K95" s="343"/>
      <c r="L95" s="343"/>
      <c r="M95" s="342">
        <f t="shared" si="21"/>
        <v>0</v>
      </c>
      <c r="N95" s="342">
        <f t="shared" si="18"/>
        <v>0</v>
      </c>
      <c r="O95" s="342" t="e">
        <f t="shared" si="19"/>
        <v>#DIV/0!</v>
      </c>
      <c r="P95" s="82" t="s">
        <v>173</v>
      </c>
      <c r="Q95" s="77"/>
      <c r="R95" s="341"/>
      <c r="S95" s="341"/>
      <c r="T95" s="341"/>
      <c r="U95" s="341"/>
      <c r="V95" s="341"/>
      <c r="W95" s="340"/>
      <c r="X95" s="340"/>
      <c r="Y95" s="340"/>
      <c r="Z95" s="78"/>
      <c r="AA95" s="78"/>
    </row>
    <row r="96" spans="1:27" ht="15.5" x14ac:dyDescent="0.35">
      <c r="A96" s="103"/>
      <c r="B96" s="79"/>
      <c r="C96" s="79"/>
      <c r="D96" s="73">
        <f t="shared" si="16"/>
        <v>1</v>
      </c>
      <c r="E96" s="322">
        <f t="shared" si="25"/>
        <v>0</v>
      </c>
      <c r="F96" s="231"/>
      <c r="G96" s="302">
        <f t="shared" si="22"/>
        <v>0</v>
      </c>
      <c r="H96" s="343"/>
      <c r="I96" s="343"/>
      <c r="J96" s="343"/>
      <c r="K96" s="343"/>
      <c r="L96" s="343"/>
      <c r="M96" s="343">
        <f>+(($H$6*H96)+($I$6*I96)+($J$6*J96)+($K$6*K96)+(13*L96))</f>
        <v>0</v>
      </c>
      <c r="N96" s="343">
        <f t="shared" si="18"/>
        <v>0</v>
      </c>
      <c r="O96" s="343" t="e">
        <f t="shared" si="19"/>
        <v>#DIV/0!</v>
      </c>
      <c r="P96" s="77" t="s">
        <v>171</v>
      </c>
      <c r="Q96" s="77"/>
      <c r="R96" s="341"/>
      <c r="S96" s="341"/>
      <c r="T96" s="341"/>
      <c r="U96" s="341"/>
      <c r="V96" s="341"/>
      <c r="W96" s="340">
        <f t="shared" ref="W96:W131" si="26">+(($H$6*R96)+($I$6*S96)+($J$6*T96)+($K$6*U96)+($L$6*V96))</f>
        <v>0</v>
      </c>
      <c r="X96" s="340">
        <f t="shared" ref="X96:X131" si="27">+W96</f>
        <v>0</v>
      </c>
      <c r="Y96" s="340"/>
      <c r="Z96" s="78"/>
      <c r="AA96" s="78"/>
    </row>
    <row r="97" spans="1:27" ht="15.5" x14ac:dyDescent="0.35">
      <c r="A97" s="103"/>
      <c r="B97" s="79"/>
      <c r="C97" s="79"/>
      <c r="D97" s="73">
        <f t="shared" si="16"/>
        <v>1</v>
      </c>
      <c r="E97" s="322">
        <f t="shared" si="25"/>
        <v>0</v>
      </c>
      <c r="F97" s="231"/>
      <c r="G97" s="302">
        <f t="shared" si="22"/>
        <v>0</v>
      </c>
      <c r="H97" s="343"/>
      <c r="I97" s="343"/>
      <c r="J97" s="343"/>
      <c r="K97" s="343"/>
      <c r="L97" s="343"/>
      <c r="M97" s="342">
        <f t="shared" si="21"/>
        <v>0</v>
      </c>
      <c r="N97" s="342">
        <f t="shared" si="18"/>
        <v>0</v>
      </c>
      <c r="O97" s="342" t="e">
        <f t="shared" si="19"/>
        <v>#DIV/0!</v>
      </c>
      <c r="P97" s="77" t="s">
        <v>191</v>
      </c>
      <c r="Q97" s="77"/>
      <c r="R97" s="341"/>
      <c r="S97" s="341"/>
      <c r="T97" s="341"/>
      <c r="U97" s="341"/>
      <c r="V97" s="341"/>
      <c r="W97" s="340">
        <f t="shared" si="26"/>
        <v>0</v>
      </c>
      <c r="X97" s="340">
        <f t="shared" si="27"/>
        <v>0</v>
      </c>
      <c r="Y97" s="340"/>
      <c r="Z97" s="78"/>
      <c r="AA97" s="78"/>
    </row>
    <row r="98" spans="1:27" ht="15.5" x14ac:dyDescent="0.35">
      <c r="A98" s="103"/>
      <c r="B98" s="79"/>
      <c r="C98" s="79"/>
      <c r="D98" s="73">
        <f t="shared" si="16"/>
        <v>1</v>
      </c>
      <c r="E98" s="322">
        <f t="shared" si="25"/>
        <v>0</v>
      </c>
      <c r="F98" s="231"/>
      <c r="G98" s="302">
        <f t="shared" si="22"/>
        <v>0</v>
      </c>
      <c r="H98" s="343"/>
      <c r="I98" s="343"/>
      <c r="J98" s="343"/>
      <c r="K98" s="343"/>
      <c r="L98" s="343"/>
      <c r="M98" s="342">
        <f t="shared" si="21"/>
        <v>0</v>
      </c>
      <c r="N98" s="342">
        <f t="shared" si="18"/>
        <v>0</v>
      </c>
      <c r="O98" s="342" t="e">
        <f t="shared" si="19"/>
        <v>#DIV/0!</v>
      </c>
      <c r="P98" s="77" t="s">
        <v>188</v>
      </c>
      <c r="Q98" s="77"/>
      <c r="R98" s="341"/>
      <c r="S98" s="341"/>
      <c r="T98" s="341"/>
      <c r="U98" s="341"/>
      <c r="V98" s="341"/>
      <c r="W98" s="340">
        <f t="shared" si="26"/>
        <v>0</v>
      </c>
      <c r="X98" s="340">
        <f t="shared" si="27"/>
        <v>0</v>
      </c>
      <c r="Y98" s="340"/>
      <c r="Z98" s="78"/>
      <c r="AA98" s="78"/>
    </row>
    <row r="99" spans="1:27" ht="15.5" x14ac:dyDescent="0.35">
      <c r="A99" s="103"/>
      <c r="B99" s="79"/>
      <c r="C99" s="79"/>
      <c r="D99" s="73">
        <f t="shared" si="16"/>
        <v>1</v>
      </c>
      <c r="E99" s="322">
        <f t="shared" si="25"/>
        <v>0</v>
      </c>
      <c r="F99" s="231"/>
      <c r="G99" s="302">
        <f t="shared" si="22"/>
        <v>0</v>
      </c>
      <c r="H99" s="343"/>
      <c r="I99" s="343"/>
      <c r="J99" s="343"/>
      <c r="K99" s="343"/>
      <c r="L99" s="343"/>
      <c r="M99" s="342">
        <f t="shared" si="21"/>
        <v>0</v>
      </c>
      <c r="N99" s="342">
        <f t="shared" si="18"/>
        <v>0</v>
      </c>
      <c r="O99" s="342" t="e">
        <f t="shared" si="19"/>
        <v>#DIV/0!</v>
      </c>
      <c r="P99" s="77" t="s">
        <v>173</v>
      </c>
      <c r="Q99" s="77"/>
      <c r="R99" s="341"/>
      <c r="S99" s="341"/>
      <c r="T99" s="341"/>
      <c r="U99" s="341"/>
      <c r="V99" s="341"/>
      <c r="W99" s="340">
        <f t="shared" si="26"/>
        <v>0</v>
      </c>
      <c r="X99" s="340">
        <f t="shared" si="27"/>
        <v>0</v>
      </c>
      <c r="Y99" s="340"/>
      <c r="Z99" s="78"/>
      <c r="AA99" s="78"/>
    </row>
    <row r="100" spans="1:27" ht="15.5" x14ac:dyDescent="0.35">
      <c r="A100" s="103"/>
      <c r="B100" s="79"/>
      <c r="C100" s="79"/>
      <c r="D100" s="73">
        <f t="shared" si="16"/>
        <v>1</v>
      </c>
      <c r="E100" s="322">
        <f t="shared" si="25"/>
        <v>0</v>
      </c>
      <c r="F100" s="231"/>
      <c r="G100" s="302">
        <f t="shared" si="22"/>
        <v>0</v>
      </c>
      <c r="H100" s="343"/>
      <c r="I100" s="343"/>
      <c r="J100" s="343"/>
      <c r="K100" s="343"/>
      <c r="L100" s="343"/>
      <c r="M100" s="343">
        <f>+(($H$6*H100)+($I$6*I100)+($J$6*J100)+($K$6*K100)+(13*L100))</f>
        <v>0</v>
      </c>
      <c r="N100" s="342">
        <f t="shared" si="18"/>
        <v>0</v>
      </c>
      <c r="O100" s="342" t="e">
        <f t="shared" si="19"/>
        <v>#DIV/0!</v>
      </c>
      <c r="P100" s="77" t="s">
        <v>191</v>
      </c>
      <c r="Q100" s="77"/>
      <c r="R100" s="341"/>
      <c r="S100" s="341"/>
      <c r="T100" s="341"/>
      <c r="U100" s="341"/>
      <c r="V100" s="341"/>
      <c r="W100" s="340">
        <f t="shared" si="26"/>
        <v>0</v>
      </c>
      <c r="X100" s="340">
        <f t="shared" si="27"/>
        <v>0</v>
      </c>
      <c r="Y100" s="340"/>
      <c r="Z100" s="78"/>
      <c r="AA100" s="78"/>
    </row>
    <row r="101" spans="1:27" ht="15.5" x14ac:dyDescent="0.35">
      <c r="A101" s="103"/>
      <c r="B101" s="79"/>
      <c r="C101" s="79"/>
      <c r="D101" s="73">
        <f t="shared" si="16"/>
        <v>1</v>
      </c>
      <c r="E101" s="322">
        <f t="shared" si="25"/>
        <v>0</v>
      </c>
      <c r="F101" s="231"/>
      <c r="G101" s="302">
        <f t="shared" si="22"/>
        <v>0</v>
      </c>
      <c r="H101" s="343"/>
      <c r="I101" s="343"/>
      <c r="J101" s="343"/>
      <c r="K101" s="343"/>
      <c r="L101" s="343"/>
      <c r="M101" s="342">
        <f>+(($H$6*H101)+($I$6*I101)+($J$6*J101)+($K$6*K101)+(13*L101))</f>
        <v>0</v>
      </c>
      <c r="N101" s="342">
        <f t="shared" si="18"/>
        <v>0</v>
      </c>
      <c r="O101" s="342" t="e">
        <f t="shared" si="19"/>
        <v>#DIV/0!</v>
      </c>
      <c r="P101" s="77" t="s">
        <v>186</v>
      </c>
      <c r="Q101" s="77"/>
      <c r="R101" s="341"/>
      <c r="S101" s="341"/>
      <c r="T101" s="341"/>
      <c r="U101" s="341"/>
      <c r="V101" s="341"/>
      <c r="W101" s="340">
        <f t="shared" si="26"/>
        <v>0</v>
      </c>
      <c r="X101" s="340">
        <f t="shared" si="27"/>
        <v>0</v>
      </c>
      <c r="Y101" s="340"/>
      <c r="Z101" s="78"/>
      <c r="AA101" s="78"/>
    </row>
    <row r="102" spans="1:27" ht="15.5" x14ac:dyDescent="0.35">
      <c r="A102" s="103"/>
      <c r="B102" s="79"/>
      <c r="C102" s="79"/>
      <c r="D102" s="73">
        <f t="shared" si="16"/>
        <v>1</v>
      </c>
      <c r="E102" s="322">
        <f t="shared" si="25"/>
        <v>0</v>
      </c>
      <c r="F102" s="231"/>
      <c r="G102" s="302">
        <f t="shared" si="22"/>
        <v>0</v>
      </c>
      <c r="H102" s="343"/>
      <c r="I102" s="343"/>
      <c r="J102" s="343"/>
      <c r="K102" s="343"/>
      <c r="L102" s="343"/>
      <c r="M102" s="342">
        <f t="shared" si="21"/>
        <v>0</v>
      </c>
      <c r="N102" s="342">
        <f t="shared" si="18"/>
        <v>0</v>
      </c>
      <c r="O102" s="342" t="e">
        <f t="shared" si="19"/>
        <v>#DIV/0!</v>
      </c>
      <c r="P102" s="77" t="s">
        <v>177</v>
      </c>
      <c r="Q102" s="77"/>
      <c r="R102" s="341"/>
      <c r="S102" s="341"/>
      <c r="T102" s="341"/>
      <c r="U102" s="341"/>
      <c r="V102" s="341"/>
      <c r="W102" s="340">
        <f t="shared" si="26"/>
        <v>0</v>
      </c>
      <c r="X102" s="340">
        <f t="shared" si="27"/>
        <v>0</v>
      </c>
      <c r="Y102" s="340"/>
      <c r="Z102" s="78"/>
      <c r="AA102" s="78"/>
    </row>
    <row r="103" spans="1:27" ht="15.5" x14ac:dyDescent="0.35">
      <c r="A103" s="103"/>
      <c r="B103" s="79"/>
      <c r="C103" s="79"/>
      <c r="D103" s="73">
        <f t="shared" ref="D103:D131" si="28">1+C103-B103</f>
        <v>1</v>
      </c>
      <c r="E103" s="322">
        <f t="shared" si="25"/>
        <v>0</v>
      </c>
      <c r="F103" s="231"/>
      <c r="G103" s="302">
        <f t="shared" ref="G103:G113" si="29">(F103-E103)/100</f>
        <v>0</v>
      </c>
      <c r="H103" s="343"/>
      <c r="I103" s="343"/>
      <c r="J103" s="343"/>
      <c r="K103" s="343"/>
      <c r="L103" s="343"/>
      <c r="M103" s="342">
        <f t="shared" si="21"/>
        <v>0</v>
      </c>
      <c r="N103" s="342">
        <f t="shared" ref="N103:N131" si="30">+M103</f>
        <v>0</v>
      </c>
      <c r="O103" s="342" t="e">
        <f t="shared" ref="O103:O131" si="31">+M103/G103</f>
        <v>#DIV/0!</v>
      </c>
      <c r="P103" s="77" t="s">
        <v>173</v>
      </c>
      <c r="Q103" s="77"/>
      <c r="R103" s="341"/>
      <c r="S103" s="341"/>
      <c r="T103" s="341"/>
      <c r="U103" s="341"/>
      <c r="V103" s="341"/>
      <c r="W103" s="340">
        <f t="shared" si="26"/>
        <v>0</v>
      </c>
      <c r="X103" s="340">
        <f t="shared" si="27"/>
        <v>0</v>
      </c>
      <c r="Y103" s="340"/>
      <c r="Z103" s="78"/>
      <c r="AA103" s="78"/>
    </row>
    <row r="104" spans="1:27" ht="15.5" x14ac:dyDescent="0.35">
      <c r="A104" s="103" t="s">
        <v>187</v>
      </c>
      <c r="B104" s="79"/>
      <c r="C104" s="79"/>
      <c r="D104" s="73">
        <f t="shared" si="28"/>
        <v>1</v>
      </c>
      <c r="E104" s="322">
        <f t="shared" si="25"/>
        <v>0</v>
      </c>
      <c r="F104" s="231"/>
      <c r="G104" s="302">
        <f t="shared" si="29"/>
        <v>0</v>
      </c>
      <c r="H104" s="343"/>
      <c r="I104" s="343"/>
      <c r="J104" s="343"/>
      <c r="K104" s="343"/>
      <c r="L104" s="343"/>
      <c r="M104" s="342">
        <f t="shared" ref="M104:M131" si="32">+(($H$6*H104)+($I$6*I104)+($J$6*J104)+($K$6*K104)+($L$6*L104))</f>
        <v>0</v>
      </c>
      <c r="N104" s="342">
        <f t="shared" si="30"/>
        <v>0</v>
      </c>
      <c r="O104" s="342" t="e">
        <f t="shared" si="31"/>
        <v>#DIV/0!</v>
      </c>
      <c r="P104" s="77"/>
      <c r="Q104" s="77"/>
      <c r="R104" s="341"/>
      <c r="S104" s="341"/>
      <c r="T104" s="341"/>
      <c r="U104" s="341"/>
      <c r="V104" s="341"/>
      <c r="W104" s="340">
        <f t="shared" si="26"/>
        <v>0</v>
      </c>
      <c r="X104" s="340">
        <f t="shared" si="27"/>
        <v>0</v>
      </c>
      <c r="Y104" s="340"/>
      <c r="Z104" s="78"/>
      <c r="AA104" s="78"/>
    </row>
    <row r="105" spans="1:27" ht="15.5" x14ac:dyDescent="0.35">
      <c r="A105" s="103"/>
      <c r="B105" s="79"/>
      <c r="C105" s="79"/>
      <c r="D105" s="73">
        <f t="shared" si="28"/>
        <v>1</v>
      </c>
      <c r="E105" s="322">
        <f t="shared" si="25"/>
        <v>0</v>
      </c>
      <c r="F105" s="231"/>
      <c r="G105" s="302">
        <f t="shared" si="29"/>
        <v>0</v>
      </c>
      <c r="H105" s="343"/>
      <c r="I105" s="343"/>
      <c r="J105" s="343"/>
      <c r="K105" s="343"/>
      <c r="L105" s="343"/>
      <c r="M105" s="342">
        <f t="shared" si="32"/>
        <v>0</v>
      </c>
      <c r="N105" s="342">
        <f t="shared" si="30"/>
        <v>0</v>
      </c>
      <c r="O105" s="342" t="e">
        <f t="shared" si="31"/>
        <v>#DIV/0!</v>
      </c>
      <c r="P105" s="77"/>
      <c r="Q105" s="77"/>
      <c r="R105" s="341"/>
      <c r="S105" s="341"/>
      <c r="T105" s="341"/>
      <c r="U105" s="341"/>
      <c r="V105" s="341"/>
      <c r="W105" s="340">
        <f t="shared" si="26"/>
        <v>0</v>
      </c>
      <c r="X105" s="340">
        <f t="shared" si="27"/>
        <v>0</v>
      </c>
      <c r="Y105" s="340"/>
      <c r="Z105" s="78"/>
      <c r="AA105" s="78"/>
    </row>
    <row r="106" spans="1:27" ht="15.5" x14ac:dyDescent="0.35">
      <c r="A106" s="103"/>
      <c r="B106" s="79"/>
      <c r="C106" s="79"/>
      <c r="D106" s="73">
        <f t="shared" si="28"/>
        <v>1</v>
      </c>
      <c r="E106" s="322">
        <f t="shared" si="25"/>
        <v>0</v>
      </c>
      <c r="F106" s="231"/>
      <c r="G106" s="302">
        <f t="shared" si="29"/>
        <v>0</v>
      </c>
      <c r="H106" s="343"/>
      <c r="I106" s="343"/>
      <c r="J106" s="343"/>
      <c r="K106" s="343"/>
      <c r="L106" s="343"/>
      <c r="M106" s="342">
        <f t="shared" si="32"/>
        <v>0</v>
      </c>
      <c r="N106" s="342">
        <f t="shared" si="30"/>
        <v>0</v>
      </c>
      <c r="O106" s="342" t="e">
        <f t="shared" si="31"/>
        <v>#DIV/0!</v>
      </c>
      <c r="P106" s="77"/>
      <c r="Q106" s="77"/>
      <c r="R106" s="341"/>
      <c r="S106" s="341"/>
      <c r="T106" s="341"/>
      <c r="U106" s="341"/>
      <c r="V106" s="341"/>
      <c r="W106" s="340">
        <f t="shared" si="26"/>
        <v>0</v>
      </c>
      <c r="X106" s="340">
        <f t="shared" si="27"/>
        <v>0</v>
      </c>
      <c r="Y106" s="340"/>
      <c r="Z106" s="78"/>
      <c r="AA106" s="78"/>
    </row>
    <row r="107" spans="1:27" ht="15.5" x14ac:dyDescent="0.35">
      <c r="A107" s="103"/>
      <c r="B107" s="79"/>
      <c r="C107" s="79"/>
      <c r="D107" s="73">
        <f t="shared" si="28"/>
        <v>1</v>
      </c>
      <c r="E107" s="322">
        <f t="shared" si="25"/>
        <v>0</v>
      </c>
      <c r="F107" s="231"/>
      <c r="G107" s="302">
        <f t="shared" si="29"/>
        <v>0</v>
      </c>
      <c r="H107" s="343"/>
      <c r="I107" s="343"/>
      <c r="J107" s="343"/>
      <c r="K107" s="343"/>
      <c r="L107" s="343"/>
      <c r="M107" s="342">
        <f t="shared" si="32"/>
        <v>0</v>
      </c>
      <c r="N107" s="342">
        <f t="shared" si="30"/>
        <v>0</v>
      </c>
      <c r="O107" s="342" t="e">
        <f t="shared" si="31"/>
        <v>#DIV/0!</v>
      </c>
      <c r="P107" s="77"/>
      <c r="Q107" s="77"/>
      <c r="R107" s="341"/>
      <c r="S107" s="341"/>
      <c r="T107" s="341"/>
      <c r="U107" s="341"/>
      <c r="V107" s="341"/>
      <c r="W107" s="340">
        <f t="shared" si="26"/>
        <v>0</v>
      </c>
      <c r="X107" s="340">
        <f t="shared" si="27"/>
        <v>0</v>
      </c>
      <c r="Y107" s="340"/>
      <c r="Z107" s="78"/>
      <c r="AA107" s="78"/>
    </row>
    <row r="108" spans="1:27" ht="15.5" x14ac:dyDescent="0.35">
      <c r="A108" s="103"/>
      <c r="B108" s="79"/>
      <c r="C108" s="79"/>
      <c r="D108" s="73">
        <f t="shared" si="28"/>
        <v>1</v>
      </c>
      <c r="E108" s="322">
        <f t="shared" si="25"/>
        <v>0</v>
      </c>
      <c r="F108" s="231"/>
      <c r="G108" s="302">
        <f t="shared" si="29"/>
        <v>0</v>
      </c>
      <c r="H108" s="343"/>
      <c r="I108" s="343"/>
      <c r="J108" s="343"/>
      <c r="K108" s="343"/>
      <c r="L108" s="343"/>
      <c r="M108" s="342">
        <f t="shared" si="32"/>
        <v>0</v>
      </c>
      <c r="N108" s="342">
        <f t="shared" si="30"/>
        <v>0</v>
      </c>
      <c r="O108" s="342" t="e">
        <f t="shared" si="31"/>
        <v>#DIV/0!</v>
      </c>
      <c r="P108" s="77"/>
      <c r="Q108" s="77"/>
      <c r="R108" s="341"/>
      <c r="S108" s="341"/>
      <c r="T108" s="341"/>
      <c r="U108" s="341"/>
      <c r="V108" s="341"/>
      <c r="W108" s="340">
        <f t="shared" si="26"/>
        <v>0</v>
      </c>
      <c r="X108" s="340">
        <f t="shared" si="27"/>
        <v>0</v>
      </c>
      <c r="Y108" s="340"/>
      <c r="Z108" s="78"/>
      <c r="AA108" s="78"/>
    </row>
    <row r="109" spans="1:27" ht="15.5" x14ac:dyDescent="0.35">
      <c r="A109" s="103"/>
      <c r="B109" s="79"/>
      <c r="C109" s="79"/>
      <c r="D109" s="73">
        <f t="shared" si="28"/>
        <v>1</v>
      </c>
      <c r="E109" s="322">
        <f t="shared" si="25"/>
        <v>0</v>
      </c>
      <c r="F109" s="231"/>
      <c r="G109" s="302">
        <f t="shared" si="29"/>
        <v>0</v>
      </c>
      <c r="H109" s="343"/>
      <c r="I109" s="343"/>
      <c r="J109" s="343"/>
      <c r="K109" s="343"/>
      <c r="L109" s="343"/>
      <c r="M109" s="343">
        <f>+(($H$6*H109)+($I$6*I109)+($J$6*J109)+($K$6*K109)+(13*L109))</f>
        <v>0</v>
      </c>
      <c r="N109" s="342">
        <f t="shared" si="30"/>
        <v>0</v>
      </c>
      <c r="O109" s="342" t="e">
        <f t="shared" si="31"/>
        <v>#DIV/0!</v>
      </c>
      <c r="P109" s="248"/>
      <c r="Q109" s="77"/>
      <c r="R109" s="341"/>
      <c r="S109" s="341"/>
      <c r="T109" s="341"/>
      <c r="U109" s="341"/>
      <c r="V109" s="341"/>
      <c r="W109" s="340">
        <f t="shared" si="26"/>
        <v>0</v>
      </c>
      <c r="X109" s="340">
        <f t="shared" si="27"/>
        <v>0</v>
      </c>
      <c r="Y109" s="340"/>
      <c r="Z109" s="78"/>
      <c r="AA109" s="78"/>
    </row>
    <row r="110" spans="1:27" ht="15.5" x14ac:dyDescent="0.35">
      <c r="A110" s="103"/>
      <c r="B110" s="79"/>
      <c r="C110" s="79"/>
      <c r="D110" s="73">
        <f t="shared" si="28"/>
        <v>1</v>
      </c>
      <c r="E110" s="322"/>
      <c r="F110" s="231"/>
      <c r="G110" s="302">
        <f t="shared" si="29"/>
        <v>0</v>
      </c>
      <c r="H110" s="343"/>
      <c r="I110" s="343"/>
      <c r="J110" s="343"/>
      <c r="K110" s="343"/>
      <c r="L110" s="343"/>
      <c r="M110" s="342">
        <f t="shared" si="32"/>
        <v>0</v>
      </c>
      <c r="N110" s="342">
        <f t="shared" si="30"/>
        <v>0</v>
      </c>
      <c r="O110" s="344" t="e">
        <f t="shared" si="31"/>
        <v>#DIV/0!</v>
      </c>
      <c r="P110" s="77"/>
      <c r="Q110" s="77"/>
      <c r="R110" s="341"/>
      <c r="S110" s="341"/>
      <c r="T110" s="341"/>
      <c r="U110" s="341"/>
      <c r="V110" s="341"/>
      <c r="W110" s="340">
        <f t="shared" si="26"/>
        <v>0</v>
      </c>
      <c r="X110" s="340">
        <f t="shared" si="27"/>
        <v>0</v>
      </c>
      <c r="Y110" s="340"/>
      <c r="Z110" s="78"/>
      <c r="AA110" s="78"/>
    </row>
    <row r="111" spans="1:27" ht="15.5" x14ac:dyDescent="0.35">
      <c r="A111" s="103"/>
      <c r="B111" s="79"/>
      <c r="C111" s="79"/>
      <c r="D111" s="73">
        <f t="shared" si="28"/>
        <v>1</v>
      </c>
      <c r="E111" s="322">
        <f t="shared" si="25"/>
        <v>0</v>
      </c>
      <c r="F111" s="231"/>
      <c r="G111" s="302">
        <f t="shared" si="29"/>
        <v>0</v>
      </c>
      <c r="H111" s="343"/>
      <c r="I111" s="343"/>
      <c r="J111" s="343"/>
      <c r="K111" s="343"/>
      <c r="L111" s="343"/>
      <c r="M111" s="342">
        <f t="shared" si="32"/>
        <v>0</v>
      </c>
      <c r="N111" s="342">
        <f t="shared" si="30"/>
        <v>0</v>
      </c>
      <c r="O111" s="342" t="e">
        <f t="shared" si="31"/>
        <v>#DIV/0!</v>
      </c>
      <c r="P111" s="77"/>
      <c r="Q111" s="77"/>
      <c r="R111" s="341"/>
      <c r="S111" s="341"/>
      <c r="T111" s="341"/>
      <c r="U111" s="341"/>
      <c r="V111" s="341"/>
      <c r="W111" s="340">
        <f t="shared" si="26"/>
        <v>0</v>
      </c>
      <c r="X111" s="340">
        <f t="shared" si="27"/>
        <v>0</v>
      </c>
      <c r="Y111" s="340"/>
      <c r="Z111" s="78"/>
      <c r="AA111" s="78"/>
    </row>
    <row r="112" spans="1:27" ht="15.5" x14ac:dyDescent="0.35">
      <c r="A112" s="103"/>
      <c r="B112" s="79"/>
      <c r="C112" s="79"/>
      <c r="D112" s="73">
        <f t="shared" si="28"/>
        <v>1</v>
      </c>
      <c r="E112" s="322">
        <f t="shared" si="25"/>
        <v>0</v>
      </c>
      <c r="F112" s="231"/>
      <c r="G112" s="302">
        <f t="shared" si="29"/>
        <v>0</v>
      </c>
      <c r="H112" s="343"/>
      <c r="I112" s="343"/>
      <c r="J112" s="343"/>
      <c r="K112" s="343"/>
      <c r="L112" s="343"/>
      <c r="M112" s="342">
        <f t="shared" si="32"/>
        <v>0</v>
      </c>
      <c r="N112" s="342">
        <f t="shared" si="30"/>
        <v>0</v>
      </c>
      <c r="O112" s="342" t="e">
        <f t="shared" si="31"/>
        <v>#DIV/0!</v>
      </c>
      <c r="P112" s="77"/>
      <c r="Q112" s="77"/>
      <c r="R112" s="341"/>
      <c r="S112" s="341"/>
      <c r="T112" s="341"/>
      <c r="U112" s="341"/>
      <c r="V112" s="341"/>
      <c r="W112" s="340">
        <f t="shared" si="26"/>
        <v>0</v>
      </c>
      <c r="X112" s="340">
        <f t="shared" si="27"/>
        <v>0</v>
      </c>
      <c r="Y112" s="340"/>
      <c r="Z112" s="78"/>
      <c r="AA112" s="78"/>
    </row>
    <row r="113" spans="1:27" ht="15.5" x14ac:dyDescent="0.35">
      <c r="A113" s="103"/>
      <c r="B113" s="79"/>
      <c r="C113" s="79"/>
      <c r="D113" s="73">
        <f t="shared" si="28"/>
        <v>1</v>
      </c>
      <c r="E113" s="322">
        <f t="shared" si="25"/>
        <v>0</v>
      </c>
      <c r="F113" s="231"/>
      <c r="G113" s="302">
        <f t="shared" si="29"/>
        <v>0</v>
      </c>
      <c r="H113" s="343"/>
      <c r="I113" s="343"/>
      <c r="J113" s="343"/>
      <c r="K113" s="343"/>
      <c r="L113" s="343"/>
      <c r="M113" s="343">
        <f>+(($H$6*H113)+($I$6*I113)+($J$6*J113)+($K$6*K113)+(13*L113))</f>
        <v>0</v>
      </c>
      <c r="N113" s="342">
        <f t="shared" si="30"/>
        <v>0</v>
      </c>
      <c r="O113" s="342" t="e">
        <f t="shared" si="31"/>
        <v>#DIV/0!</v>
      </c>
      <c r="P113" s="77"/>
      <c r="Q113" s="77"/>
      <c r="R113" s="341"/>
      <c r="S113" s="341"/>
      <c r="T113" s="341"/>
      <c r="U113" s="341"/>
      <c r="V113" s="341"/>
      <c r="W113" s="340">
        <f t="shared" si="26"/>
        <v>0</v>
      </c>
      <c r="X113" s="340">
        <f t="shared" si="27"/>
        <v>0</v>
      </c>
      <c r="Y113" s="340"/>
      <c r="Z113" s="78"/>
      <c r="AA113" s="78"/>
    </row>
    <row r="114" spans="1:27" ht="15.5" x14ac:dyDescent="0.35">
      <c r="A114" s="103"/>
      <c r="B114" s="79"/>
      <c r="C114" s="79"/>
      <c r="D114" s="73">
        <f t="shared" si="28"/>
        <v>1</v>
      </c>
      <c r="E114" s="322">
        <f t="shared" si="25"/>
        <v>0</v>
      </c>
      <c r="F114" s="231"/>
      <c r="G114" s="302">
        <f t="shared" ref="G114:G130" si="33">(F114-E114)/100</f>
        <v>0</v>
      </c>
      <c r="H114" s="343"/>
      <c r="I114" s="343"/>
      <c r="J114" s="343"/>
      <c r="K114" s="343"/>
      <c r="L114" s="343"/>
      <c r="M114" s="343">
        <f>+(($H$6*H114)+($I$6*I114)+($J$6*J114)+($K$6*K114)+(13*L114))</f>
        <v>0</v>
      </c>
      <c r="N114" s="342">
        <f t="shared" si="30"/>
        <v>0</v>
      </c>
      <c r="O114" s="342" t="e">
        <f t="shared" si="31"/>
        <v>#DIV/0!</v>
      </c>
      <c r="P114" s="77"/>
      <c r="Q114" s="77"/>
      <c r="R114" s="341"/>
      <c r="S114" s="341"/>
      <c r="T114" s="341"/>
      <c r="U114" s="341"/>
      <c r="V114" s="341"/>
      <c r="W114" s="340">
        <f t="shared" si="26"/>
        <v>0</v>
      </c>
      <c r="X114" s="340">
        <f t="shared" si="27"/>
        <v>0</v>
      </c>
      <c r="Y114" s="340"/>
      <c r="Z114" s="78"/>
      <c r="AA114" s="78"/>
    </row>
    <row r="115" spans="1:27" ht="15.5" x14ac:dyDescent="0.35">
      <c r="A115" s="103"/>
      <c r="B115" s="79"/>
      <c r="C115" s="79"/>
      <c r="D115" s="73">
        <f t="shared" si="28"/>
        <v>1</v>
      </c>
      <c r="E115" s="322">
        <f t="shared" si="25"/>
        <v>0</v>
      </c>
      <c r="F115" s="231"/>
      <c r="G115" s="302">
        <f t="shared" si="33"/>
        <v>0</v>
      </c>
      <c r="H115" s="343"/>
      <c r="I115" s="343"/>
      <c r="J115" s="343"/>
      <c r="K115" s="343"/>
      <c r="L115" s="343"/>
      <c r="M115" s="342">
        <f t="shared" si="32"/>
        <v>0</v>
      </c>
      <c r="N115" s="342">
        <f t="shared" si="30"/>
        <v>0</v>
      </c>
      <c r="O115" s="342" t="e">
        <f t="shared" si="31"/>
        <v>#DIV/0!</v>
      </c>
      <c r="P115" s="77"/>
      <c r="Q115" s="77"/>
      <c r="R115" s="341"/>
      <c r="S115" s="341"/>
      <c r="T115" s="341"/>
      <c r="U115" s="341"/>
      <c r="V115" s="341"/>
      <c r="W115" s="340">
        <f t="shared" si="26"/>
        <v>0</v>
      </c>
      <c r="X115" s="340">
        <f t="shared" si="27"/>
        <v>0</v>
      </c>
      <c r="Y115" s="340"/>
      <c r="Z115" s="78"/>
      <c r="AA115" s="78"/>
    </row>
    <row r="116" spans="1:27" ht="15.5" x14ac:dyDescent="0.35">
      <c r="A116" s="103"/>
      <c r="B116" s="79"/>
      <c r="C116" s="79"/>
      <c r="D116" s="73">
        <f t="shared" si="28"/>
        <v>1</v>
      </c>
      <c r="E116" s="322">
        <f t="shared" si="25"/>
        <v>0</v>
      </c>
      <c r="F116" s="231"/>
      <c r="G116" s="302">
        <f t="shared" si="33"/>
        <v>0</v>
      </c>
      <c r="H116" s="343"/>
      <c r="I116" s="343"/>
      <c r="J116" s="343"/>
      <c r="K116" s="343"/>
      <c r="L116" s="343"/>
      <c r="M116" s="342">
        <f t="shared" si="32"/>
        <v>0</v>
      </c>
      <c r="N116" s="342">
        <f t="shared" si="30"/>
        <v>0</v>
      </c>
      <c r="O116" s="342" t="e">
        <f t="shared" si="31"/>
        <v>#DIV/0!</v>
      </c>
      <c r="P116" s="77"/>
      <c r="Q116" s="77"/>
      <c r="R116" s="341"/>
      <c r="S116" s="341"/>
      <c r="T116" s="341"/>
      <c r="U116" s="341"/>
      <c r="V116" s="341"/>
      <c r="W116" s="340">
        <f t="shared" si="26"/>
        <v>0</v>
      </c>
      <c r="X116" s="340">
        <f t="shared" si="27"/>
        <v>0</v>
      </c>
      <c r="Y116" s="340"/>
      <c r="Z116" s="78"/>
      <c r="AA116" s="78"/>
    </row>
    <row r="117" spans="1:27" ht="15.5" x14ac:dyDescent="0.35">
      <c r="A117" s="103"/>
      <c r="B117" s="79"/>
      <c r="C117" s="79"/>
      <c r="D117" s="73">
        <f t="shared" si="28"/>
        <v>1</v>
      </c>
      <c r="E117" s="322">
        <f t="shared" ref="E117:E122" si="34">F116</f>
        <v>0</v>
      </c>
      <c r="F117" s="231"/>
      <c r="G117" s="302">
        <f t="shared" si="33"/>
        <v>0</v>
      </c>
      <c r="H117" s="343"/>
      <c r="I117" s="343"/>
      <c r="J117" s="343"/>
      <c r="K117" s="343"/>
      <c r="L117" s="343"/>
      <c r="M117" s="342">
        <f t="shared" si="32"/>
        <v>0</v>
      </c>
      <c r="N117" s="342">
        <f t="shared" si="30"/>
        <v>0</v>
      </c>
      <c r="O117" s="342" t="e">
        <f t="shared" si="31"/>
        <v>#DIV/0!</v>
      </c>
      <c r="P117" s="77"/>
      <c r="Q117" s="77"/>
      <c r="R117" s="341"/>
      <c r="S117" s="341"/>
      <c r="T117" s="341"/>
      <c r="U117" s="341"/>
      <c r="V117" s="341"/>
      <c r="W117" s="340">
        <f t="shared" si="26"/>
        <v>0</v>
      </c>
      <c r="X117" s="340">
        <f t="shared" si="27"/>
        <v>0</v>
      </c>
      <c r="Y117" s="340"/>
      <c r="Z117" s="78"/>
      <c r="AA117" s="78"/>
    </row>
    <row r="118" spans="1:27" ht="15.5" x14ac:dyDescent="0.35">
      <c r="A118" s="103"/>
      <c r="B118" s="72"/>
      <c r="C118" s="72"/>
      <c r="D118" s="73">
        <f t="shared" si="28"/>
        <v>1</v>
      </c>
      <c r="E118" s="322">
        <f t="shared" si="34"/>
        <v>0</v>
      </c>
      <c r="F118" s="323"/>
      <c r="G118" s="302">
        <f t="shared" si="33"/>
        <v>0</v>
      </c>
      <c r="H118" s="343"/>
      <c r="I118" s="343"/>
      <c r="J118" s="343"/>
      <c r="K118" s="343"/>
      <c r="L118" s="343"/>
      <c r="M118" s="342">
        <f t="shared" si="32"/>
        <v>0</v>
      </c>
      <c r="N118" s="342">
        <f t="shared" si="30"/>
        <v>0</v>
      </c>
      <c r="O118" s="342" t="e">
        <f t="shared" si="31"/>
        <v>#DIV/0!</v>
      </c>
      <c r="P118" s="77"/>
      <c r="Q118" s="77"/>
      <c r="R118" s="341"/>
      <c r="S118" s="341"/>
      <c r="T118" s="341"/>
      <c r="U118" s="341"/>
      <c r="V118" s="341"/>
      <c r="W118" s="340">
        <f t="shared" si="26"/>
        <v>0</v>
      </c>
      <c r="X118" s="340">
        <f t="shared" si="27"/>
        <v>0</v>
      </c>
      <c r="Y118" s="340"/>
      <c r="Z118" s="78"/>
      <c r="AA118" s="78"/>
    </row>
    <row r="119" spans="1:27" ht="15.5" x14ac:dyDescent="0.35">
      <c r="A119" s="103"/>
      <c r="B119" s="79"/>
      <c r="C119" s="79"/>
      <c r="D119" s="73">
        <f t="shared" si="28"/>
        <v>1</v>
      </c>
      <c r="E119" s="322">
        <f t="shared" si="34"/>
        <v>0</v>
      </c>
      <c r="F119" s="323"/>
      <c r="G119" s="302">
        <f t="shared" si="33"/>
        <v>0</v>
      </c>
      <c r="H119" s="343"/>
      <c r="I119" s="343"/>
      <c r="J119" s="343"/>
      <c r="K119" s="343"/>
      <c r="L119" s="343"/>
      <c r="M119" s="342">
        <f t="shared" si="32"/>
        <v>0</v>
      </c>
      <c r="N119" s="342">
        <f t="shared" si="30"/>
        <v>0</v>
      </c>
      <c r="O119" s="342" t="e">
        <f t="shared" si="31"/>
        <v>#DIV/0!</v>
      </c>
      <c r="P119" s="77"/>
      <c r="Q119" s="77"/>
      <c r="R119" s="341"/>
      <c r="S119" s="341"/>
      <c r="T119" s="341"/>
      <c r="U119" s="341"/>
      <c r="V119" s="341"/>
      <c r="W119" s="340">
        <f t="shared" si="26"/>
        <v>0</v>
      </c>
      <c r="X119" s="340">
        <f t="shared" si="27"/>
        <v>0</v>
      </c>
      <c r="Y119" s="340"/>
      <c r="Z119" s="78"/>
      <c r="AA119" s="78"/>
    </row>
    <row r="120" spans="1:27" ht="15.5" x14ac:dyDescent="0.35">
      <c r="A120" s="70"/>
      <c r="B120" s="81"/>
      <c r="C120" s="81"/>
      <c r="D120" s="73">
        <f t="shared" si="28"/>
        <v>1</v>
      </c>
      <c r="E120" s="322">
        <f t="shared" si="34"/>
        <v>0</v>
      </c>
      <c r="F120" s="323"/>
      <c r="G120" s="302">
        <f t="shared" si="33"/>
        <v>0</v>
      </c>
      <c r="H120" s="343"/>
      <c r="I120" s="343"/>
      <c r="J120" s="343"/>
      <c r="K120" s="343"/>
      <c r="L120" s="343"/>
      <c r="M120" s="342">
        <f t="shared" si="32"/>
        <v>0</v>
      </c>
      <c r="N120" s="342">
        <f t="shared" si="30"/>
        <v>0</v>
      </c>
      <c r="O120" s="342" t="e">
        <f t="shared" si="31"/>
        <v>#DIV/0!</v>
      </c>
      <c r="P120" s="77"/>
      <c r="Q120" s="77"/>
      <c r="R120" s="341"/>
      <c r="S120" s="341"/>
      <c r="T120" s="341"/>
      <c r="U120" s="341"/>
      <c r="V120" s="341"/>
      <c r="W120" s="340">
        <f t="shared" si="26"/>
        <v>0</v>
      </c>
      <c r="X120" s="340">
        <f t="shared" si="27"/>
        <v>0</v>
      </c>
      <c r="Y120" s="340"/>
      <c r="Z120" s="78"/>
      <c r="AA120" s="78"/>
    </row>
    <row r="121" spans="1:27" ht="15.5" x14ac:dyDescent="0.35">
      <c r="A121" s="70"/>
      <c r="B121" s="81"/>
      <c r="C121" s="81"/>
      <c r="D121" s="73">
        <f t="shared" si="28"/>
        <v>1</v>
      </c>
      <c r="E121" s="322">
        <f t="shared" si="34"/>
        <v>0</v>
      </c>
      <c r="F121" s="323"/>
      <c r="G121" s="302">
        <f t="shared" si="33"/>
        <v>0</v>
      </c>
      <c r="H121" s="343"/>
      <c r="I121" s="343"/>
      <c r="J121" s="343"/>
      <c r="K121" s="343"/>
      <c r="L121" s="343"/>
      <c r="M121" s="342">
        <f t="shared" si="32"/>
        <v>0</v>
      </c>
      <c r="N121" s="342">
        <f t="shared" si="30"/>
        <v>0</v>
      </c>
      <c r="O121" s="342" t="e">
        <f t="shared" si="31"/>
        <v>#DIV/0!</v>
      </c>
      <c r="P121" s="77"/>
      <c r="Q121" s="77"/>
      <c r="R121" s="341"/>
      <c r="S121" s="341"/>
      <c r="T121" s="341"/>
      <c r="U121" s="341"/>
      <c r="V121" s="341"/>
      <c r="W121" s="340">
        <f t="shared" si="26"/>
        <v>0</v>
      </c>
      <c r="X121" s="340">
        <f t="shared" si="27"/>
        <v>0</v>
      </c>
      <c r="Y121" s="340"/>
      <c r="Z121" s="78"/>
      <c r="AA121" s="78"/>
    </row>
    <row r="122" spans="1:27" ht="15.5" x14ac:dyDescent="0.35">
      <c r="A122" s="70"/>
      <c r="B122" s="81"/>
      <c r="C122" s="81"/>
      <c r="D122" s="73">
        <f t="shared" si="28"/>
        <v>1</v>
      </c>
      <c r="E122" s="322">
        <f t="shared" si="34"/>
        <v>0</v>
      </c>
      <c r="F122" s="323"/>
      <c r="G122" s="302">
        <f t="shared" si="33"/>
        <v>0</v>
      </c>
      <c r="H122" s="343"/>
      <c r="I122" s="343"/>
      <c r="J122" s="343"/>
      <c r="K122" s="343"/>
      <c r="L122" s="343"/>
      <c r="M122" s="342">
        <f t="shared" si="32"/>
        <v>0</v>
      </c>
      <c r="N122" s="342">
        <f t="shared" si="30"/>
        <v>0</v>
      </c>
      <c r="O122" s="342" t="e">
        <f t="shared" si="31"/>
        <v>#DIV/0!</v>
      </c>
      <c r="P122" s="77"/>
      <c r="Q122" s="77"/>
      <c r="R122" s="341"/>
      <c r="S122" s="341"/>
      <c r="T122" s="341"/>
      <c r="U122" s="341"/>
      <c r="V122" s="341"/>
      <c r="W122" s="340">
        <f t="shared" si="26"/>
        <v>0</v>
      </c>
      <c r="X122" s="340">
        <f t="shared" si="27"/>
        <v>0</v>
      </c>
      <c r="Y122" s="340"/>
      <c r="Z122" s="78"/>
      <c r="AA122" s="78"/>
    </row>
    <row r="123" spans="1:27" ht="15.5" x14ac:dyDescent="0.35">
      <c r="A123" s="70"/>
      <c r="B123" s="81"/>
      <c r="C123" s="81"/>
      <c r="D123" s="73">
        <f t="shared" si="28"/>
        <v>1</v>
      </c>
      <c r="E123" s="325"/>
      <c r="F123" s="323"/>
      <c r="G123" s="302">
        <f t="shared" si="33"/>
        <v>0</v>
      </c>
      <c r="H123" s="343"/>
      <c r="I123" s="343"/>
      <c r="J123" s="343"/>
      <c r="K123" s="343"/>
      <c r="L123" s="343"/>
      <c r="M123" s="342">
        <f t="shared" si="32"/>
        <v>0</v>
      </c>
      <c r="N123" s="342">
        <f t="shared" si="30"/>
        <v>0</v>
      </c>
      <c r="O123" s="342" t="e">
        <f t="shared" si="31"/>
        <v>#DIV/0!</v>
      </c>
      <c r="P123" s="77"/>
      <c r="Q123" s="77"/>
      <c r="R123" s="341"/>
      <c r="S123" s="341"/>
      <c r="T123" s="341"/>
      <c r="U123" s="341"/>
      <c r="V123" s="341"/>
      <c r="W123" s="340">
        <f t="shared" si="26"/>
        <v>0</v>
      </c>
      <c r="X123" s="340">
        <f t="shared" si="27"/>
        <v>0</v>
      </c>
      <c r="Y123" s="340"/>
      <c r="Z123" s="78"/>
      <c r="AA123" s="78"/>
    </row>
    <row r="124" spans="1:27" ht="15.5" x14ac:dyDescent="0.35">
      <c r="A124" s="70"/>
      <c r="B124" s="81"/>
      <c r="C124" s="81"/>
      <c r="D124" s="73">
        <f t="shared" si="28"/>
        <v>1</v>
      </c>
      <c r="E124" s="325"/>
      <c r="F124" s="323"/>
      <c r="G124" s="302">
        <f t="shared" si="33"/>
        <v>0</v>
      </c>
      <c r="H124" s="343"/>
      <c r="I124" s="343"/>
      <c r="J124" s="343"/>
      <c r="K124" s="343"/>
      <c r="L124" s="343"/>
      <c r="M124" s="342">
        <f t="shared" si="32"/>
        <v>0</v>
      </c>
      <c r="N124" s="342">
        <f t="shared" si="30"/>
        <v>0</v>
      </c>
      <c r="O124" s="342" t="e">
        <f t="shared" si="31"/>
        <v>#DIV/0!</v>
      </c>
      <c r="P124" s="77"/>
      <c r="Q124" s="77"/>
      <c r="R124" s="341"/>
      <c r="S124" s="341"/>
      <c r="T124" s="341"/>
      <c r="U124" s="341"/>
      <c r="V124" s="341"/>
      <c r="W124" s="340">
        <f t="shared" si="26"/>
        <v>0</v>
      </c>
      <c r="X124" s="340">
        <f t="shared" si="27"/>
        <v>0</v>
      </c>
      <c r="Y124" s="340"/>
      <c r="Z124" s="78"/>
      <c r="AA124" s="78"/>
    </row>
    <row r="125" spans="1:27" ht="15.5" x14ac:dyDescent="0.35">
      <c r="A125" s="70"/>
      <c r="B125" s="81"/>
      <c r="C125" s="81"/>
      <c r="D125" s="73">
        <f t="shared" si="28"/>
        <v>1</v>
      </c>
      <c r="E125" s="325">
        <f t="shared" ref="E125:E131" si="35">F124</f>
        <v>0</v>
      </c>
      <c r="F125" s="323"/>
      <c r="G125" s="302">
        <f t="shared" si="33"/>
        <v>0</v>
      </c>
      <c r="H125" s="343"/>
      <c r="I125" s="343"/>
      <c r="J125" s="343"/>
      <c r="K125" s="343"/>
      <c r="L125" s="343"/>
      <c r="M125" s="342">
        <f t="shared" si="32"/>
        <v>0</v>
      </c>
      <c r="N125" s="342">
        <f t="shared" si="30"/>
        <v>0</v>
      </c>
      <c r="O125" s="342" t="e">
        <f t="shared" si="31"/>
        <v>#DIV/0!</v>
      </c>
      <c r="P125" s="77"/>
      <c r="Q125" s="77"/>
      <c r="R125" s="341"/>
      <c r="S125" s="341"/>
      <c r="T125" s="341"/>
      <c r="U125" s="341"/>
      <c r="V125" s="341"/>
      <c r="W125" s="340">
        <f t="shared" si="26"/>
        <v>0</v>
      </c>
      <c r="X125" s="340">
        <f t="shared" si="27"/>
        <v>0</v>
      </c>
      <c r="Y125" s="340"/>
      <c r="Z125" s="78"/>
      <c r="AA125" s="78"/>
    </row>
    <row r="126" spans="1:27" ht="15.5" x14ac:dyDescent="0.35">
      <c r="A126" s="70"/>
      <c r="B126" s="81"/>
      <c r="C126" s="81"/>
      <c r="D126" s="73">
        <f t="shared" si="28"/>
        <v>1</v>
      </c>
      <c r="E126" s="325">
        <f t="shared" si="35"/>
        <v>0</v>
      </c>
      <c r="F126" s="323"/>
      <c r="G126" s="302">
        <f t="shared" si="33"/>
        <v>0</v>
      </c>
      <c r="H126" s="343"/>
      <c r="I126" s="343"/>
      <c r="J126" s="343"/>
      <c r="K126" s="343"/>
      <c r="L126" s="343"/>
      <c r="M126" s="342">
        <f t="shared" si="32"/>
        <v>0</v>
      </c>
      <c r="N126" s="342">
        <f t="shared" si="30"/>
        <v>0</v>
      </c>
      <c r="O126" s="342" t="e">
        <f t="shared" si="31"/>
        <v>#DIV/0!</v>
      </c>
      <c r="P126" s="77"/>
      <c r="Q126" s="77"/>
      <c r="R126" s="341"/>
      <c r="S126" s="341"/>
      <c r="T126" s="341"/>
      <c r="U126" s="341"/>
      <c r="V126" s="341"/>
      <c r="W126" s="340">
        <f t="shared" si="26"/>
        <v>0</v>
      </c>
      <c r="X126" s="340">
        <f t="shared" si="27"/>
        <v>0</v>
      </c>
      <c r="Y126" s="340"/>
      <c r="Z126" s="78"/>
      <c r="AA126" s="78"/>
    </row>
    <row r="127" spans="1:27" ht="15.5" x14ac:dyDescent="0.35">
      <c r="A127" s="70"/>
      <c r="B127" s="81"/>
      <c r="C127" s="81"/>
      <c r="D127" s="73">
        <f t="shared" si="28"/>
        <v>1</v>
      </c>
      <c r="E127" s="325">
        <f t="shared" si="35"/>
        <v>0</v>
      </c>
      <c r="F127" s="323"/>
      <c r="G127" s="302">
        <f t="shared" si="33"/>
        <v>0</v>
      </c>
      <c r="H127" s="343"/>
      <c r="I127" s="343"/>
      <c r="J127" s="343"/>
      <c r="K127" s="343"/>
      <c r="L127" s="343"/>
      <c r="M127" s="342">
        <f t="shared" si="32"/>
        <v>0</v>
      </c>
      <c r="N127" s="342">
        <f t="shared" si="30"/>
        <v>0</v>
      </c>
      <c r="O127" s="342" t="e">
        <f t="shared" si="31"/>
        <v>#DIV/0!</v>
      </c>
      <c r="P127" s="335"/>
      <c r="Q127" s="77"/>
      <c r="R127" s="341"/>
      <c r="S127" s="341"/>
      <c r="T127" s="341"/>
      <c r="U127" s="341"/>
      <c r="V127" s="341"/>
      <c r="W127" s="340">
        <f t="shared" si="26"/>
        <v>0</v>
      </c>
      <c r="X127" s="340">
        <f t="shared" si="27"/>
        <v>0</v>
      </c>
      <c r="Y127" s="340"/>
      <c r="Z127" s="78"/>
      <c r="AA127" s="78"/>
    </row>
    <row r="128" spans="1:27" ht="15.5" x14ac:dyDescent="0.35">
      <c r="A128" s="70"/>
      <c r="B128" s="81"/>
      <c r="C128" s="81"/>
      <c r="D128" s="73">
        <f t="shared" si="28"/>
        <v>1</v>
      </c>
      <c r="E128" s="325">
        <f t="shared" si="35"/>
        <v>0</v>
      </c>
      <c r="F128" s="323"/>
      <c r="G128" s="302">
        <f t="shared" si="33"/>
        <v>0</v>
      </c>
      <c r="H128" s="343"/>
      <c r="I128" s="343"/>
      <c r="J128" s="343"/>
      <c r="K128" s="343"/>
      <c r="L128" s="343"/>
      <c r="M128" s="342">
        <f t="shared" si="32"/>
        <v>0</v>
      </c>
      <c r="N128" s="342">
        <f t="shared" si="30"/>
        <v>0</v>
      </c>
      <c r="O128" s="342" t="e">
        <f t="shared" si="31"/>
        <v>#DIV/0!</v>
      </c>
      <c r="P128" s="77"/>
      <c r="Q128" s="77"/>
      <c r="R128" s="341"/>
      <c r="S128" s="341"/>
      <c r="T128" s="341"/>
      <c r="U128" s="341"/>
      <c r="V128" s="341"/>
      <c r="W128" s="340">
        <f t="shared" si="26"/>
        <v>0</v>
      </c>
      <c r="X128" s="340">
        <f t="shared" si="27"/>
        <v>0</v>
      </c>
      <c r="Y128" s="340"/>
      <c r="Z128" s="78"/>
      <c r="AA128" s="78"/>
    </row>
    <row r="129" spans="1:27" ht="15.5" x14ac:dyDescent="0.35">
      <c r="A129" s="70"/>
      <c r="B129" s="81"/>
      <c r="C129" s="81"/>
      <c r="D129" s="73">
        <f t="shared" si="28"/>
        <v>1</v>
      </c>
      <c r="E129" s="325">
        <f t="shared" si="35"/>
        <v>0</v>
      </c>
      <c r="F129" s="323"/>
      <c r="G129" s="302">
        <f t="shared" si="33"/>
        <v>0</v>
      </c>
      <c r="H129" s="343"/>
      <c r="I129" s="343"/>
      <c r="J129" s="343"/>
      <c r="K129" s="343"/>
      <c r="L129" s="343"/>
      <c r="M129" s="342">
        <f t="shared" si="32"/>
        <v>0</v>
      </c>
      <c r="N129" s="342">
        <f t="shared" si="30"/>
        <v>0</v>
      </c>
      <c r="O129" s="342" t="e">
        <f t="shared" si="31"/>
        <v>#DIV/0!</v>
      </c>
      <c r="P129" s="77"/>
      <c r="Q129" s="77"/>
      <c r="R129" s="341"/>
      <c r="S129" s="341"/>
      <c r="T129" s="341"/>
      <c r="U129" s="341"/>
      <c r="V129" s="341"/>
      <c r="W129" s="340">
        <f t="shared" si="26"/>
        <v>0</v>
      </c>
      <c r="X129" s="340">
        <f t="shared" si="27"/>
        <v>0</v>
      </c>
      <c r="Y129" s="340"/>
      <c r="Z129" s="78"/>
      <c r="AA129" s="78"/>
    </row>
    <row r="130" spans="1:27" ht="15.5" x14ac:dyDescent="0.35">
      <c r="A130" s="70"/>
      <c r="B130" s="81"/>
      <c r="C130" s="81"/>
      <c r="D130" s="73">
        <f t="shared" si="28"/>
        <v>1</v>
      </c>
      <c r="E130" s="325">
        <f t="shared" si="35"/>
        <v>0</v>
      </c>
      <c r="F130" s="323"/>
      <c r="G130" s="302">
        <f t="shared" si="33"/>
        <v>0</v>
      </c>
      <c r="H130" s="343"/>
      <c r="I130" s="343"/>
      <c r="J130" s="343"/>
      <c r="K130" s="343"/>
      <c r="L130" s="343"/>
      <c r="M130" s="342">
        <f t="shared" si="32"/>
        <v>0</v>
      </c>
      <c r="N130" s="342">
        <f t="shared" si="30"/>
        <v>0</v>
      </c>
      <c r="O130" s="342" t="e">
        <f t="shared" si="31"/>
        <v>#DIV/0!</v>
      </c>
      <c r="P130" s="77"/>
      <c r="Q130" s="77"/>
      <c r="R130" s="341"/>
      <c r="S130" s="341"/>
      <c r="T130" s="341"/>
      <c r="U130" s="341"/>
      <c r="V130" s="341"/>
      <c r="W130" s="340">
        <f t="shared" si="26"/>
        <v>0</v>
      </c>
      <c r="X130" s="340">
        <f t="shared" si="27"/>
        <v>0</v>
      </c>
      <c r="Y130" s="340"/>
      <c r="Z130" s="78"/>
      <c r="AA130" s="78"/>
    </row>
    <row r="131" spans="1:27" ht="15.5" x14ac:dyDescent="0.35">
      <c r="A131" s="51"/>
      <c r="B131" s="81"/>
      <c r="C131" s="81"/>
      <c r="D131" s="73">
        <f t="shared" si="28"/>
        <v>1</v>
      </c>
      <c r="E131" s="326">
        <f t="shared" si="35"/>
        <v>0</v>
      </c>
      <c r="F131" s="323"/>
      <c r="G131" s="302">
        <v>0</v>
      </c>
      <c r="H131" s="343"/>
      <c r="I131" s="343"/>
      <c r="J131" s="343"/>
      <c r="K131" s="343"/>
      <c r="L131" s="343"/>
      <c r="M131" s="342">
        <f t="shared" si="32"/>
        <v>0</v>
      </c>
      <c r="N131" s="342">
        <f t="shared" si="30"/>
        <v>0</v>
      </c>
      <c r="O131" s="342" t="e">
        <f t="shared" si="31"/>
        <v>#DIV/0!</v>
      </c>
      <c r="P131" s="92"/>
      <c r="Q131" s="77"/>
      <c r="R131" s="341"/>
      <c r="S131" s="341"/>
      <c r="T131" s="341"/>
      <c r="U131" s="341"/>
      <c r="V131" s="341"/>
      <c r="W131" s="340">
        <f t="shared" si="26"/>
        <v>0</v>
      </c>
      <c r="X131" s="340">
        <f t="shared" si="27"/>
        <v>0</v>
      </c>
      <c r="Y131" s="340"/>
      <c r="Z131" s="78"/>
      <c r="AA131" s="78"/>
    </row>
    <row r="132" spans="1:27" ht="15.5" x14ac:dyDescent="0.35">
      <c r="A132" s="63"/>
      <c r="B132" s="85"/>
      <c r="C132" s="85"/>
      <c r="D132" s="86"/>
      <c r="E132" s="87"/>
      <c r="F132" s="88" t="s">
        <v>70</v>
      </c>
      <c r="G132" s="302">
        <f>SUM(G7:G131)</f>
        <v>-1485.6799999999998</v>
      </c>
      <c r="H132" s="251"/>
      <c r="I132" s="251"/>
      <c r="J132" s="251"/>
      <c r="K132" s="251"/>
      <c r="L132" s="302">
        <f>SUM(M10:M131)</f>
        <v>24171</v>
      </c>
      <c r="M132" s="89"/>
      <c r="N132" s="89"/>
      <c r="O132" s="89"/>
      <c r="P132" s="90"/>
      <c r="Q132" s="89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 spans="1:27" ht="15.5" x14ac:dyDescent="0.35">
      <c r="A133" s="63"/>
      <c r="B133" s="85"/>
      <c r="C133" s="85"/>
      <c r="D133" s="86"/>
      <c r="E133" s="87"/>
      <c r="F133" s="88" t="s">
        <v>71</v>
      </c>
      <c r="G133" s="302">
        <f>(G132*30)/720</f>
        <v>-61.903333333333322</v>
      </c>
      <c r="H133" s="89"/>
      <c r="I133" s="89"/>
      <c r="J133" s="89"/>
      <c r="K133" s="89"/>
      <c r="L133" s="299">
        <f>L132/1000</f>
        <v>24.170999999999999</v>
      </c>
      <c r="M133" s="89"/>
      <c r="N133" s="89"/>
      <c r="O133" s="89"/>
      <c r="P133" s="90"/>
      <c r="Q133" s="89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 spans="1:27" ht="15.5" x14ac:dyDescent="0.35">
      <c r="A134" s="63"/>
      <c r="B134" s="85"/>
      <c r="C134" s="85"/>
      <c r="D134" s="86"/>
      <c r="E134" s="87"/>
      <c r="F134" s="87"/>
      <c r="G134" s="91"/>
      <c r="H134" s="89"/>
      <c r="I134" s="89"/>
      <c r="J134" s="89"/>
      <c r="K134" s="89"/>
      <c r="L134" s="89"/>
      <c r="M134" s="89"/>
      <c r="N134" s="89"/>
      <c r="O134" s="89"/>
      <c r="P134" s="90"/>
      <c r="Q134" s="89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 spans="1:27" ht="15.5" x14ac:dyDescent="0.35">
      <c r="A135" s="63"/>
      <c r="B135" s="85"/>
      <c r="C135" s="85"/>
      <c r="D135" s="86"/>
      <c r="E135" s="87"/>
      <c r="F135" s="87"/>
      <c r="G135" s="91"/>
      <c r="H135" s="89"/>
      <c r="I135" s="89"/>
      <c r="J135" s="89"/>
      <c r="K135" s="89"/>
      <c r="L135" s="89"/>
      <c r="M135" s="89"/>
      <c r="N135" s="89"/>
      <c r="O135" s="89"/>
      <c r="P135" s="90"/>
      <c r="Q135" s="89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 spans="1:27" ht="15.5" x14ac:dyDescent="0.35">
      <c r="A136" s="63"/>
      <c r="B136" s="64"/>
      <c r="C136" s="64"/>
      <c r="D136" s="65"/>
      <c r="E136" s="69"/>
      <c r="F136" s="66"/>
      <c r="G136" s="69"/>
      <c r="H136" s="67"/>
      <c r="I136" s="67"/>
      <c r="J136" s="67"/>
      <c r="K136" s="67"/>
      <c r="L136" s="67"/>
      <c r="M136" s="67"/>
      <c r="N136" s="67"/>
      <c r="O136" s="67"/>
      <c r="P136" s="68"/>
      <c r="Q136" s="67"/>
      <c r="R136"/>
      <c r="S136"/>
      <c r="T136"/>
      <c r="U136"/>
      <c r="V136"/>
      <c r="Y136"/>
    </row>
    <row r="137" spans="1:27" ht="15.5" x14ac:dyDescent="0.35">
      <c r="A137" s="63"/>
      <c r="B137" s="64"/>
      <c r="C137" s="64"/>
      <c r="D137" s="65"/>
      <c r="E137" s="69"/>
      <c r="F137" s="66"/>
      <c r="G137" s="69"/>
      <c r="H137" s="67"/>
      <c r="I137" s="67"/>
      <c r="J137" s="67"/>
      <c r="K137" s="67"/>
      <c r="L137" s="67"/>
      <c r="M137" s="67"/>
      <c r="N137" s="67"/>
      <c r="O137" s="67"/>
      <c r="P137" s="68"/>
      <c r="Q137" s="67"/>
      <c r="R137"/>
      <c r="S137"/>
      <c r="T137"/>
      <c r="U137"/>
      <c r="V137"/>
      <c r="Y137"/>
    </row>
    <row r="138" spans="1:27" ht="15.5" x14ac:dyDescent="0.35">
      <c r="A138" s="63"/>
      <c r="B138" s="64"/>
      <c r="C138" s="64"/>
      <c r="D138" s="65"/>
      <c r="E138" s="69"/>
      <c r="F138" s="66"/>
      <c r="G138" s="69"/>
      <c r="H138" s="67"/>
      <c r="I138" s="67"/>
      <c r="J138" s="67"/>
      <c r="K138" s="67"/>
      <c r="L138" s="67"/>
      <c r="M138" s="67"/>
      <c r="N138" s="67"/>
      <c r="O138" s="67"/>
      <c r="P138" s="68"/>
      <c r="Q138" s="67"/>
      <c r="R138"/>
      <c r="S138"/>
      <c r="T138"/>
      <c r="U138"/>
      <c r="V138"/>
      <c r="Y138"/>
    </row>
    <row r="139" spans="1:27" ht="15.5" x14ac:dyDescent="0.35">
      <c r="A139" s="63"/>
      <c r="B139" s="64"/>
      <c r="C139" s="64"/>
      <c r="D139" s="65"/>
      <c r="E139" s="69"/>
      <c r="F139" s="66"/>
      <c r="G139" s="69"/>
      <c r="H139" s="67"/>
      <c r="I139" s="67"/>
      <c r="J139" s="67"/>
      <c r="K139" s="67"/>
      <c r="L139" s="67"/>
      <c r="M139" s="67"/>
      <c r="N139" s="67"/>
      <c r="O139" s="67"/>
      <c r="P139" s="68"/>
      <c r="Q139" s="67"/>
      <c r="R139"/>
      <c r="S139"/>
      <c r="T139"/>
      <c r="U139"/>
      <c r="V139"/>
      <c r="Y139"/>
    </row>
    <row r="140" spans="1:27" ht="15.5" x14ac:dyDescent="0.35">
      <c r="A140" s="63"/>
      <c r="B140" s="64"/>
      <c r="C140" s="64"/>
      <c r="D140" s="65"/>
      <c r="E140" s="69"/>
      <c r="F140" s="66"/>
      <c r="G140" s="69"/>
      <c r="H140" s="67"/>
      <c r="I140" s="67"/>
      <c r="J140" s="67"/>
      <c r="K140" s="67"/>
      <c r="L140" s="67"/>
      <c r="M140" s="67"/>
      <c r="N140" s="67"/>
      <c r="O140" s="67"/>
      <c r="P140" s="68"/>
      <c r="Q140" s="67"/>
      <c r="R140"/>
      <c r="S140"/>
      <c r="T140"/>
      <c r="U140"/>
      <c r="V140"/>
      <c r="Y140"/>
    </row>
    <row r="141" spans="1:27" ht="15.5" x14ac:dyDescent="0.35">
      <c r="A141" s="63"/>
      <c r="B141" s="64"/>
      <c r="C141" s="64"/>
      <c r="D141" s="65"/>
      <c r="E141" s="69"/>
      <c r="F141" s="66"/>
      <c r="G141" s="69"/>
      <c r="H141" s="67"/>
      <c r="I141" s="67"/>
      <c r="J141" s="67"/>
      <c r="K141" s="67"/>
      <c r="L141" s="67"/>
      <c r="M141" s="67"/>
      <c r="N141" s="67"/>
      <c r="O141" s="67"/>
      <c r="P141" s="68"/>
      <c r="Q141" s="67"/>
      <c r="R141"/>
      <c r="S141"/>
      <c r="T141"/>
      <c r="U141"/>
      <c r="V141"/>
      <c r="Y141"/>
    </row>
    <row r="142" spans="1:27" ht="15.5" x14ac:dyDescent="0.35">
      <c r="A142" s="63"/>
      <c r="B142" s="64"/>
      <c r="C142" s="64"/>
      <c r="D142" s="65"/>
      <c r="E142" s="69"/>
      <c r="F142" s="69"/>
      <c r="G142" s="69"/>
      <c r="H142" s="67"/>
      <c r="I142" s="67"/>
      <c r="J142" s="67"/>
      <c r="K142" s="67"/>
      <c r="L142" s="67"/>
      <c r="M142" s="67"/>
      <c r="N142" s="67"/>
      <c r="O142" s="67"/>
      <c r="P142" s="68"/>
      <c r="Q142" s="67"/>
      <c r="R142"/>
      <c r="S142"/>
      <c r="T142"/>
      <c r="U142"/>
      <c r="V142"/>
      <c r="Y142"/>
    </row>
    <row r="143" spans="1:27" ht="15.5" x14ac:dyDescent="0.35">
      <c r="A143" s="63"/>
      <c r="B143" s="64"/>
      <c r="C143" s="64"/>
      <c r="D143" s="65"/>
      <c r="E143" s="69"/>
      <c r="F143" s="69"/>
      <c r="G143" s="69"/>
      <c r="H143" s="67"/>
      <c r="I143" s="67"/>
      <c r="J143" s="67"/>
      <c r="K143" s="67"/>
      <c r="L143" s="67"/>
      <c r="M143" s="67"/>
      <c r="N143" s="67"/>
      <c r="O143" s="67"/>
      <c r="P143" s="68"/>
      <c r="Q143" s="67"/>
      <c r="R143"/>
      <c r="S143"/>
      <c r="T143"/>
      <c r="U143"/>
      <c r="V143"/>
      <c r="Y143"/>
    </row>
    <row r="144" spans="1:27" ht="15.5" x14ac:dyDescent="0.35">
      <c r="A144" s="63"/>
      <c r="B144" s="64"/>
      <c r="C144" s="64"/>
      <c r="D144" s="65"/>
      <c r="E144" s="69"/>
      <c r="F144" s="69"/>
      <c r="G144" s="69"/>
      <c r="H144" s="67"/>
      <c r="I144" s="67"/>
      <c r="J144" s="67"/>
      <c r="K144" s="67"/>
      <c r="L144" s="67"/>
      <c r="M144" s="67"/>
      <c r="N144" s="67"/>
      <c r="O144" s="67"/>
      <c r="P144" s="68"/>
      <c r="Q144" s="67"/>
      <c r="R144"/>
      <c r="S144"/>
      <c r="T144"/>
      <c r="U144"/>
      <c r="V144"/>
      <c r="Y144"/>
    </row>
    <row r="145" spans="1:25" ht="15.5" x14ac:dyDescent="0.35">
      <c r="A145" s="63"/>
      <c r="B145" s="64"/>
      <c r="C145" s="64"/>
      <c r="D145" s="65"/>
      <c r="E145" s="69"/>
      <c r="F145" s="69">
        <v>4</v>
      </c>
      <c r="G145" s="69"/>
      <c r="H145" s="67"/>
      <c r="I145" s="67"/>
      <c r="J145" s="67"/>
      <c r="K145" s="67"/>
      <c r="L145" s="67"/>
      <c r="M145" s="67"/>
      <c r="N145" s="67"/>
      <c r="O145" s="67"/>
      <c r="P145" s="68"/>
      <c r="Q145" s="67"/>
      <c r="R145"/>
      <c r="S145"/>
      <c r="T145"/>
      <c r="U145"/>
      <c r="V145"/>
      <c r="Y145"/>
    </row>
    <row r="146" spans="1:25" ht="15.5" x14ac:dyDescent="0.35">
      <c r="A146" s="63"/>
      <c r="B146" s="64"/>
      <c r="C146" s="64"/>
      <c r="D146" s="65"/>
      <c r="E146" s="69"/>
      <c r="F146" s="69"/>
      <c r="G146" s="69"/>
      <c r="H146" s="67"/>
      <c r="I146" s="67"/>
      <c r="J146" s="67"/>
      <c r="K146" s="67"/>
      <c r="L146" s="67"/>
      <c r="M146" s="67"/>
      <c r="N146" s="67"/>
      <c r="O146" s="67"/>
      <c r="P146" s="68"/>
      <c r="Q146" s="67"/>
      <c r="R146"/>
      <c r="S146"/>
      <c r="T146"/>
      <c r="U146"/>
      <c r="V146"/>
      <c r="Y146"/>
    </row>
    <row r="147" spans="1:25" ht="15.5" x14ac:dyDescent="0.35">
      <c r="A147" s="63"/>
      <c r="B147" s="64"/>
      <c r="C147" s="64"/>
      <c r="D147" s="65"/>
      <c r="E147" s="69"/>
      <c r="F147" s="69"/>
      <c r="G147" s="69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/>
      <c r="S147"/>
      <c r="T147"/>
      <c r="U147"/>
      <c r="V147"/>
      <c r="Y147"/>
    </row>
    <row r="148" spans="1:25" ht="15.5" x14ac:dyDescent="0.35">
      <c r="A148" s="63"/>
      <c r="B148" s="64"/>
      <c r="C148" s="64"/>
      <c r="D148" s="65"/>
      <c r="E148" s="69"/>
      <c r="F148" s="69"/>
      <c r="G148" s="69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/>
      <c r="S148"/>
      <c r="T148"/>
      <c r="U148"/>
      <c r="V148"/>
      <c r="Y148"/>
    </row>
    <row r="149" spans="1:25" ht="15.5" x14ac:dyDescent="0.35">
      <c r="A149" s="63"/>
      <c r="B149" s="64"/>
      <c r="C149" s="64"/>
      <c r="D149" s="65"/>
      <c r="E149" s="69"/>
      <c r="F149" s="69"/>
      <c r="G149" s="69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/>
      <c r="S149"/>
      <c r="T149"/>
      <c r="U149"/>
      <c r="V149"/>
      <c r="Y149"/>
    </row>
    <row r="150" spans="1:25" x14ac:dyDescent="0.35">
      <c r="A150" s="1"/>
      <c r="B150" s="12"/>
      <c r="C150" s="12"/>
      <c r="D150" s="23"/>
      <c r="E150" s="13"/>
      <c r="F150" s="13"/>
      <c r="G150" s="13"/>
      <c r="H150"/>
      <c r="I150"/>
      <c r="J150"/>
      <c r="K150"/>
      <c r="L150"/>
      <c r="N150"/>
      <c r="P150"/>
      <c r="R150"/>
      <c r="S150"/>
      <c r="T150"/>
      <c r="U150"/>
      <c r="V150"/>
      <c r="Y150"/>
    </row>
    <row r="151" spans="1:25" x14ac:dyDescent="0.35">
      <c r="A151" s="1"/>
      <c r="B151" s="12"/>
      <c r="C151" s="12"/>
      <c r="D151" s="23"/>
      <c r="E151" s="13"/>
      <c r="F151" s="13"/>
      <c r="G151" s="13"/>
      <c r="H151"/>
      <c r="I151"/>
      <c r="J151"/>
      <c r="K151"/>
      <c r="L151"/>
      <c r="N151"/>
      <c r="P151"/>
      <c r="R151"/>
      <c r="S151"/>
      <c r="T151"/>
      <c r="U151"/>
      <c r="V151"/>
      <c r="Y151"/>
    </row>
    <row r="152" spans="1:25" x14ac:dyDescent="0.35">
      <c r="A152" s="1"/>
      <c r="B152" s="12"/>
      <c r="C152" s="12"/>
      <c r="D152" s="23"/>
      <c r="E152" s="13"/>
      <c r="F152" s="13"/>
      <c r="G152" s="13"/>
      <c r="H152"/>
      <c r="I152"/>
      <c r="J152"/>
      <c r="K152"/>
      <c r="L152"/>
      <c r="N152"/>
      <c r="P152"/>
      <c r="R152"/>
      <c r="S152"/>
      <c r="T152"/>
      <c r="U152"/>
      <c r="V152"/>
      <c r="Y152"/>
    </row>
    <row r="153" spans="1:25" x14ac:dyDescent="0.35">
      <c r="A153" s="1"/>
      <c r="B153" s="12"/>
      <c r="C153" s="12"/>
      <c r="D153" s="23"/>
      <c r="E153" s="13"/>
      <c r="F153" s="13"/>
      <c r="G153" s="13"/>
      <c r="H153"/>
      <c r="I153"/>
      <c r="J153"/>
      <c r="K153"/>
      <c r="L153"/>
      <c r="N153"/>
      <c r="P153"/>
      <c r="R153"/>
      <c r="S153"/>
      <c r="T153"/>
      <c r="U153"/>
      <c r="V153"/>
      <c r="Y153"/>
    </row>
    <row r="154" spans="1:25" x14ac:dyDescent="0.35">
      <c r="A154" s="1"/>
      <c r="B154" s="12"/>
      <c r="C154" s="12"/>
      <c r="D154" s="23"/>
      <c r="E154" s="13"/>
      <c r="F154" s="13"/>
      <c r="G154" s="13"/>
      <c r="H154"/>
      <c r="I154"/>
      <c r="J154"/>
      <c r="K154"/>
      <c r="L154"/>
      <c r="N154"/>
      <c r="P154"/>
      <c r="R154"/>
      <c r="S154"/>
      <c r="T154"/>
      <c r="U154"/>
      <c r="V154"/>
      <c r="Y154"/>
    </row>
    <row r="155" spans="1:25" x14ac:dyDescent="0.35">
      <c r="A155" s="1"/>
      <c r="B155" s="12"/>
      <c r="C155" s="12"/>
      <c r="D155" s="23"/>
      <c r="E155" s="13"/>
      <c r="F155" s="13"/>
      <c r="G155" s="13"/>
      <c r="H155"/>
      <c r="I155"/>
      <c r="J155"/>
      <c r="K155"/>
      <c r="L155"/>
      <c r="N155"/>
      <c r="P155"/>
      <c r="R155"/>
      <c r="S155"/>
      <c r="T155"/>
      <c r="U155"/>
      <c r="V155"/>
      <c r="Y155"/>
    </row>
    <row r="156" spans="1:25" x14ac:dyDescent="0.35">
      <c r="A156" s="1"/>
      <c r="B156" s="12"/>
      <c r="C156" s="12"/>
      <c r="D156" s="23"/>
      <c r="E156" s="13"/>
      <c r="F156" s="13"/>
      <c r="G156" s="13"/>
      <c r="H156"/>
      <c r="I156"/>
      <c r="J156"/>
      <c r="K156"/>
      <c r="L156"/>
      <c r="N156"/>
      <c r="P156"/>
      <c r="R156"/>
      <c r="S156"/>
      <c r="T156"/>
      <c r="U156"/>
      <c r="V156"/>
      <c r="Y156"/>
    </row>
    <row r="157" spans="1:25" x14ac:dyDescent="0.35">
      <c r="A157" s="1"/>
      <c r="B157" s="12"/>
      <c r="C157" s="12"/>
      <c r="D157" s="23"/>
      <c r="E157" s="13"/>
      <c r="F157" s="13"/>
      <c r="G157" s="13"/>
      <c r="H157"/>
      <c r="I157"/>
      <c r="J157"/>
      <c r="K157"/>
      <c r="L157"/>
      <c r="N157"/>
      <c r="P157"/>
      <c r="R157"/>
      <c r="S157"/>
      <c r="T157"/>
      <c r="U157"/>
      <c r="V157"/>
      <c r="Y157"/>
    </row>
    <row r="158" spans="1:25" x14ac:dyDescent="0.35">
      <c r="A158" s="1"/>
      <c r="B158" s="12"/>
      <c r="C158" s="12"/>
      <c r="D158" s="23"/>
      <c r="E158" s="13"/>
      <c r="F158" s="13"/>
      <c r="G158" s="13"/>
      <c r="H158"/>
      <c r="I158"/>
      <c r="J158"/>
      <c r="K158"/>
      <c r="L158"/>
      <c r="N158"/>
      <c r="P158"/>
      <c r="R158"/>
      <c r="S158"/>
      <c r="T158"/>
      <c r="U158"/>
      <c r="V158"/>
      <c r="Y158"/>
    </row>
    <row r="159" spans="1:25" x14ac:dyDescent="0.35">
      <c r="A159" s="1"/>
      <c r="B159" s="12"/>
      <c r="C159" s="12"/>
      <c r="D159" s="23"/>
      <c r="E159" s="13"/>
      <c r="F159" s="13"/>
      <c r="G159" s="13"/>
      <c r="H159"/>
      <c r="I159"/>
      <c r="J159"/>
      <c r="K159"/>
      <c r="L159"/>
      <c r="N159"/>
      <c r="P159"/>
      <c r="R159"/>
      <c r="S159"/>
      <c r="T159"/>
      <c r="U159"/>
      <c r="V159"/>
      <c r="Y159"/>
    </row>
    <row r="160" spans="1:25" x14ac:dyDescent="0.35">
      <c r="A160" s="1"/>
      <c r="B160" s="12"/>
      <c r="C160" s="12"/>
      <c r="D160" s="23"/>
      <c r="E160" s="13"/>
      <c r="F160" s="13"/>
      <c r="G160" s="13"/>
      <c r="H160"/>
      <c r="I160"/>
      <c r="J160"/>
      <c r="K160"/>
      <c r="L160"/>
      <c r="N160"/>
      <c r="P160"/>
      <c r="R160"/>
      <c r="S160"/>
      <c r="T160"/>
      <c r="U160"/>
      <c r="V160"/>
      <c r="Y160"/>
    </row>
    <row r="161" spans="1:25" x14ac:dyDescent="0.35">
      <c r="A161" s="1"/>
      <c r="B161" s="12"/>
      <c r="C161" s="12"/>
      <c r="D161" s="23"/>
      <c r="E161" s="13"/>
      <c r="F161" s="13"/>
      <c r="G161" s="13"/>
      <c r="H161"/>
      <c r="I161"/>
      <c r="J161"/>
      <c r="K161"/>
      <c r="L161"/>
      <c r="N161"/>
      <c r="P161"/>
      <c r="R161"/>
      <c r="S161"/>
      <c r="T161"/>
      <c r="U161"/>
      <c r="V161"/>
      <c r="Y161"/>
    </row>
    <row r="162" spans="1:25" x14ac:dyDescent="0.35">
      <c r="A162" s="1"/>
      <c r="B162" s="12"/>
      <c r="C162" s="12"/>
      <c r="D162" s="23"/>
      <c r="E162" s="13"/>
      <c r="F162" s="13"/>
      <c r="G162" s="13"/>
      <c r="H162"/>
      <c r="I162"/>
      <c r="J162"/>
      <c r="K162"/>
      <c r="L162"/>
      <c r="N162"/>
      <c r="P162"/>
      <c r="R162"/>
      <c r="S162"/>
      <c r="T162"/>
      <c r="U162"/>
      <c r="V162"/>
      <c r="Y162"/>
    </row>
    <row r="163" spans="1:25" x14ac:dyDescent="0.35">
      <c r="A163" s="1"/>
      <c r="B163" s="12"/>
      <c r="C163" s="12"/>
      <c r="D163" s="23"/>
      <c r="E163" s="13"/>
      <c r="F163" s="13"/>
      <c r="G163" s="13"/>
      <c r="H163"/>
      <c r="I163"/>
      <c r="J163"/>
      <c r="K163"/>
      <c r="L163"/>
      <c r="N163"/>
      <c r="P163"/>
      <c r="R163"/>
      <c r="S163"/>
      <c r="T163"/>
      <c r="U163"/>
      <c r="V163"/>
      <c r="Y163"/>
    </row>
    <row r="164" spans="1:25" x14ac:dyDescent="0.35">
      <c r="A164" s="1"/>
      <c r="B164" s="12"/>
      <c r="C164" s="12"/>
      <c r="D164" s="23"/>
      <c r="E164" s="13"/>
      <c r="F164" s="13"/>
      <c r="G164" s="13"/>
      <c r="H164"/>
      <c r="I164"/>
      <c r="J164"/>
      <c r="K164"/>
      <c r="L164"/>
      <c r="N164"/>
      <c r="P164"/>
      <c r="R164"/>
      <c r="S164"/>
      <c r="T164"/>
      <c r="U164"/>
      <c r="V164"/>
      <c r="Y164"/>
    </row>
    <row r="165" spans="1:25" x14ac:dyDescent="0.35">
      <c r="A165" s="1"/>
      <c r="B165" s="12"/>
      <c r="C165" s="12"/>
      <c r="D165" s="23"/>
      <c r="E165" s="13"/>
      <c r="F165" s="13"/>
      <c r="G165" s="13"/>
      <c r="H165"/>
      <c r="I165"/>
      <c r="J165"/>
      <c r="K165"/>
      <c r="L165"/>
      <c r="N165"/>
      <c r="P165"/>
      <c r="R165"/>
      <c r="S165"/>
      <c r="T165"/>
      <c r="U165"/>
      <c r="V165"/>
      <c r="Y165"/>
    </row>
    <row r="166" spans="1:25" x14ac:dyDescent="0.35">
      <c r="A166" s="1"/>
      <c r="B166" s="12"/>
      <c r="C166" s="12"/>
      <c r="D166" s="23"/>
      <c r="E166"/>
      <c r="F166"/>
      <c r="G166"/>
      <c r="H166"/>
      <c r="I166"/>
      <c r="J166"/>
      <c r="K166"/>
      <c r="L166"/>
      <c r="N166"/>
      <c r="P166"/>
      <c r="R166"/>
      <c r="S166"/>
      <c r="T166"/>
      <c r="U166"/>
      <c r="V166"/>
      <c r="Y166"/>
    </row>
    <row r="167" spans="1:25" x14ac:dyDescent="0.35">
      <c r="A167" s="1"/>
      <c r="B167" s="12"/>
      <c r="C167" s="12"/>
      <c r="D167" s="23"/>
      <c r="E167"/>
      <c r="F167"/>
      <c r="G167"/>
      <c r="H167"/>
      <c r="I167"/>
      <c r="J167"/>
      <c r="K167"/>
      <c r="L167"/>
      <c r="N167"/>
      <c r="P167"/>
      <c r="R167"/>
      <c r="S167"/>
      <c r="T167"/>
      <c r="U167"/>
      <c r="V167"/>
      <c r="Y167"/>
    </row>
    <row r="168" spans="1:25" x14ac:dyDescent="0.35">
      <c r="A168" s="1"/>
      <c r="B168" s="12"/>
      <c r="C168" s="12"/>
      <c r="D168" s="23"/>
      <c r="E168"/>
      <c r="F168"/>
      <c r="G168"/>
      <c r="H168"/>
      <c r="I168"/>
      <c r="J168"/>
      <c r="K168"/>
      <c r="L168"/>
      <c r="N168"/>
      <c r="P168"/>
      <c r="R168"/>
      <c r="S168"/>
      <c r="T168"/>
      <c r="U168"/>
      <c r="V168"/>
      <c r="Y168"/>
    </row>
    <row r="169" spans="1:25" x14ac:dyDescent="0.35">
      <c r="A169" s="1"/>
      <c r="B169" s="12"/>
      <c r="C169" s="12"/>
      <c r="D169" s="23"/>
      <c r="E169"/>
      <c r="F169"/>
      <c r="G169"/>
      <c r="H169"/>
      <c r="I169"/>
      <c r="J169"/>
      <c r="K169"/>
      <c r="L169"/>
      <c r="N169"/>
      <c r="P169"/>
      <c r="R169"/>
      <c r="S169"/>
      <c r="T169"/>
      <c r="U169"/>
      <c r="V169"/>
      <c r="Y169"/>
    </row>
    <row r="170" spans="1:25" x14ac:dyDescent="0.35">
      <c r="A170" s="1"/>
      <c r="B170" s="12"/>
      <c r="C170" s="12"/>
      <c r="D170" s="23"/>
      <c r="E170"/>
      <c r="F170"/>
      <c r="G170"/>
      <c r="H170"/>
      <c r="I170"/>
      <c r="J170"/>
      <c r="K170"/>
      <c r="L170"/>
      <c r="N170"/>
      <c r="P170"/>
      <c r="R170"/>
      <c r="S170"/>
      <c r="T170"/>
      <c r="U170"/>
      <c r="V170"/>
      <c r="Y170"/>
    </row>
    <row r="171" spans="1:25" x14ac:dyDescent="0.35">
      <c r="A171" s="1"/>
      <c r="B171" s="12"/>
      <c r="C171" s="12"/>
      <c r="D171" s="23"/>
      <c r="E171"/>
      <c r="F171"/>
      <c r="G171"/>
      <c r="H171"/>
      <c r="I171"/>
      <c r="J171"/>
      <c r="K171"/>
      <c r="L171"/>
      <c r="N171"/>
      <c r="P171"/>
      <c r="R171"/>
      <c r="S171"/>
      <c r="T171"/>
      <c r="U171"/>
      <c r="V171"/>
      <c r="Y171"/>
    </row>
    <row r="172" spans="1:25" x14ac:dyDescent="0.35">
      <c r="A172" s="1"/>
      <c r="B172" s="12"/>
      <c r="C172" s="12"/>
      <c r="D172" s="23"/>
      <c r="E172"/>
      <c r="F172"/>
      <c r="G172"/>
      <c r="H172"/>
      <c r="I172"/>
      <c r="J172"/>
      <c r="K172"/>
      <c r="L172"/>
      <c r="N172"/>
      <c r="P172"/>
      <c r="R172"/>
      <c r="S172"/>
      <c r="T172"/>
      <c r="U172"/>
      <c r="V172"/>
      <c r="Y172"/>
    </row>
    <row r="173" spans="1:25" x14ac:dyDescent="0.35">
      <c r="A173" s="1"/>
      <c r="B173" s="12"/>
      <c r="C173" s="12"/>
      <c r="D173" s="23"/>
      <c r="E173"/>
      <c r="F173"/>
      <c r="G173"/>
      <c r="H173"/>
      <c r="I173"/>
      <c r="J173"/>
      <c r="K173"/>
      <c r="L173"/>
      <c r="N173"/>
      <c r="P173"/>
      <c r="R173"/>
      <c r="S173"/>
      <c r="T173"/>
      <c r="U173"/>
      <c r="V173"/>
      <c r="Y173"/>
    </row>
    <row r="174" spans="1:25" x14ac:dyDescent="0.35">
      <c r="A174" s="1"/>
      <c r="B174" s="12"/>
      <c r="C174" s="12"/>
      <c r="D174" s="23"/>
      <c r="E174"/>
      <c r="F174"/>
      <c r="G174"/>
      <c r="H174"/>
      <c r="I174"/>
      <c r="J174"/>
      <c r="K174"/>
      <c r="L174"/>
      <c r="N174"/>
      <c r="P174"/>
      <c r="R174"/>
      <c r="S174"/>
      <c r="T174"/>
      <c r="U174"/>
      <c r="V174"/>
      <c r="Y174"/>
    </row>
    <row r="175" spans="1:25" x14ac:dyDescent="0.35">
      <c r="A175" s="1"/>
      <c r="B175" s="12"/>
      <c r="C175" s="12"/>
      <c r="D175" s="23"/>
      <c r="E175"/>
      <c r="F175"/>
      <c r="G175"/>
      <c r="H175"/>
      <c r="I175"/>
      <c r="J175"/>
      <c r="K175"/>
      <c r="L175"/>
      <c r="N175"/>
      <c r="P175"/>
      <c r="R175"/>
      <c r="S175"/>
      <c r="T175"/>
      <c r="U175"/>
      <c r="V175"/>
      <c r="Y175"/>
    </row>
    <row r="176" spans="1:25" x14ac:dyDescent="0.35">
      <c r="A176" s="1"/>
      <c r="B176" s="12"/>
      <c r="C176" s="12"/>
      <c r="D176" s="23"/>
      <c r="E176"/>
      <c r="F176"/>
      <c r="G176"/>
      <c r="H176"/>
      <c r="I176"/>
      <c r="J176"/>
      <c r="K176"/>
      <c r="L176"/>
      <c r="N176"/>
      <c r="P176"/>
      <c r="R176"/>
      <c r="S176"/>
      <c r="T176"/>
      <c r="U176"/>
      <c r="V176"/>
      <c r="Y176"/>
    </row>
    <row r="177" spans="1:25" x14ac:dyDescent="0.35">
      <c r="A177" s="1"/>
      <c r="B177" s="12"/>
      <c r="C177" s="12"/>
      <c r="D177" s="23"/>
      <c r="E177"/>
      <c r="F177"/>
      <c r="G177"/>
      <c r="H177"/>
      <c r="I177"/>
      <c r="J177"/>
      <c r="K177"/>
      <c r="L177"/>
      <c r="N177"/>
      <c r="P177"/>
      <c r="R177"/>
      <c r="S177"/>
      <c r="T177"/>
      <c r="U177"/>
      <c r="V177"/>
      <c r="Y177"/>
    </row>
    <row r="178" spans="1:25" x14ac:dyDescent="0.35">
      <c r="A178" s="1"/>
      <c r="B178" s="12"/>
      <c r="C178" s="12"/>
      <c r="D178" s="23"/>
      <c r="E178"/>
      <c r="F178"/>
      <c r="G178"/>
      <c r="H178"/>
      <c r="I178"/>
      <c r="J178"/>
      <c r="K178"/>
      <c r="L178"/>
      <c r="N178"/>
      <c r="P178"/>
      <c r="R178"/>
      <c r="S178"/>
      <c r="T178"/>
      <c r="U178"/>
      <c r="V178"/>
      <c r="Y178"/>
    </row>
    <row r="179" spans="1:25" x14ac:dyDescent="0.35">
      <c r="A179" s="1"/>
      <c r="B179" s="12"/>
      <c r="C179" s="12"/>
      <c r="D179" s="23"/>
      <c r="E179"/>
      <c r="F179"/>
      <c r="G179"/>
      <c r="H179"/>
      <c r="I179"/>
      <c r="J179"/>
      <c r="K179"/>
      <c r="L179"/>
      <c r="N179"/>
      <c r="P179"/>
      <c r="R179"/>
      <c r="S179"/>
      <c r="T179"/>
      <c r="U179"/>
      <c r="V179"/>
      <c r="Y179"/>
    </row>
    <row r="180" spans="1:25" x14ac:dyDescent="0.35">
      <c r="A180" s="1"/>
      <c r="B180" s="12"/>
      <c r="C180" s="12"/>
      <c r="D180" s="23"/>
      <c r="E180"/>
      <c r="F180"/>
      <c r="G180"/>
      <c r="H180"/>
      <c r="I180"/>
      <c r="J180"/>
      <c r="K180"/>
      <c r="L180"/>
      <c r="N180"/>
      <c r="P180"/>
      <c r="R180"/>
      <c r="S180"/>
      <c r="T180"/>
      <c r="U180"/>
      <c r="V180"/>
      <c r="Y180"/>
    </row>
    <row r="181" spans="1:25" x14ac:dyDescent="0.35">
      <c r="A181" s="1"/>
      <c r="B181" s="12"/>
      <c r="C181" s="12"/>
      <c r="D181" s="23"/>
      <c r="E181"/>
      <c r="F181"/>
      <c r="G181"/>
      <c r="H181"/>
      <c r="I181"/>
      <c r="J181"/>
      <c r="K181"/>
      <c r="L181"/>
      <c r="N181"/>
      <c r="P181"/>
      <c r="R181"/>
      <c r="S181"/>
      <c r="T181"/>
      <c r="U181"/>
      <c r="V181"/>
      <c r="Y181"/>
    </row>
    <row r="182" spans="1:25" x14ac:dyDescent="0.35">
      <c r="A182" s="1"/>
      <c r="B182" s="12"/>
      <c r="C182" s="12"/>
      <c r="D182" s="23"/>
      <c r="E182"/>
      <c r="F182"/>
      <c r="G182"/>
      <c r="H182"/>
      <c r="I182"/>
      <c r="J182"/>
      <c r="K182"/>
      <c r="L182"/>
      <c r="N182"/>
      <c r="P182"/>
      <c r="R182"/>
      <c r="S182"/>
      <c r="T182"/>
      <c r="U182"/>
      <c r="V182"/>
      <c r="Y182"/>
    </row>
    <row r="183" spans="1:25" x14ac:dyDescent="0.35">
      <c r="A183" s="1"/>
      <c r="B183" s="12"/>
      <c r="C183" s="12"/>
      <c r="D183" s="23"/>
      <c r="E183"/>
      <c r="F183"/>
      <c r="G183"/>
      <c r="H183"/>
      <c r="I183"/>
      <c r="J183"/>
      <c r="K183"/>
      <c r="L183"/>
      <c r="N183"/>
      <c r="P183"/>
      <c r="R183"/>
      <c r="S183"/>
      <c r="T183"/>
      <c r="U183"/>
      <c r="V183"/>
      <c r="Y183"/>
    </row>
    <row r="184" spans="1:25" x14ac:dyDescent="0.35">
      <c r="A184" s="1"/>
      <c r="B184" s="12"/>
      <c r="C184" s="12"/>
      <c r="D184" s="23"/>
      <c r="E184"/>
      <c r="F184"/>
      <c r="G184"/>
      <c r="H184"/>
      <c r="I184"/>
      <c r="J184"/>
      <c r="K184"/>
      <c r="L184"/>
      <c r="N184"/>
      <c r="P184"/>
      <c r="R184"/>
      <c r="S184"/>
      <c r="T184"/>
      <c r="U184"/>
      <c r="V184"/>
      <c r="Y184"/>
    </row>
    <row r="185" spans="1:25" x14ac:dyDescent="0.35">
      <c r="A185" s="1"/>
      <c r="B185" s="12"/>
      <c r="C185" s="12"/>
      <c r="D185" s="23"/>
      <c r="E185"/>
      <c r="F185"/>
      <c r="G185"/>
      <c r="H185"/>
      <c r="I185"/>
      <c r="J185"/>
      <c r="K185"/>
      <c r="L185"/>
      <c r="N185"/>
      <c r="P185"/>
      <c r="R185"/>
      <c r="S185"/>
      <c r="T185"/>
      <c r="U185"/>
      <c r="V185"/>
      <c r="Y185"/>
    </row>
    <row r="186" spans="1:25" x14ac:dyDescent="0.35">
      <c r="A186" s="1"/>
      <c r="B186" s="12"/>
      <c r="C186" s="12"/>
      <c r="D186" s="23"/>
      <c r="E186"/>
      <c r="F186"/>
      <c r="G186"/>
      <c r="H186"/>
      <c r="I186"/>
      <c r="J186"/>
      <c r="K186"/>
      <c r="L186"/>
      <c r="N186"/>
      <c r="P186"/>
      <c r="R186"/>
      <c r="S186"/>
      <c r="T186"/>
      <c r="U186"/>
      <c r="V186"/>
      <c r="Y186"/>
    </row>
    <row r="187" spans="1:25" x14ac:dyDescent="0.35">
      <c r="A187" s="1"/>
      <c r="B187" s="12"/>
      <c r="C187" s="12"/>
      <c r="D187" s="23"/>
      <c r="E187"/>
      <c r="F187"/>
      <c r="G187"/>
      <c r="H187"/>
      <c r="I187"/>
      <c r="J187"/>
      <c r="K187"/>
      <c r="L187"/>
      <c r="N187"/>
      <c r="P187"/>
      <c r="R187"/>
      <c r="S187"/>
      <c r="T187"/>
      <c r="U187"/>
      <c r="V187"/>
      <c r="Y187"/>
    </row>
    <row r="188" spans="1:25" x14ac:dyDescent="0.35">
      <c r="A188" s="1"/>
      <c r="B188" s="12"/>
      <c r="C188" s="12"/>
      <c r="D188" s="23"/>
      <c r="E188"/>
      <c r="F188"/>
      <c r="G188"/>
      <c r="H188"/>
      <c r="I188"/>
      <c r="J188"/>
      <c r="K188"/>
      <c r="L188"/>
      <c r="N188"/>
      <c r="P188"/>
      <c r="R188"/>
      <c r="S188"/>
      <c r="T188"/>
      <c r="U188"/>
      <c r="V188"/>
      <c r="Y188"/>
    </row>
    <row r="189" spans="1:25" x14ac:dyDescent="0.35">
      <c r="A189" s="1"/>
      <c r="B189" s="12"/>
      <c r="C189" s="12"/>
      <c r="D189" s="23"/>
      <c r="E189"/>
      <c r="F189"/>
      <c r="G189"/>
      <c r="H189"/>
      <c r="I189"/>
      <c r="J189"/>
      <c r="K189"/>
      <c r="L189"/>
      <c r="N189"/>
      <c r="P189"/>
      <c r="R189"/>
      <c r="S189"/>
      <c r="T189"/>
      <c r="U189"/>
      <c r="V189"/>
      <c r="Y189"/>
    </row>
    <row r="190" spans="1:25" x14ac:dyDescent="0.35">
      <c r="A190" s="1"/>
      <c r="B190" s="12"/>
      <c r="C190" s="12"/>
      <c r="D190" s="23"/>
      <c r="E190"/>
      <c r="F190"/>
      <c r="G190"/>
      <c r="H190"/>
      <c r="I190"/>
      <c r="J190"/>
      <c r="K190"/>
      <c r="L190"/>
      <c r="N190"/>
      <c r="P190"/>
      <c r="R190"/>
      <c r="S190"/>
      <c r="T190"/>
      <c r="U190"/>
      <c r="V190"/>
      <c r="Y190"/>
    </row>
    <row r="191" spans="1:25" x14ac:dyDescent="0.35">
      <c r="A191" s="1"/>
      <c r="B191" s="12"/>
      <c r="C191" s="12"/>
      <c r="D191" s="23"/>
      <c r="E191"/>
      <c r="F191"/>
      <c r="G191"/>
      <c r="H191"/>
      <c r="I191"/>
      <c r="J191"/>
      <c r="K191"/>
      <c r="L191"/>
      <c r="N191"/>
      <c r="P191"/>
      <c r="R191"/>
      <c r="S191"/>
      <c r="T191"/>
      <c r="U191"/>
      <c r="V191"/>
      <c r="Y191"/>
    </row>
    <row r="192" spans="1:25" x14ac:dyDescent="0.35">
      <c r="A192" s="1"/>
      <c r="B192" s="12"/>
      <c r="C192" s="12"/>
      <c r="D192" s="23"/>
      <c r="E192"/>
      <c r="F192"/>
      <c r="G192"/>
      <c r="H192"/>
      <c r="I192"/>
      <c r="J192"/>
      <c r="K192"/>
      <c r="L192"/>
      <c r="N192"/>
      <c r="P192"/>
      <c r="R192"/>
      <c r="S192"/>
      <c r="T192"/>
      <c r="U192"/>
      <c r="V192"/>
      <c r="Y192"/>
    </row>
    <row r="193" spans="1:25" x14ac:dyDescent="0.35">
      <c r="A193" s="1"/>
      <c r="B193" s="12"/>
      <c r="C193" s="12"/>
      <c r="D193" s="23"/>
      <c r="E193"/>
      <c r="F193"/>
      <c r="G193"/>
      <c r="H193"/>
      <c r="I193"/>
      <c r="J193"/>
      <c r="K193"/>
      <c r="L193"/>
      <c r="N193"/>
      <c r="P193"/>
      <c r="R193"/>
      <c r="S193"/>
      <c r="T193"/>
      <c r="U193"/>
      <c r="V193"/>
      <c r="Y193"/>
    </row>
    <row r="194" spans="1:25" x14ac:dyDescent="0.35">
      <c r="A194" s="1"/>
      <c r="B194" s="12"/>
      <c r="C194" s="12"/>
      <c r="D194" s="23"/>
      <c r="E194"/>
      <c r="F194"/>
      <c r="G194"/>
      <c r="H194"/>
      <c r="I194"/>
      <c r="J194"/>
      <c r="K194"/>
      <c r="L194"/>
      <c r="N194"/>
      <c r="P194"/>
      <c r="R194"/>
      <c r="S194"/>
      <c r="T194"/>
      <c r="U194"/>
      <c r="V194"/>
      <c r="Y194"/>
    </row>
    <row r="195" spans="1:25" x14ac:dyDescent="0.35">
      <c r="A195" s="1"/>
      <c r="B195" s="12"/>
      <c r="C195" s="12"/>
      <c r="D195" s="23"/>
      <c r="E195"/>
      <c r="F195"/>
      <c r="G195"/>
      <c r="H195"/>
      <c r="I195"/>
      <c r="J195"/>
      <c r="K195"/>
      <c r="L195"/>
      <c r="N195"/>
      <c r="P195"/>
      <c r="R195"/>
      <c r="S195"/>
      <c r="T195"/>
      <c r="U195"/>
      <c r="V195"/>
      <c r="Y195"/>
    </row>
    <row r="196" spans="1:25" x14ac:dyDescent="0.35">
      <c r="A196" s="1"/>
      <c r="B196" s="12"/>
      <c r="C196" s="12"/>
      <c r="D196" s="23"/>
      <c r="E196"/>
      <c r="F196"/>
      <c r="G196"/>
      <c r="H196"/>
      <c r="I196"/>
      <c r="J196"/>
      <c r="K196"/>
      <c r="L196"/>
      <c r="N196"/>
      <c r="P196"/>
      <c r="R196"/>
      <c r="S196"/>
      <c r="T196"/>
      <c r="U196"/>
      <c r="V196"/>
      <c r="Y196"/>
    </row>
    <row r="197" spans="1:25" x14ac:dyDescent="0.35">
      <c r="A197" s="1"/>
      <c r="B197" s="12"/>
      <c r="C197" s="12"/>
      <c r="D197" s="23"/>
      <c r="E197"/>
      <c r="F197"/>
      <c r="G197"/>
      <c r="H197"/>
      <c r="I197"/>
      <c r="J197"/>
      <c r="K197"/>
      <c r="L197"/>
      <c r="N197"/>
      <c r="P197"/>
      <c r="R197"/>
      <c r="S197"/>
      <c r="T197"/>
      <c r="U197"/>
      <c r="V197"/>
      <c r="Y197"/>
    </row>
    <row r="198" spans="1:25" x14ac:dyDescent="0.35">
      <c r="A198" s="1"/>
      <c r="B198" s="12"/>
      <c r="C198" s="12"/>
      <c r="D198" s="23"/>
      <c r="E198"/>
      <c r="F198"/>
      <c r="G198"/>
      <c r="H198"/>
      <c r="I198"/>
      <c r="J198"/>
      <c r="K198"/>
      <c r="L198"/>
      <c r="N198"/>
      <c r="P198"/>
      <c r="R198"/>
      <c r="S198"/>
      <c r="T198"/>
      <c r="U198"/>
      <c r="V198"/>
      <c r="Y198"/>
    </row>
    <row r="199" spans="1:25" x14ac:dyDescent="0.35">
      <c r="A199" s="1"/>
      <c r="B199" s="12"/>
      <c r="C199" s="12"/>
      <c r="D199" s="23"/>
      <c r="E199"/>
      <c r="F199"/>
      <c r="G199"/>
      <c r="H199"/>
      <c r="I199"/>
      <c r="J199"/>
      <c r="K199"/>
      <c r="L199"/>
      <c r="N199"/>
      <c r="P199"/>
      <c r="R199"/>
      <c r="S199"/>
      <c r="T199"/>
      <c r="U199"/>
      <c r="V199"/>
      <c r="Y199"/>
    </row>
    <row r="200" spans="1:25" x14ac:dyDescent="0.35">
      <c r="A200" s="1"/>
      <c r="B200" s="12"/>
      <c r="C200" s="12"/>
      <c r="D200" s="23"/>
      <c r="E200"/>
      <c r="F200"/>
      <c r="G200"/>
      <c r="H200"/>
      <c r="I200"/>
      <c r="J200"/>
      <c r="K200"/>
      <c r="L200"/>
      <c r="N200"/>
      <c r="P200"/>
      <c r="R200"/>
      <c r="S200"/>
      <c r="T200"/>
      <c r="U200"/>
      <c r="V200"/>
      <c r="Y200"/>
    </row>
    <row r="201" spans="1:25" x14ac:dyDescent="0.35">
      <c r="A201" s="1"/>
      <c r="B201" s="12"/>
      <c r="C201" s="12"/>
      <c r="D201" s="23"/>
      <c r="E201"/>
      <c r="F201"/>
      <c r="G201"/>
      <c r="H201"/>
      <c r="I201"/>
      <c r="J201"/>
      <c r="K201"/>
      <c r="L201"/>
      <c r="N201"/>
      <c r="P201"/>
      <c r="R201"/>
      <c r="S201"/>
      <c r="T201"/>
      <c r="U201"/>
      <c r="V201"/>
      <c r="Y201"/>
    </row>
    <row r="202" spans="1:25" x14ac:dyDescent="0.35">
      <c r="A202" s="1"/>
      <c r="B202" s="12"/>
      <c r="C202" s="12"/>
      <c r="D202" s="23"/>
      <c r="E202"/>
      <c r="F202"/>
      <c r="G202"/>
      <c r="H202"/>
      <c r="I202"/>
      <c r="J202"/>
      <c r="K202"/>
      <c r="L202"/>
      <c r="N202"/>
      <c r="P202"/>
      <c r="R202"/>
      <c r="S202"/>
      <c r="T202"/>
      <c r="U202"/>
      <c r="V202"/>
      <c r="Y202"/>
    </row>
    <row r="203" spans="1:25" x14ac:dyDescent="0.35">
      <c r="A203" s="1"/>
      <c r="B203" s="12"/>
      <c r="C203" s="12"/>
      <c r="D203" s="23"/>
      <c r="E203"/>
      <c r="F203"/>
      <c r="G203"/>
      <c r="H203"/>
      <c r="I203"/>
      <c r="J203"/>
      <c r="K203"/>
      <c r="L203"/>
      <c r="N203"/>
      <c r="P203"/>
      <c r="R203"/>
      <c r="S203"/>
      <c r="T203"/>
      <c r="U203"/>
      <c r="V203"/>
      <c r="Y203"/>
    </row>
    <row r="204" spans="1:25" x14ac:dyDescent="0.35">
      <c r="A204" s="1"/>
      <c r="B204" s="12"/>
      <c r="C204" s="12"/>
      <c r="D204" s="23"/>
      <c r="E204"/>
      <c r="F204"/>
      <c r="G204"/>
      <c r="H204"/>
      <c r="I204"/>
      <c r="J204"/>
      <c r="K204"/>
      <c r="L204"/>
      <c r="N204"/>
      <c r="P204"/>
      <c r="R204"/>
      <c r="S204"/>
      <c r="T204"/>
      <c r="U204"/>
      <c r="V204"/>
      <c r="Y204"/>
    </row>
    <row r="205" spans="1:25" x14ac:dyDescent="0.35">
      <c r="A205" s="1"/>
      <c r="B205" s="12"/>
      <c r="C205" s="12"/>
      <c r="D205" s="23"/>
      <c r="E205"/>
      <c r="F205"/>
      <c r="G205"/>
      <c r="H205"/>
      <c r="I205"/>
      <c r="J205"/>
      <c r="K205"/>
      <c r="L205"/>
      <c r="N205"/>
      <c r="P205"/>
      <c r="R205"/>
      <c r="S205"/>
      <c r="T205"/>
      <c r="U205"/>
      <c r="V205"/>
      <c r="Y205"/>
    </row>
    <row r="206" spans="1:25" x14ac:dyDescent="0.35">
      <c r="A206" s="1"/>
      <c r="B206" s="12"/>
      <c r="C206" s="12"/>
      <c r="D206" s="23"/>
      <c r="E206"/>
      <c r="F206"/>
      <c r="G206"/>
      <c r="H206"/>
      <c r="I206"/>
      <c r="J206"/>
      <c r="K206"/>
      <c r="L206"/>
      <c r="N206"/>
      <c r="P206"/>
      <c r="R206"/>
      <c r="S206"/>
      <c r="T206"/>
      <c r="U206"/>
      <c r="V206"/>
      <c r="Y206"/>
    </row>
    <row r="207" spans="1:25" x14ac:dyDescent="0.35">
      <c r="A207" s="1"/>
      <c r="B207" s="12"/>
      <c r="C207" s="12"/>
      <c r="D207" s="23"/>
      <c r="E207"/>
      <c r="F207"/>
      <c r="G207"/>
      <c r="H207"/>
      <c r="I207"/>
      <c r="J207"/>
      <c r="K207"/>
      <c r="L207"/>
      <c r="N207"/>
      <c r="P207"/>
      <c r="R207"/>
      <c r="S207"/>
      <c r="T207"/>
      <c r="U207"/>
      <c r="V207"/>
      <c r="Y207"/>
    </row>
    <row r="208" spans="1:25" x14ac:dyDescent="0.35">
      <c r="A208" s="1"/>
      <c r="B208" s="12"/>
      <c r="C208" s="12"/>
      <c r="D208" s="23"/>
      <c r="E208"/>
      <c r="F208"/>
      <c r="G208"/>
      <c r="H208"/>
      <c r="I208"/>
      <c r="J208"/>
      <c r="K208"/>
      <c r="L208"/>
      <c r="N208"/>
      <c r="P208"/>
      <c r="R208"/>
      <c r="S208"/>
      <c r="T208"/>
      <c r="U208"/>
      <c r="V208"/>
      <c r="Y208"/>
    </row>
    <row r="209" spans="1:25" x14ac:dyDescent="0.35">
      <c r="A209" s="1"/>
      <c r="B209" s="12"/>
      <c r="C209" s="12"/>
      <c r="D209" s="23"/>
      <c r="E209"/>
      <c r="F209"/>
      <c r="G209"/>
      <c r="H209"/>
      <c r="I209"/>
      <c r="J209"/>
      <c r="K209"/>
      <c r="L209"/>
      <c r="N209"/>
      <c r="P209"/>
      <c r="R209"/>
      <c r="S209"/>
      <c r="T209"/>
      <c r="U209"/>
      <c r="V209"/>
      <c r="Y209"/>
    </row>
    <row r="210" spans="1:25" x14ac:dyDescent="0.35">
      <c r="A210" s="1"/>
      <c r="B210" s="12"/>
      <c r="C210" s="12"/>
      <c r="D210" s="23"/>
      <c r="E210"/>
      <c r="F210"/>
      <c r="G210"/>
      <c r="H210"/>
      <c r="I210"/>
      <c r="J210"/>
      <c r="K210"/>
      <c r="L210"/>
      <c r="N210"/>
      <c r="P210"/>
      <c r="R210"/>
      <c r="S210"/>
      <c r="T210"/>
      <c r="U210"/>
      <c r="V210"/>
      <c r="Y210"/>
    </row>
    <row r="211" spans="1:25" x14ac:dyDescent="0.35">
      <c r="A211" s="1"/>
      <c r="B211" s="12"/>
      <c r="C211" s="12"/>
      <c r="D211" s="23"/>
      <c r="E211"/>
      <c r="F211"/>
      <c r="G211"/>
      <c r="H211"/>
      <c r="I211"/>
      <c r="J211"/>
      <c r="K211"/>
      <c r="L211"/>
      <c r="N211"/>
      <c r="P211"/>
      <c r="R211"/>
      <c r="S211"/>
      <c r="T211"/>
      <c r="U211"/>
      <c r="V211"/>
      <c r="Y211"/>
    </row>
    <row r="212" spans="1:25" x14ac:dyDescent="0.35">
      <c r="A212" s="1"/>
      <c r="B212" s="12"/>
      <c r="C212" s="12"/>
      <c r="D212" s="23"/>
      <c r="E212"/>
      <c r="F212"/>
      <c r="G212"/>
      <c r="H212"/>
      <c r="I212"/>
      <c r="J212"/>
      <c r="K212"/>
      <c r="L212"/>
      <c r="N212"/>
      <c r="P212"/>
      <c r="R212"/>
      <c r="S212"/>
      <c r="T212"/>
      <c r="U212"/>
      <c r="V212"/>
      <c r="Y212"/>
    </row>
    <row r="213" spans="1:25" x14ac:dyDescent="0.35">
      <c r="A213" s="1"/>
      <c r="B213" s="12"/>
      <c r="C213" s="12"/>
      <c r="D213" s="23"/>
      <c r="E213"/>
      <c r="F213"/>
      <c r="G213"/>
      <c r="H213"/>
      <c r="I213"/>
      <c r="J213"/>
      <c r="K213"/>
      <c r="L213"/>
      <c r="N213"/>
      <c r="P213"/>
      <c r="R213"/>
      <c r="S213"/>
      <c r="T213"/>
      <c r="U213"/>
      <c r="V213"/>
      <c r="Y213"/>
    </row>
    <row r="214" spans="1:25" x14ac:dyDescent="0.35">
      <c r="A214" s="1"/>
      <c r="B214" s="12"/>
      <c r="C214" s="12"/>
      <c r="D214" s="23"/>
      <c r="E214"/>
      <c r="F214"/>
      <c r="G214"/>
      <c r="H214"/>
      <c r="I214"/>
      <c r="J214"/>
      <c r="K214"/>
      <c r="L214"/>
      <c r="N214"/>
      <c r="P214"/>
      <c r="R214"/>
      <c r="S214"/>
      <c r="T214"/>
      <c r="U214"/>
      <c r="V214"/>
      <c r="Y214"/>
    </row>
    <row r="215" spans="1:25" x14ac:dyDescent="0.35">
      <c r="A215" s="1"/>
      <c r="B215" s="12"/>
      <c r="C215" s="12"/>
      <c r="D215" s="23"/>
      <c r="E215"/>
      <c r="F215"/>
      <c r="G215"/>
      <c r="H215"/>
      <c r="I215"/>
      <c r="J215"/>
      <c r="K215"/>
      <c r="L215"/>
      <c r="N215"/>
      <c r="P215"/>
      <c r="R215"/>
      <c r="S215"/>
      <c r="T215"/>
      <c r="U215"/>
      <c r="V215"/>
      <c r="Y215"/>
    </row>
    <row r="216" spans="1:25" x14ac:dyDescent="0.35">
      <c r="A216" s="1"/>
      <c r="B216" s="12"/>
      <c r="C216" s="12"/>
      <c r="D216" s="23"/>
      <c r="E216"/>
      <c r="F216"/>
      <c r="G216"/>
      <c r="H216"/>
      <c r="I216"/>
      <c r="J216"/>
      <c r="K216"/>
      <c r="L216"/>
      <c r="N216"/>
      <c r="P216"/>
      <c r="R216"/>
      <c r="S216"/>
      <c r="T216"/>
      <c r="U216"/>
      <c r="V216"/>
      <c r="Y216"/>
    </row>
    <row r="217" spans="1:25" x14ac:dyDescent="0.35">
      <c r="A217" s="1"/>
      <c r="B217" s="12"/>
      <c r="C217" s="12"/>
      <c r="D217" s="23"/>
      <c r="E217"/>
      <c r="F217"/>
      <c r="G217"/>
      <c r="H217"/>
      <c r="I217"/>
      <c r="J217"/>
      <c r="K217"/>
      <c r="L217"/>
      <c r="N217"/>
      <c r="P217"/>
      <c r="R217"/>
      <c r="S217"/>
      <c r="T217"/>
      <c r="U217"/>
      <c r="V217"/>
      <c r="Y217"/>
    </row>
    <row r="218" spans="1:25" x14ac:dyDescent="0.35">
      <c r="A218" s="1"/>
      <c r="B218" s="12"/>
      <c r="C218" s="12"/>
      <c r="D218" s="23"/>
      <c r="E218"/>
      <c r="F218"/>
      <c r="G218"/>
      <c r="H218"/>
      <c r="I218"/>
      <c r="J218"/>
      <c r="K218"/>
      <c r="L218"/>
      <c r="N218"/>
      <c r="P218"/>
      <c r="R218"/>
      <c r="S218"/>
      <c r="T218"/>
      <c r="U218"/>
      <c r="V218"/>
      <c r="Y218"/>
    </row>
    <row r="219" spans="1:25" x14ac:dyDescent="0.35">
      <c r="A219" s="1"/>
      <c r="B219" s="12"/>
      <c r="C219" s="12"/>
      <c r="D219" s="23"/>
      <c r="E219"/>
      <c r="F219"/>
      <c r="G219"/>
      <c r="H219"/>
      <c r="I219"/>
      <c r="J219"/>
      <c r="K219"/>
      <c r="L219"/>
      <c r="N219"/>
      <c r="P219"/>
      <c r="R219"/>
      <c r="S219"/>
      <c r="T219"/>
      <c r="U219"/>
      <c r="V219"/>
      <c r="Y219"/>
    </row>
    <row r="220" spans="1:25" x14ac:dyDescent="0.35">
      <c r="A220" s="1"/>
      <c r="B220" s="12"/>
      <c r="C220" s="12"/>
      <c r="D220" s="23"/>
      <c r="E220"/>
      <c r="F220"/>
      <c r="G220"/>
      <c r="H220"/>
      <c r="I220"/>
      <c r="J220"/>
      <c r="K220"/>
      <c r="L220"/>
      <c r="N220"/>
      <c r="P220"/>
      <c r="R220"/>
      <c r="S220"/>
      <c r="T220"/>
      <c r="U220"/>
      <c r="V220"/>
      <c r="Y220"/>
    </row>
    <row r="221" spans="1:25" x14ac:dyDescent="0.35">
      <c r="A221" s="1"/>
      <c r="B221" s="12"/>
      <c r="C221" s="12"/>
      <c r="D221" s="23"/>
      <c r="E221"/>
      <c r="F221"/>
      <c r="G221"/>
      <c r="H221"/>
      <c r="I221"/>
      <c r="J221"/>
      <c r="K221"/>
      <c r="L221"/>
      <c r="N221"/>
      <c r="P221"/>
      <c r="R221"/>
      <c r="S221"/>
      <c r="T221"/>
      <c r="U221"/>
      <c r="V221"/>
      <c r="Y221"/>
    </row>
    <row r="222" spans="1:25" x14ac:dyDescent="0.35">
      <c r="A222" s="1"/>
      <c r="B222" s="12"/>
      <c r="C222" s="12"/>
      <c r="D222" s="23"/>
      <c r="E222"/>
      <c r="F222"/>
      <c r="G222"/>
      <c r="H222"/>
      <c r="I222"/>
      <c r="J222"/>
      <c r="K222"/>
      <c r="L222"/>
      <c r="N222"/>
      <c r="P222"/>
      <c r="R222"/>
      <c r="S222"/>
      <c r="T222"/>
      <c r="U222"/>
      <c r="V222"/>
      <c r="Y222"/>
    </row>
    <row r="223" spans="1:25" x14ac:dyDescent="0.35">
      <c r="A223" s="1"/>
      <c r="B223" s="12"/>
      <c r="C223" s="12"/>
      <c r="D223" s="23"/>
      <c r="E223"/>
      <c r="F223"/>
      <c r="G223"/>
      <c r="H223"/>
      <c r="I223"/>
      <c r="J223"/>
      <c r="K223"/>
      <c r="L223"/>
      <c r="N223"/>
      <c r="P223"/>
      <c r="R223"/>
      <c r="S223"/>
      <c r="T223"/>
      <c r="U223"/>
      <c r="V223"/>
      <c r="Y223"/>
    </row>
    <row r="224" spans="1:25" x14ac:dyDescent="0.35">
      <c r="A224" s="1"/>
      <c r="B224" s="12"/>
      <c r="C224" s="12"/>
      <c r="D224" s="23"/>
      <c r="E224"/>
      <c r="F224"/>
      <c r="G224"/>
      <c r="H224"/>
      <c r="I224"/>
      <c r="J224"/>
      <c r="K224"/>
      <c r="L224"/>
      <c r="N224"/>
      <c r="P224"/>
      <c r="R224"/>
      <c r="S224"/>
      <c r="T224"/>
      <c r="U224"/>
      <c r="V224"/>
      <c r="Y224"/>
    </row>
    <row r="225" spans="1:25" x14ac:dyDescent="0.35">
      <c r="A225" s="1"/>
      <c r="B225" s="12"/>
      <c r="C225" s="12"/>
      <c r="D225" s="23"/>
      <c r="E225"/>
      <c r="F225"/>
      <c r="G225"/>
      <c r="H225"/>
      <c r="I225"/>
      <c r="J225"/>
      <c r="K225"/>
      <c r="L225"/>
      <c r="N225"/>
      <c r="P225"/>
      <c r="R225"/>
      <c r="S225"/>
      <c r="T225"/>
      <c r="U225"/>
      <c r="V225"/>
      <c r="Y225"/>
    </row>
    <row r="226" spans="1:25" x14ac:dyDescent="0.35">
      <c r="A226" s="1"/>
      <c r="B226" s="12"/>
      <c r="C226" s="12"/>
      <c r="D226" s="23"/>
      <c r="E226"/>
      <c r="F226"/>
      <c r="G226"/>
      <c r="H226"/>
      <c r="I226"/>
      <c r="J226"/>
      <c r="K226"/>
      <c r="L226"/>
      <c r="N226"/>
      <c r="P226"/>
      <c r="R226"/>
      <c r="S226"/>
      <c r="T226"/>
      <c r="U226"/>
      <c r="V226"/>
      <c r="Y226"/>
    </row>
    <row r="227" spans="1:25" x14ac:dyDescent="0.35">
      <c r="A227" s="1"/>
      <c r="B227" s="12"/>
      <c r="C227" s="12"/>
      <c r="D227" s="23"/>
      <c r="E227"/>
      <c r="F227"/>
      <c r="G227"/>
      <c r="H227"/>
      <c r="I227"/>
      <c r="J227"/>
      <c r="K227"/>
      <c r="L227"/>
      <c r="N227"/>
      <c r="P227"/>
      <c r="R227"/>
      <c r="S227"/>
      <c r="T227"/>
      <c r="U227"/>
      <c r="V227"/>
      <c r="Y227"/>
    </row>
    <row r="228" spans="1:25" x14ac:dyDescent="0.35">
      <c r="A228" s="1"/>
      <c r="B228" s="12"/>
      <c r="C228" s="12"/>
      <c r="D228" s="23"/>
      <c r="E228"/>
      <c r="F228"/>
      <c r="G228"/>
      <c r="H228"/>
      <c r="I228"/>
      <c r="J228"/>
      <c r="K228"/>
      <c r="L228"/>
      <c r="N228"/>
      <c r="P228"/>
      <c r="R228"/>
      <c r="S228"/>
      <c r="T228"/>
      <c r="U228"/>
      <c r="V228"/>
      <c r="Y228"/>
    </row>
    <row r="229" spans="1:25" x14ac:dyDescent="0.35">
      <c r="A229" s="1"/>
      <c r="B229" s="12"/>
      <c r="C229" s="12"/>
      <c r="D229" s="23"/>
      <c r="E229"/>
      <c r="F229"/>
      <c r="G229"/>
      <c r="H229"/>
      <c r="I229"/>
      <c r="J229"/>
      <c r="K229"/>
      <c r="L229"/>
      <c r="N229"/>
      <c r="P229"/>
      <c r="R229"/>
      <c r="S229"/>
      <c r="T229"/>
      <c r="U229"/>
      <c r="V229"/>
      <c r="Y229"/>
    </row>
    <row r="230" spans="1:25" x14ac:dyDescent="0.35">
      <c r="A230" s="1"/>
      <c r="B230" s="12"/>
      <c r="C230" s="12"/>
      <c r="D230" s="23"/>
      <c r="E230"/>
      <c r="F230"/>
      <c r="G230"/>
      <c r="H230"/>
      <c r="I230"/>
      <c r="J230"/>
      <c r="K230"/>
      <c r="L230"/>
      <c r="N230"/>
      <c r="P230"/>
      <c r="R230"/>
      <c r="S230"/>
      <c r="T230"/>
      <c r="U230"/>
      <c r="V230"/>
      <c r="Y230"/>
    </row>
    <row r="231" spans="1:25" x14ac:dyDescent="0.35">
      <c r="A231" s="1"/>
      <c r="B231" s="12"/>
      <c r="C231" s="12"/>
      <c r="D231" s="23"/>
      <c r="E231"/>
      <c r="F231"/>
      <c r="G231"/>
      <c r="H231"/>
      <c r="I231"/>
      <c r="J231"/>
      <c r="K231"/>
      <c r="L231"/>
      <c r="N231"/>
      <c r="P231"/>
      <c r="R231"/>
      <c r="S231"/>
      <c r="T231"/>
      <c r="U231"/>
      <c r="V231"/>
      <c r="Y231"/>
    </row>
    <row r="232" spans="1:25" x14ac:dyDescent="0.35">
      <c r="A232" s="1"/>
      <c r="B232" s="12"/>
      <c r="C232" s="12"/>
      <c r="D232" s="23"/>
      <c r="E232"/>
      <c r="F232"/>
      <c r="G232"/>
      <c r="H232"/>
      <c r="I232"/>
      <c r="J232"/>
      <c r="K232"/>
      <c r="L232"/>
      <c r="N232"/>
      <c r="P232"/>
      <c r="R232"/>
      <c r="S232"/>
      <c r="T232"/>
      <c r="U232"/>
      <c r="V232"/>
      <c r="Y232"/>
    </row>
    <row r="233" spans="1:25" x14ac:dyDescent="0.35">
      <c r="A233" s="1"/>
      <c r="B233" s="12"/>
      <c r="C233" s="12"/>
      <c r="D233" s="23"/>
      <c r="E233"/>
      <c r="F233"/>
      <c r="G233"/>
      <c r="H233"/>
      <c r="I233"/>
      <c r="J233"/>
      <c r="K233"/>
      <c r="L233"/>
      <c r="N233"/>
      <c r="P233"/>
      <c r="R233"/>
      <c r="S233"/>
      <c r="T233"/>
      <c r="U233"/>
      <c r="V233"/>
      <c r="Y233"/>
    </row>
    <row r="234" spans="1:25" x14ac:dyDescent="0.35">
      <c r="A234" s="1"/>
      <c r="B234" s="12"/>
      <c r="C234" s="12"/>
      <c r="D234" s="23"/>
      <c r="E234"/>
      <c r="F234"/>
      <c r="G234"/>
      <c r="H234"/>
      <c r="I234"/>
      <c r="J234"/>
      <c r="K234"/>
      <c r="L234"/>
      <c r="N234"/>
      <c r="P234"/>
      <c r="R234"/>
      <c r="S234"/>
      <c r="T234"/>
      <c r="U234"/>
      <c r="V234"/>
      <c r="Y234"/>
    </row>
    <row r="235" spans="1:25" x14ac:dyDescent="0.35">
      <c r="A235" s="1"/>
      <c r="B235" s="12"/>
      <c r="C235" s="12"/>
      <c r="D235" s="23"/>
      <c r="E235"/>
      <c r="F235"/>
      <c r="G235"/>
      <c r="H235"/>
      <c r="I235"/>
      <c r="J235"/>
      <c r="K235"/>
      <c r="L235"/>
      <c r="N235"/>
      <c r="P235"/>
      <c r="R235"/>
      <c r="S235"/>
      <c r="T235"/>
      <c r="U235"/>
      <c r="V235"/>
      <c r="Y235"/>
    </row>
    <row r="236" spans="1:25" x14ac:dyDescent="0.35">
      <c r="A236" s="1"/>
      <c r="B236" s="12"/>
      <c r="C236" s="12"/>
      <c r="D236" s="23"/>
      <c r="E236"/>
      <c r="F236"/>
      <c r="G236"/>
      <c r="H236"/>
      <c r="I236"/>
      <c r="J236"/>
      <c r="K236"/>
      <c r="L236"/>
      <c r="N236"/>
      <c r="P236"/>
      <c r="R236"/>
      <c r="S236"/>
      <c r="T236"/>
      <c r="U236"/>
      <c r="V236"/>
      <c r="Y236"/>
    </row>
    <row r="237" spans="1:25" x14ac:dyDescent="0.35">
      <c r="A237" s="1"/>
      <c r="B237" s="12"/>
      <c r="C237" s="12"/>
      <c r="D237" s="23"/>
      <c r="E237"/>
      <c r="F237"/>
      <c r="G237"/>
      <c r="H237"/>
      <c r="I237"/>
      <c r="J237"/>
      <c r="K237"/>
      <c r="L237"/>
      <c r="N237"/>
      <c r="P237"/>
      <c r="R237"/>
      <c r="S237"/>
      <c r="T237"/>
      <c r="U237"/>
      <c r="V237"/>
      <c r="Y237"/>
    </row>
    <row r="238" spans="1:25" x14ac:dyDescent="0.35">
      <c r="A238" s="1"/>
      <c r="B238" s="12"/>
      <c r="C238" s="12"/>
      <c r="D238" s="23"/>
      <c r="E238"/>
      <c r="F238"/>
      <c r="G238"/>
      <c r="H238"/>
      <c r="I238"/>
      <c r="J238"/>
      <c r="K238"/>
      <c r="L238"/>
      <c r="N238"/>
      <c r="P238"/>
      <c r="R238"/>
      <c r="S238"/>
      <c r="T238"/>
      <c r="U238"/>
      <c r="V238"/>
      <c r="Y238"/>
    </row>
    <row r="239" spans="1:25" x14ac:dyDescent="0.35">
      <c r="A239" s="1"/>
      <c r="B239" s="12"/>
      <c r="C239" s="12"/>
      <c r="D239" s="23"/>
      <c r="E239"/>
      <c r="F239"/>
      <c r="G239"/>
      <c r="H239"/>
      <c r="I239"/>
      <c r="J239"/>
      <c r="K239"/>
      <c r="L239"/>
      <c r="N239"/>
      <c r="P239"/>
      <c r="R239"/>
      <c r="S239"/>
      <c r="T239"/>
      <c r="U239"/>
      <c r="V239"/>
      <c r="Y239"/>
    </row>
    <row r="240" spans="1:25" x14ac:dyDescent="0.35">
      <c r="A240" s="1"/>
      <c r="B240" s="12"/>
      <c r="C240" s="12"/>
      <c r="D240" s="23"/>
      <c r="E240"/>
      <c r="F240"/>
      <c r="G240"/>
      <c r="H240"/>
      <c r="I240"/>
      <c r="J240"/>
      <c r="K240"/>
      <c r="L240"/>
      <c r="N240"/>
      <c r="P240"/>
      <c r="R240"/>
      <c r="S240"/>
      <c r="T240"/>
      <c r="U240"/>
      <c r="V240"/>
      <c r="Y240"/>
    </row>
    <row r="241" spans="1:25" x14ac:dyDescent="0.35">
      <c r="A241" s="1"/>
      <c r="B241" s="12"/>
      <c r="C241" s="12"/>
      <c r="D241" s="23"/>
      <c r="E241"/>
      <c r="F241"/>
      <c r="G241"/>
      <c r="H241"/>
      <c r="I241"/>
      <c r="J241"/>
      <c r="K241"/>
      <c r="L241"/>
      <c r="N241"/>
      <c r="P241"/>
      <c r="R241"/>
      <c r="S241"/>
      <c r="T241"/>
      <c r="U241"/>
      <c r="V241"/>
      <c r="Y241"/>
    </row>
    <row r="242" spans="1:25" x14ac:dyDescent="0.35">
      <c r="A242" s="1"/>
      <c r="B242" s="12"/>
      <c r="C242" s="12"/>
      <c r="D242" s="23"/>
      <c r="E242"/>
      <c r="F242"/>
      <c r="G242"/>
      <c r="H242"/>
      <c r="I242"/>
      <c r="J242"/>
      <c r="K242"/>
      <c r="L242"/>
      <c r="N242"/>
      <c r="P242"/>
      <c r="R242"/>
      <c r="S242"/>
      <c r="T242"/>
      <c r="U242"/>
      <c r="V242"/>
      <c r="Y242"/>
    </row>
    <row r="243" spans="1:25" x14ac:dyDescent="0.35">
      <c r="A243" s="1"/>
      <c r="B243" s="12"/>
      <c r="C243" s="12"/>
      <c r="D243" s="23"/>
      <c r="E243"/>
      <c r="F243"/>
      <c r="G243"/>
      <c r="H243"/>
      <c r="I243"/>
      <c r="J243"/>
      <c r="K243"/>
      <c r="L243"/>
      <c r="N243"/>
      <c r="P243"/>
      <c r="R243"/>
      <c r="S243"/>
      <c r="T243"/>
      <c r="U243"/>
      <c r="V243"/>
      <c r="Y243"/>
    </row>
    <row r="244" spans="1:25" x14ac:dyDescent="0.35">
      <c r="A244" s="1"/>
      <c r="B244" s="12"/>
      <c r="C244" s="12"/>
      <c r="D244" s="23"/>
      <c r="E244"/>
      <c r="F244"/>
      <c r="G244"/>
      <c r="H244"/>
      <c r="I244"/>
      <c r="J244"/>
      <c r="K244"/>
      <c r="L244"/>
      <c r="N244"/>
      <c r="P244"/>
      <c r="R244"/>
      <c r="S244"/>
      <c r="T244"/>
      <c r="U244"/>
      <c r="V244"/>
      <c r="Y244"/>
    </row>
    <row r="245" spans="1:25" x14ac:dyDescent="0.35">
      <c r="A245" s="1"/>
      <c r="B245" s="12"/>
      <c r="C245" s="12"/>
      <c r="D245" s="23"/>
      <c r="E245"/>
      <c r="F245"/>
      <c r="G245"/>
      <c r="H245"/>
      <c r="I245"/>
      <c r="J245"/>
      <c r="K245"/>
      <c r="L245"/>
      <c r="N245"/>
      <c r="P245"/>
      <c r="R245"/>
      <c r="S245"/>
      <c r="T245"/>
      <c r="U245"/>
      <c r="V245"/>
      <c r="Y245"/>
    </row>
    <row r="246" spans="1:25" x14ac:dyDescent="0.35">
      <c r="A246" s="1"/>
      <c r="B246" s="12"/>
      <c r="C246" s="12"/>
      <c r="D246" s="23"/>
      <c r="E246"/>
      <c r="F246"/>
      <c r="G246"/>
      <c r="H246"/>
      <c r="I246"/>
      <c r="J246"/>
      <c r="K246"/>
      <c r="L246"/>
      <c r="N246"/>
      <c r="P246"/>
      <c r="R246"/>
      <c r="S246"/>
      <c r="T246"/>
      <c r="U246"/>
      <c r="V246"/>
      <c r="Y246"/>
    </row>
    <row r="247" spans="1:25" x14ac:dyDescent="0.35">
      <c r="A247" s="1"/>
      <c r="B247" s="12"/>
      <c r="C247" s="12"/>
      <c r="D247" s="23"/>
      <c r="E247"/>
      <c r="F247"/>
      <c r="G247"/>
      <c r="H247"/>
      <c r="I247"/>
      <c r="J247"/>
      <c r="K247"/>
      <c r="L247"/>
      <c r="N247"/>
      <c r="P247"/>
      <c r="R247"/>
      <c r="S247"/>
      <c r="T247"/>
      <c r="U247"/>
      <c r="V247"/>
      <c r="Y247"/>
    </row>
    <row r="248" spans="1:25" x14ac:dyDescent="0.35">
      <c r="A248" s="1"/>
      <c r="B248" s="12"/>
      <c r="C248" s="12"/>
      <c r="D248" s="23"/>
      <c r="E248"/>
      <c r="F248"/>
      <c r="G248"/>
      <c r="H248"/>
      <c r="I248"/>
      <c r="J248"/>
      <c r="K248"/>
      <c r="L248"/>
      <c r="N248"/>
      <c r="P248"/>
      <c r="R248"/>
      <c r="S248"/>
      <c r="T248"/>
      <c r="U248"/>
      <c r="V248"/>
      <c r="Y248"/>
    </row>
    <row r="249" spans="1:25" x14ac:dyDescent="0.35">
      <c r="A249" s="1"/>
      <c r="B249" s="12"/>
      <c r="C249" s="12"/>
      <c r="D249" s="23"/>
      <c r="E249"/>
      <c r="F249"/>
      <c r="G249"/>
      <c r="H249"/>
      <c r="I249"/>
      <c r="J249"/>
      <c r="K249"/>
      <c r="L249"/>
      <c r="N249"/>
      <c r="P249"/>
      <c r="R249"/>
      <c r="S249"/>
      <c r="T249"/>
      <c r="U249"/>
      <c r="V249"/>
      <c r="Y249"/>
    </row>
    <row r="250" spans="1:25" x14ac:dyDescent="0.35">
      <c r="A250" s="1"/>
      <c r="B250" s="12"/>
      <c r="C250" s="12"/>
      <c r="D250" s="23"/>
      <c r="E250"/>
      <c r="F250"/>
      <c r="G250"/>
      <c r="H250"/>
      <c r="I250"/>
      <c r="J250"/>
      <c r="K250"/>
      <c r="L250"/>
      <c r="N250"/>
      <c r="P250"/>
      <c r="R250"/>
      <c r="S250"/>
      <c r="T250"/>
      <c r="U250"/>
      <c r="V250"/>
      <c r="Y250"/>
    </row>
    <row r="251" spans="1:25" x14ac:dyDescent="0.35">
      <c r="A251" s="1"/>
      <c r="B251" s="12"/>
      <c r="C251" s="12"/>
      <c r="D251" s="23"/>
      <c r="E251"/>
      <c r="F251"/>
      <c r="G251"/>
      <c r="H251"/>
      <c r="I251"/>
      <c r="J251"/>
      <c r="K251"/>
      <c r="L251"/>
      <c r="N251"/>
      <c r="P251"/>
      <c r="R251"/>
      <c r="S251"/>
      <c r="T251"/>
      <c r="U251"/>
      <c r="V251"/>
      <c r="Y251"/>
    </row>
    <row r="252" spans="1:25" x14ac:dyDescent="0.35">
      <c r="A252" s="1"/>
      <c r="B252" s="12"/>
      <c r="C252" s="12"/>
      <c r="D252" s="23"/>
      <c r="E252"/>
      <c r="F252"/>
      <c r="G252"/>
      <c r="H252"/>
      <c r="I252"/>
      <c r="J252"/>
      <c r="K252"/>
      <c r="L252"/>
      <c r="N252"/>
      <c r="P252"/>
      <c r="R252"/>
      <c r="S252"/>
      <c r="T252"/>
      <c r="U252"/>
      <c r="V252"/>
      <c r="Y252"/>
    </row>
    <row r="253" spans="1:25" x14ac:dyDescent="0.35">
      <c r="A253" s="1"/>
      <c r="B253" s="12"/>
      <c r="C253" s="12"/>
      <c r="D253" s="23"/>
      <c r="E253"/>
      <c r="F253"/>
      <c r="G253"/>
      <c r="H253"/>
      <c r="I253"/>
      <c r="J253"/>
      <c r="K253"/>
      <c r="L253"/>
      <c r="N253"/>
      <c r="P253"/>
      <c r="R253"/>
      <c r="S253"/>
      <c r="T253"/>
      <c r="U253"/>
      <c r="V253"/>
      <c r="Y253"/>
    </row>
    <row r="254" spans="1:25" x14ac:dyDescent="0.35">
      <c r="A254" s="1"/>
      <c r="B254" s="12"/>
      <c r="C254" s="12"/>
      <c r="D254" s="23"/>
      <c r="E254"/>
      <c r="F254"/>
      <c r="G254"/>
      <c r="H254"/>
      <c r="I254"/>
      <c r="J254"/>
      <c r="K254"/>
      <c r="L254"/>
      <c r="N254"/>
      <c r="P254"/>
      <c r="R254"/>
      <c r="S254"/>
      <c r="T254"/>
      <c r="U254"/>
      <c r="V254"/>
      <c r="Y254"/>
    </row>
    <row r="255" spans="1:25" x14ac:dyDescent="0.35">
      <c r="A255" s="1"/>
      <c r="B255" s="12"/>
      <c r="C255" s="12"/>
      <c r="D255" s="23"/>
      <c r="E255"/>
      <c r="F255"/>
      <c r="G255"/>
      <c r="H255"/>
      <c r="I255"/>
      <c r="J255"/>
      <c r="K255"/>
      <c r="L255"/>
      <c r="N255"/>
      <c r="P255"/>
      <c r="R255"/>
      <c r="S255"/>
      <c r="T255"/>
      <c r="U255"/>
      <c r="V255"/>
      <c r="Y255"/>
    </row>
    <row r="256" spans="1:25" x14ac:dyDescent="0.35">
      <c r="A256" s="1"/>
      <c r="B256" s="12"/>
      <c r="C256" s="12"/>
      <c r="D256" s="23"/>
      <c r="E256"/>
      <c r="F256"/>
      <c r="G256"/>
      <c r="H256"/>
      <c r="I256"/>
      <c r="J256"/>
      <c r="K256"/>
      <c r="L256"/>
      <c r="N256"/>
      <c r="P256"/>
      <c r="R256"/>
      <c r="S256"/>
      <c r="T256"/>
      <c r="U256"/>
      <c r="V256"/>
      <c r="Y256"/>
    </row>
    <row r="257" spans="1:25" x14ac:dyDescent="0.35">
      <c r="A257" s="1"/>
      <c r="B257" s="12"/>
      <c r="C257" s="12"/>
      <c r="D257" s="23"/>
      <c r="E257"/>
      <c r="F257"/>
      <c r="G257"/>
      <c r="H257"/>
      <c r="I257"/>
      <c r="J257"/>
      <c r="K257"/>
      <c r="L257"/>
      <c r="N257"/>
      <c r="P257"/>
      <c r="R257"/>
      <c r="S257"/>
      <c r="T257"/>
      <c r="U257"/>
      <c r="V257"/>
      <c r="Y257"/>
    </row>
    <row r="258" spans="1:25" x14ac:dyDescent="0.35">
      <c r="A258" s="1"/>
      <c r="B258" s="12"/>
      <c r="C258" s="12"/>
      <c r="D258" s="23"/>
      <c r="E258"/>
      <c r="F258"/>
      <c r="G258"/>
      <c r="H258"/>
      <c r="I258"/>
      <c r="J258"/>
      <c r="K258"/>
      <c r="L258"/>
      <c r="N258"/>
      <c r="P258"/>
      <c r="R258"/>
      <c r="S258"/>
      <c r="T258"/>
      <c r="U258"/>
      <c r="V258"/>
      <c r="Y258"/>
    </row>
    <row r="259" spans="1:25" x14ac:dyDescent="0.35">
      <c r="A259" s="1"/>
      <c r="B259" s="12"/>
      <c r="C259" s="12"/>
      <c r="D259" s="23"/>
      <c r="E259"/>
      <c r="F259"/>
      <c r="G259"/>
      <c r="H259"/>
      <c r="I259"/>
      <c r="J259"/>
      <c r="K259"/>
      <c r="L259"/>
      <c r="N259"/>
      <c r="P259"/>
      <c r="R259"/>
      <c r="S259"/>
      <c r="T259"/>
      <c r="U259"/>
      <c r="V259"/>
      <c r="Y259"/>
    </row>
    <row r="260" spans="1:25" x14ac:dyDescent="0.35">
      <c r="A260" s="1"/>
      <c r="B260" s="12"/>
      <c r="C260" s="12"/>
      <c r="D260" s="23"/>
      <c r="E260"/>
      <c r="F260"/>
      <c r="G260"/>
      <c r="H260"/>
      <c r="I260"/>
      <c r="J260"/>
      <c r="K260"/>
      <c r="L260"/>
      <c r="N260"/>
      <c r="P260"/>
      <c r="R260"/>
      <c r="S260"/>
      <c r="T260"/>
      <c r="U260"/>
      <c r="V260"/>
      <c r="Y260"/>
    </row>
    <row r="261" spans="1:25" x14ac:dyDescent="0.35">
      <c r="A261" s="1"/>
      <c r="B261" s="12"/>
      <c r="C261" s="12"/>
      <c r="D261" s="23"/>
      <c r="E261"/>
      <c r="F261"/>
      <c r="G261"/>
      <c r="H261"/>
      <c r="I261"/>
      <c r="J261"/>
      <c r="K261"/>
      <c r="L261"/>
      <c r="N261"/>
      <c r="P261"/>
      <c r="R261"/>
      <c r="S261"/>
      <c r="T261"/>
      <c r="U261"/>
      <c r="V261"/>
      <c r="Y261"/>
    </row>
    <row r="262" spans="1:25" x14ac:dyDescent="0.35">
      <c r="A262" s="1"/>
      <c r="B262" s="12"/>
      <c r="C262" s="12"/>
      <c r="D262" s="23"/>
      <c r="E262"/>
      <c r="F262"/>
      <c r="G262"/>
      <c r="H262"/>
      <c r="I262"/>
      <c r="J262"/>
      <c r="K262"/>
      <c r="L262"/>
      <c r="N262"/>
      <c r="P262"/>
      <c r="R262"/>
      <c r="S262"/>
      <c r="T262"/>
      <c r="U262"/>
      <c r="V262"/>
      <c r="Y262"/>
    </row>
    <row r="263" spans="1:25" x14ac:dyDescent="0.35">
      <c r="A263" s="1"/>
      <c r="B263" s="12"/>
      <c r="C263" s="12"/>
      <c r="D263" s="23"/>
      <c r="E263"/>
      <c r="F263"/>
      <c r="G263"/>
      <c r="H263"/>
      <c r="I263"/>
      <c r="J263"/>
      <c r="K263"/>
      <c r="L263"/>
      <c r="N263"/>
      <c r="P263"/>
      <c r="R263"/>
      <c r="S263"/>
      <c r="T263"/>
      <c r="U263"/>
      <c r="V263"/>
      <c r="Y263"/>
    </row>
    <row r="264" spans="1:25" x14ac:dyDescent="0.35">
      <c r="A264" s="1"/>
      <c r="B264" s="12"/>
      <c r="C264" s="12"/>
      <c r="D264" s="23"/>
      <c r="E264"/>
      <c r="F264"/>
      <c r="G264"/>
      <c r="H264"/>
      <c r="I264"/>
      <c r="J264"/>
      <c r="K264"/>
      <c r="L264"/>
      <c r="N264"/>
      <c r="P264"/>
      <c r="R264"/>
      <c r="S264"/>
      <c r="T264"/>
      <c r="U264"/>
      <c r="V264"/>
      <c r="Y264"/>
    </row>
    <row r="265" spans="1:25" x14ac:dyDescent="0.35">
      <c r="A265" s="4"/>
      <c r="B265" s="9"/>
      <c r="C265" s="7"/>
    </row>
    <row r="266" spans="1:25" x14ac:dyDescent="0.35">
      <c r="A266" s="4"/>
      <c r="B266" s="9"/>
      <c r="C266" s="7"/>
    </row>
    <row r="267" spans="1:25" x14ac:dyDescent="0.35">
      <c r="A267" s="4"/>
      <c r="B267" s="9"/>
      <c r="C267" s="7"/>
    </row>
    <row r="268" spans="1:25" x14ac:dyDescent="0.35">
      <c r="A268" s="4"/>
      <c r="B268" s="9"/>
      <c r="C268" s="7"/>
    </row>
    <row r="269" spans="1:25" x14ac:dyDescent="0.35">
      <c r="A269" s="4"/>
      <c r="B269" s="9"/>
      <c r="C269" s="7"/>
    </row>
    <row r="270" spans="1:25" x14ac:dyDescent="0.35">
      <c r="A270" s="4"/>
      <c r="B270" s="9"/>
      <c r="C270" s="7"/>
    </row>
    <row r="271" spans="1:25" x14ac:dyDescent="0.35">
      <c r="A271" s="4"/>
      <c r="B271" s="9"/>
      <c r="C271" s="7"/>
    </row>
    <row r="272" spans="1:25" x14ac:dyDescent="0.35">
      <c r="A272" s="4"/>
      <c r="B272" s="9"/>
      <c r="C272" s="7"/>
    </row>
    <row r="273" spans="1:3" x14ac:dyDescent="0.35">
      <c r="A273" s="4"/>
      <c r="B273" s="9"/>
      <c r="C273" s="7"/>
    </row>
    <row r="274" spans="1:3" x14ac:dyDescent="0.35">
      <c r="A274" s="4"/>
      <c r="B274" s="9"/>
      <c r="C274" s="7"/>
    </row>
    <row r="275" spans="1:3" x14ac:dyDescent="0.35">
      <c r="A275" s="4"/>
      <c r="B275" s="9"/>
      <c r="C275" s="7"/>
    </row>
    <row r="276" spans="1:3" x14ac:dyDescent="0.35">
      <c r="A276" s="4"/>
      <c r="B276" s="9"/>
      <c r="C276" s="7"/>
    </row>
    <row r="277" spans="1:3" x14ac:dyDescent="0.35">
      <c r="A277" s="4"/>
      <c r="B277" s="9"/>
      <c r="C277" s="7"/>
    </row>
    <row r="278" spans="1:3" x14ac:dyDescent="0.35">
      <c r="A278" s="4"/>
      <c r="B278" s="9"/>
      <c r="C278" s="7"/>
    </row>
    <row r="279" spans="1:3" x14ac:dyDescent="0.35">
      <c r="A279" s="4"/>
      <c r="B279" s="9"/>
      <c r="C279" s="7"/>
    </row>
    <row r="280" spans="1:3" x14ac:dyDescent="0.35">
      <c r="A280" s="4"/>
      <c r="B280" s="9"/>
      <c r="C280" s="7"/>
    </row>
    <row r="281" spans="1:3" x14ac:dyDescent="0.35">
      <c r="A281" s="4"/>
      <c r="B281" s="9"/>
      <c r="C281" s="7"/>
    </row>
    <row r="282" spans="1:3" x14ac:dyDescent="0.35">
      <c r="A282" s="4"/>
      <c r="B282" s="9"/>
      <c r="C282" s="7"/>
    </row>
    <row r="283" spans="1:3" x14ac:dyDescent="0.35">
      <c r="A283" s="4"/>
      <c r="B283" s="9"/>
      <c r="C283" s="7"/>
    </row>
    <row r="284" spans="1:3" x14ac:dyDescent="0.35">
      <c r="A284" s="4"/>
      <c r="B284" s="9"/>
      <c r="C284" s="7"/>
    </row>
    <row r="285" spans="1:3" x14ac:dyDescent="0.35">
      <c r="A285" s="4"/>
      <c r="B285" s="9"/>
      <c r="C285" s="7"/>
    </row>
    <row r="286" spans="1:3" x14ac:dyDescent="0.35">
      <c r="A286" s="4"/>
      <c r="B286" s="9"/>
      <c r="C286" s="7"/>
    </row>
    <row r="287" spans="1:3" x14ac:dyDescent="0.35">
      <c r="A287" s="4"/>
      <c r="B287" s="9"/>
      <c r="C287" s="7"/>
    </row>
    <row r="288" spans="1:3" x14ac:dyDescent="0.35">
      <c r="A288" s="4"/>
      <c r="B288" s="9"/>
      <c r="C288" s="7"/>
    </row>
    <row r="289" spans="1:33" x14ac:dyDescent="0.35">
      <c r="A289" s="4"/>
      <c r="B289" s="9"/>
      <c r="C289" s="7"/>
    </row>
    <row r="290" spans="1:33" x14ac:dyDescent="0.35">
      <c r="A290" s="4"/>
      <c r="B290" s="9"/>
      <c r="C290" s="7"/>
    </row>
    <row r="291" spans="1:33" x14ac:dyDescent="0.35">
      <c r="A291" s="4"/>
      <c r="B291" s="9"/>
      <c r="C291" s="7"/>
    </row>
    <row r="292" spans="1:33" x14ac:dyDescent="0.35">
      <c r="A292" s="4"/>
      <c r="B292" s="9"/>
      <c r="C292" s="7"/>
    </row>
    <row r="293" spans="1:33" x14ac:dyDescent="0.35">
      <c r="A293" s="4"/>
      <c r="B293" s="9"/>
      <c r="C293" s="7"/>
    </row>
    <row r="294" spans="1:33" x14ac:dyDescent="0.35">
      <c r="A294" s="4"/>
      <c r="B294" s="9"/>
      <c r="C294" s="7"/>
    </row>
    <row r="295" spans="1:33" x14ac:dyDescent="0.35">
      <c r="A295" s="4"/>
      <c r="B295" s="9"/>
      <c r="C295" s="7"/>
    </row>
    <row r="296" spans="1:33" x14ac:dyDescent="0.35">
      <c r="A296" s="4"/>
      <c r="B296" s="9"/>
      <c r="C296" s="7"/>
    </row>
    <row r="297" spans="1:33" x14ac:dyDescent="0.35">
      <c r="A297" s="4"/>
      <c r="B297" s="9"/>
      <c r="C297" s="7"/>
    </row>
    <row r="298" spans="1:33" x14ac:dyDescent="0.35">
      <c r="A298" s="4"/>
      <c r="B298" s="9"/>
      <c r="C298" s="7"/>
    </row>
    <row r="299" spans="1:33" x14ac:dyDescent="0.35">
      <c r="A299" s="4"/>
      <c r="B299" s="9"/>
      <c r="C299" s="7"/>
    </row>
    <row r="300" spans="1:33" x14ac:dyDescent="0.35">
      <c r="A300" s="4"/>
      <c r="B300" s="9"/>
      <c r="C300" s="7"/>
    </row>
    <row r="301" spans="1:33" x14ac:dyDescent="0.35">
      <c r="A301" s="4"/>
      <c r="B301" s="9"/>
      <c r="C301" s="7"/>
    </row>
    <row r="302" spans="1:33" x14ac:dyDescent="0.35">
      <c r="A302" s="4"/>
      <c r="B302" s="9"/>
      <c r="C302" s="7"/>
    </row>
    <row r="303" spans="1:33" x14ac:dyDescent="0.35">
      <c r="A303" s="4"/>
      <c r="B303" s="9"/>
      <c r="C303" s="7"/>
    </row>
    <row r="304" spans="1:33" x14ac:dyDescent="0.35">
      <c r="A304" s="4"/>
      <c r="B304" s="9"/>
      <c r="C304" s="7"/>
      <c r="AG304" t="s">
        <v>158</v>
      </c>
    </row>
  </sheetData>
  <autoFilter ref="P1:P304" xr:uid="{00000000-0009-0000-0000-000001000000}"/>
  <mergeCells count="10">
    <mergeCell ref="R4:X4"/>
    <mergeCell ref="R2:Y3"/>
    <mergeCell ref="B4:D4"/>
    <mergeCell ref="E4:G4"/>
    <mergeCell ref="H4:N4"/>
    <mergeCell ref="P4:Q4"/>
    <mergeCell ref="E1:G3"/>
    <mergeCell ref="A1:D1"/>
    <mergeCell ref="A2:D2"/>
    <mergeCell ref="A3:D3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F84B-CA25-489E-9279-9DB7164EA5F1}">
  <sheetPr codeName="Hoja4">
    <tabColor theme="8" tint="-0.499984740745262"/>
  </sheetPr>
  <dimension ref="A1:AF1048576"/>
  <sheetViews>
    <sheetView tabSelected="1" topLeftCell="L26" zoomScale="120" zoomScaleNormal="120" workbookViewId="0">
      <selection activeCell="P32" sqref="P32"/>
    </sheetView>
  </sheetViews>
  <sheetFormatPr baseColWidth="10" defaultRowHeight="14.5" x14ac:dyDescent="0.35"/>
  <cols>
    <col min="1" max="1" width="18.7265625" customWidth="1"/>
    <col min="2" max="2" width="17.81640625" customWidth="1"/>
    <col min="3" max="3" width="19.81640625" customWidth="1"/>
    <col min="4" max="4" width="37.1796875" customWidth="1"/>
    <col min="5" max="5" width="15.7265625" customWidth="1"/>
    <col min="6" max="6" width="16.81640625" customWidth="1"/>
    <col min="7" max="7" width="16.7265625" customWidth="1"/>
    <col min="8" max="8" width="17.1796875" customWidth="1"/>
    <col min="9" max="9" width="22.453125" customWidth="1"/>
    <col min="10" max="10" width="21" customWidth="1"/>
    <col min="11" max="11" width="26.26953125" customWidth="1"/>
    <col min="12" max="12" width="16.453125" customWidth="1"/>
    <col min="13" max="13" width="19.453125" customWidth="1"/>
    <col min="14" max="14" width="22.7265625" customWidth="1"/>
    <col min="15" max="15" width="15.453125" customWidth="1"/>
    <col min="16" max="16" width="16.54296875" customWidth="1"/>
    <col min="17" max="17" width="23.453125" customWidth="1"/>
    <col min="18" max="18" width="21.453125" customWidth="1"/>
  </cols>
  <sheetData>
    <row r="1" spans="1:19" ht="21.75" customHeight="1" x14ac:dyDescent="0.35">
      <c r="A1" s="378" t="s">
        <v>8</v>
      </c>
      <c r="B1" s="378"/>
      <c r="C1" s="379"/>
      <c r="D1" s="376" t="s">
        <v>89</v>
      </c>
      <c r="E1" s="377"/>
      <c r="F1" s="377"/>
      <c r="G1" s="377"/>
      <c r="H1" s="377"/>
      <c r="I1" s="377"/>
      <c r="J1" s="377"/>
      <c r="K1" s="377"/>
    </row>
    <row r="2" spans="1:19" ht="12.75" customHeight="1" x14ac:dyDescent="0.35">
      <c r="A2" s="378" t="s">
        <v>0</v>
      </c>
      <c r="B2" s="378"/>
      <c r="C2" s="379"/>
      <c r="D2" s="376"/>
      <c r="E2" s="377"/>
      <c r="F2" s="377"/>
      <c r="G2" s="377"/>
      <c r="H2" s="377"/>
      <c r="I2" s="377"/>
      <c r="J2" s="377"/>
      <c r="K2" s="377"/>
    </row>
    <row r="3" spans="1:19" ht="19.5" customHeight="1" x14ac:dyDescent="0.35">
      <c r="A3" s="380" t="s">
        <v>27</v>
      </c>
      <c r="B3" s="380"/>
      <c r="C3" s="381"/>
      <c r="D3" s="376"/>
      <c r="E3" s="377"/>
      <c r="F3" s="377"/>
      <c r="G3" s="377"/>
      <c r="H3" s="377"/>
      <c r="I3" s="377"/>
      <c r="J3" s="377"/>
      <c r="K3" s="377"/>
    </row>
    <row r="4" spans="1:19" ht="15.5" x14ac:dyDescent="0.35">
      <c r="A4" s="123"/>
      <c r="B4" s="360" t="s">
        <v>10</v>
      </c>
      <c r="C4" s="360"/>
      <c r="D4" s="360"/>
      <c r="E4" s="373" t="s">
        <v>12</v>
      </c>
      <c r="F4" s="373"/>
      <c r="G4" s="373"/>
      <c r="H4" s="354" t="s">
        <v>13</v>
      </c>
      <c r="I4" s="354"/>
      <c r="J4" s="196" t="s">
        <v>31</v>
      </c>
      <c r="K4" s="374" t="s">
        <v>21</v>
      </c>
      <c r="L4" s="375"/>
      <c r="M4" s="375"/>
      <c r="N4" s="375"/>
      <c r="O4" s="375"/>
      <c r="P4" s="375"/>
      <c r="Q4" s="375"/>
      <c r="R4" s="197"/>
      <c r="S4" s="197"/>
    </row>
    <row r="5" spans="1:19" ht="15.5" x14ac:dyDescent="0.35">
      <c r="A5" s="105" t="s">
        <v>1</v>
      </c>
      <c r="B5" s="105" t="s">
        <v>2</v>
      </c>
      <c r="C5" s="105" t="s">
        <v>3</v>
      </c>
      <c r="D5" s="310" t="s">
        <v>11</v>
      </c>
      <c r="E5" s="165" t="s">
        <v>4</v>
      </c>
      <c r="F5" s="165" t="s">
        <v>5</v>
      </c>
      <c r="G5" s="165" t="s">
        <v>6</v>
      </c>
      <c r="H5" s="105" t="s">
        <v>39</v>
      </c>
      <c r="I5" s="105" t="s">
        <v>40</v>
      </c>
      <c r="J5" s="105" t="s">
        <v>41</v>
      </c>
      <c r="K5" s="105" t="s">
        <v>22</v>
      </c>
      <c r="L5" s="198" t="s">
        <v>74</v>
      </c>
      <c r="M5" s="199" t="s">
        <v>75</v>
      </c>
      <c r="N5" s="200" t="s">
        <v>76</v>
      </c>
      <c r="O5" s="199" t="s">
        <v>77</v>
      </c>
      <c r="P5" s="201" t="s">
        <v>154</v>
      </c>
      <c r="Q5" s="200" t="s">
        <v>78</v>
      </c>
      <c r="R5" s="203" t="s">
        <v>155</v>
      </c>
      <c r="S5" s="197"/>
    </row>
    <row r="6" spans="1:19" ht="21" customHeight="1" x14ac:dyDescent="0.35">
      <c r="A6" s="103"/>
      <c r="B6" s="72"/>
      <c r="C6" s="72"/>
      <c r="D6" s="202"/>
      <c r="E6" s="326">
        <v>0</v>
      </c>
      <c r="F6" s="152"/>
      <c r="G6" s="75"/>
      <c r="H6" s="113"/>
      <c r="I6" s="184"/>
      <c r="J6" s="185" t="s">
        <v>142</v>
      </c>
      <c r="K6" s="106"/>
      <c r="L6" s="146"/>
      <c r="M6" s="43"/>
      <c r="N6" s="43"/>
      <c r="O6" s="43"/>
      <c r="P6" s="43"/>
      <c r="Q6" s="43"/>
      <c r="R6" s="11"/>
    </row>
    <row r="7" spans="1:19" ht="15.5" x14ac:dyDescent="0.35">
      <c r="A7" s="103">
        <v>46082</v>
      </c>
      <c r="B7" s="81">
        <v>0.33333333333333331</v>
      </c>
      <c r="C7" s="81">
        <v>0.52083333333333337</v>
      </c>
      <c r="D7" s="202">
        <f t="shared" ref="D7:D16" si="0">+C7-B7</f>
        <v>0.18750000000000006</v>
      </c>
      <c r="E7" s="80">
        <v>61714</v>
      </c>
      <c r="F7" s="231">
        <v>61892</v>
      </c>
      <c r="G7" s="353">
        <f>(F7-E7)/100</f>
        <v>1.78</v>
      </c>
      <c r="H7" s="151">
        <v>149</v>
      </c>
      <c r="I7" s="184">
        <f t="shared" ref="I7:I16" si="1">+H7</f>
        <v>149</v>
      </c>
      <c r="J7" s="185">
        <f t="shared" ref="J7:J22" si="2">+H7/G7</f>
        <v>83.707865168539328</v>
      </c>
      <c r="K7" s="77" t="s">
        <v>164</v>
      </c>
      <c r="L7" s="146"/>
      <c r="M7" s="57"/>
      <c r="N7" s="57"/>
      <c r="O7" s="57"/>
      <c r="P7" s="57">
        <v>56</v>
      </c>
      <c r="Q7" s="57"/>
      <c r="R7" s="40"/>
    </row>
    <row r="8" spans="1:19" ht="15.5" x14ac:dyDescent="0.35">
      <c r="A8" s="103">
        <v>46083</v>
      </c>
      <c r="B8" s="81">
        <v>0.39652777777777776</v>
      </c>
      <c r="C8" s="81">
        <v>0.49305555555555558</v>
      </c>
      <c r="D8" s="202">
        <f t="shared" si="0"/>
        <v>9.6527777777777823E-2</v>
      </c>
      <c r="E8" s="80">
        <f t="shared" ref="E8:E68" si="3">F7</f>
        <v>61892</v>
      </c>
      <c r="F8" s="231">
        <v>61989</v>
      </c>
      <c r="G8" s="302">
        <f t="shared" ref="G8:G37" si="4">(F8-E8)/100</f>
        <v>0.97</v>
      </c>
      <c r="H8" s="151">
        <v>63</v>
      </c>
      <c r="I8" s="184">
        <f t="shared" si="1"/>
        <v>63</v>
      </c>
      <c r="J8" s="185">
        <f t="shared" si="2"/>
        <v>64.948453608247419</v>
      </c>
      <c r="K8" s="77" t="s">
        <v>172</v>
      </c>
      <c r="L8" s="146">
        <v>7</v>
      </c>
      <c r="M8" s="57"/>
      <c r="N8" s="57"/>
      <c r="O8" s="57"/>
      <c r="P8" s="57"/>
      <c r="Q8" s="57"/>
      <c r="R8" s="40"/>
    </row>
    <row r="9" spans="1:19" ht="15.5" x14ac:dyDescent="0.35">
      <c r="A9" s="103">
        <v>46083</v>
      </c>
      <c r="B9" s="81">
        <v>0.67361111111111116</v>
      </c>
      <c r="C9" s="81">
        <v>0.75</v>
      </c>
      <c r="D9" s="202">
        <f t="shared" si="0"/>
        <v>7.638888888888884E-2</v>
      </c>
      <c r="E9" s="80">
        <f t="shared" si="3"/>
        <v>61989</v>
      </c>
      <c r="F9" s="231">
        <v>62065</v>
      </c>
      <c r="G9" s="302">
        <v>6</v>
      </c>
      <c r="H9" s="151">
        <v>58</v>
      </c>
      <c r="I9" s="184">
        <f t="shared" si="1"/>
        <v>58</v>
      </c>
      <c r="J9" s="185">
        <f t="shared" si="2"/>
        <v>9.6666666666666661</v>
      </c>
      <c r="K9" s="107" t="s">
        <v>195</v>
      </c>
      <c r="L9" s="146"/>
      <c r="M9" s="57"/>
      <c r="N9" s="57"/>
      <c r="O9" s="57"/>
      <c r="P9" s="57"/>
      <c r="Q9" s="57"/>
      <c r="R9" s="40"/>
    </row>
    <row r="10" spans="1:19" ht="15.5" x14ac:dyDescent="0.35">
      <c r="A10" s="103">
        <v>46083</v>
      </c>
      <c r="B10" s="81">
        <v>3.888888888888889E-2</v>
      </c>
      <c r="C10" s="81">
        <v>5.347222222222222E-2</v>
      </c>
      <c r="D10" s="202">
        <f t="shared" si="0"/>
        <v>1.458333333333333E-2</v>
      </c>
      <c r="E10" s="80">
        <f t="shared" si="3"/>
        <v>62065</v>
      </c>
      <c r="F10" s="231">
        <v>62095</v>
      </c>
      <c r="G10" s="302">
        <v>3</v>
      </c>
      <c r="H10" s="151">
        <v>23</v>
      </c>
      <c r="I10" s="184">
        <f t="shared" si="1"/>
        <v>23</v>
      </c>
      <c r="J10" s="185">
        <f t="shared" si="2"/>
        <v>7.666666666666667</v>
      </c>
      <c r="K10" s="107" t="s">
        <v>164</v>
      </c>
      <c r="L10" s="146"/>
      <c r="M10" s="43"/>
      <c r="N10" s="43"/>
      <c r="O10" s="43"/>
      <c r="P10" s="43">
        <v>84</v>
      </c>
      <c r="Q10" s="43"/>
      <c r="R10" s="11"/>
    </row>
    <row r="11" spans="1:19" ht="15.5" x14ac:dyDescent="0.35">
      <c r="A11" s="103">
        <v>46084</v>
      </c>
      <c r="B11" s="81">
        <v>0.38541666666666669</v>
      </c>
      <c r="C11" s="81">
        <v>0.67361111111111116</v>
      </c>
      <c r="D11" s="202">
        <f t="shared" si="0"/>
        <v>0.28819444444444448</v>
      </c>
      <c r="E11" s="80">
        <f t="shared" si="3"/>
        <v>62095</v>
      </c>
      <c r="F11" s="231">
        <v>62297</v>
      </c>
      <c r="G11" s="302">
        <v>2</v>
      </c>
      <c r="H11" s="151">
        <v>166</v>
      </c>
      <c r="I11" s="184">
        <f t="shared" si="1"/>
        <v>166</v>
      </c>
      <c r="J11" s="185">
        <f t="shared" si="2"/>
        <v>83</v>
      </c>
      <c r="K11" s="77" t="s">
        <v>174</v>
      </c>
      <c r="L11" s="146"/>
      <c r="M11" s="57"/>
      <c r="N11" s="57"/>
      <c r="O11" s="57"/>
      <c r="P11" s="57"/>
      <c r="Q11" s="57"/>
      <c r="R11" s="40"/>
    </row>
    <row r="12" spans="1:19" ht="15.5" x14ac:dyDescent="0.35">
      <c r="A12" s="103">
        <v>46085</v>
      </c>
      <c r="B12" s="81">
        <v>0.3125</v>
      </c>
      <c r="C12" s="81">
        <v>0.72777777777777775</v>
      </c>
      <c r="D12" s="202">
        <f t="shared" si="0"/>
        <v>0.41527777777777775</v>
      </c>
      <c r="E12" s="80">
        <f t="shared" si="3"/>
        <v>62297</v>
      </c>
      <c r="F12" s="231">
        <v>62781</v>
      </c>
      <c r="G12" s="302">
        <f t="shared" si="4"/>
        <v>4.84</v>
      </c>
      <c r="H12" s="151">
        <v>159</v>
      </c>
      <c r="I12" s="184">
        <f t="shared" si="1"/>
        <v>159</v>
      </c>
      <c r="J12" s="185">
        <f t="shared" si="2"/>
        <v>32.851239669421489</v>
      </c>
      <c r="K12" s="77" t="s">
        <v>172</v>
      </c>
      <c r="L12" s="146"/>
      <c r="M12" s="57"/>
      <c r="N12" s="57"/>
      <c r="O12" s="57"/>
      <c r="P12" s="57"/>
      <c r="Q12" s="57"/>
      <c r="R12" s="40"/>
    </row>
    <row r="13" spans="1:19" ht="15.5" x14ac:dyDescent="0.35">
      <c r="A13" s="103">
        <v>46085</v>
      </c>
      <c r="B13" s="81">
        <v>0.7944444444444444</v>
      </c>
      <c r="C13" s="81">
        <v>0.81944444444444442</v>
      </c>
      <c r="D13" s="202">
        <f t="shared" si="0"/>
        <v>2.5000000000000022E-2</v>
      </c>
      <c r="E13" s="80">
        <f t="shared" si="3"/>
        <v>62781</v>
      </c>
      <c r="F13" s="231">
        <v>62842</v>
      </c>
      <c r="G13" s="302">
        <f t="shared" si="4"/>
        <v>0.61</v>
      </c>
      <c r="H13" s="151">
        <v>53</v>
      </c>
      <c r="I13" s="184">
        <f t="shared" si="1"/>
        <v>53</v>
      </c>
      <c r="J13" s="185">
        <f t="shared" si="2"/>
        <v>86.885245901639351</v>
      </c>
      <c r="K13" s="107" t="s">
        <v>170</v>
      </c>
      <c r="L13" s="146">
        <v>10</v>
      </c>
      <c r="M13" s="57"/>
      <c r="N13" s="57"/>
      <c r="O13" s="57"/>
      <c r="P13" s="57"/>
      <c r="Q13" s="57"/>
      <c r="R13" s="40"/>
    </row>
    <row r="14" spans="1:19" ht="19.5" customHeight="1" x14ac:dyDescent="0.35">
      <c r="A14" s="103">
        <v>46086</v>
      </c>
      <c r="B14" s="81">
        <v>0.39930555555555558</v>
      </c>
      <c r="C14" s="81">
        <v>0.54513888888888884</v>
      </c>
      <c r="D14" s="202">
        <f t="shared" si="0"/>
        <v>0.14583333333333326</v>
      </c>
      <c r="E14" s="80">
        <f t="shared" si="3"/>
        <v>62842</v>
      </c>
      <c r="F14" s="323">
        <v>63000</v>
      </c>
      <c r="G14" s="302">
        <f t="shared" si="4"/>
        <v>1.58</v>
      </c>
      <c r="H14" s="76">
        <v>128</v>
      </c>
      <c r="I14" s="184">
        <f t="shared" si="1"/>
        <v>128</v>
      </c>
      <c r="J14" s="185">
        <f t="shared" si="2"/>
        <v>81.012658227848092</v>
      </c>
      <c r="K14" s="107" t="s">
        <v>172</v>
      </c>
      <c r="L14" s="146"/>
      <c r="M14" s="57"/>
      <c r="N14" s="57"/>
      <c r="O14" s="57"/>
      <c r="P14" s="57"/>
      <c r="Q14" s="57"/>
      <c r="R14" s="40"/>
    </row>
    <row r="15" spans="1:19" ht="15.5" x14ac:dyDescent="0.35">
      <c r="A15" s="103">
        <v>46086</v>
      </c>
      <c r="B15" s="81">
        <v>0.79791666666666672</v>
      </c>
      <c r="C15" s="81">
        <v>0.86388888888888893</v>
      </c>
      <c r="D15" s="202">
        <f t="shared" si="0"/>
        <v>6.597222222222221E-2</v>
      </c>
      <c r="E15" s="80">
        <f t="shared" si="3"/>
        <v>63000</v>
      </c>
      <c r="F15" s="323">
        <v>63067</v>
      </c>
      <c r="G15" s="302">
        <f t="shared" si="4"/>
        <v>0.67</v>
      </c>
      <c r="H15" s="76">
        <v>59</v>
      </c>
      <c r="I15" s="184">
        <f>+H15</f>
        <v>59</v>
      </c>
      <c r="J15" s="185">
        <f>+H15/G15</f>
        <v>88.059701492537314</v>
      </c>
      <c r="K15" s="107" t="s">
        <v>170</v>
      </c>
      <c r="L15" s="146">
        <v>11</v>
      </c>
      <c r="M15" s="57"/>
      <c r="N15" s="57"/>
      <c r="O15" s="57"/>
      <c r="P15" s="57"/>
      <c r="Q15" s="57"/>
      <c r="R15" s="40"/>
    </row>
    <row r="16" spans="1:19" ht="15.5" x14ac:dyDescent="0.35">
      <c r="A16" s="103">
        <v>46087</v>
      </c>
      <c r="B16" s="81">
        <v>0.41805555555555557</v>
      </c>
      <c r="C16" s="81">
        <v>0.57291666666666663</v>
      </c>
      <c r="D16" s="202">
        <f t="shared" si="0"/>
        <v>0.15486111111111106</v>
      </c>
      <c r="E16" s="80">
        <f t="shared" si="3"/>
        <v>63067</v>
      </c>
      <c r="F16" s="323">
        <v>63226</v>
      </c>
      <c r="G16" s="302">
        <f t="shared" si="4"/>
        <v>1.59</v>
      </c>
      <c r="H16" s="76">
        <v>120</v>
      </c>
      <c r="I16" s="184">
        <f t="shared" si="1"/>
        <v>120</v>
      </c>
      <c r="J16" s="185">
        <f t="shared" si="2"/>
        <v>75.471698113207538</v>
      </c>
      <c r="K16" s="107" t="s">
        <v>172</v>
      </c>
      <c r="L16" s="146"/>
      <c r="M16" s="57"/>
      <c r="N16" s="57"/>
      <c r="O16" s="57"/>
      <c r="P16" s="57"/>
      <c r="Q16" s="57"/>
      <c r="R16" s="40"/>
    </row>
    <row r="17" spans="1:32" ht="15.5" x14ac:dyDescent="0.35">
      <c r="A17" s="103">
        <v>46087</v>
      </c>
      <c r="B17" s="81">
        <v>0.95</v>
      </c>
      <c r="C17" s="81">
        <v>0.9604166666666667</v>
      </c>
      <c r="D17" s="202">
        <f t="shared" ref="D17:D37" si="5">+C17-B17</f>
        <v>1.0416666666666741E-2</v>
      </c>
      <c r="E17" s="80">
        <f t="shared" si="3"/>
        <v>63226</v>
      </c>
      <c r="F17" s="323">
        <v>63294</v>
      </c>
      <c r="G17" s="302">
        <f>(F17-E17)/100</f>
        <v>0.68</v>
      </c>
      <c r="H17" s="76">
        <v>13</v>
      </c>
      <c r="I17" s="184">
        <f>+H17</f>
        <v>13</v>
      </c>
      <c r="J17" s="185">
        <f>+H17/G17</f>
        <v>19.117647058823529</v>
      </c>
      <c r="K17" s="107" t="s">
        <v>164</v>
      </c>
      <c r="L17" s="146"/>
      <c r="M17" s="57"/>
      <c r="N17" s="57"/>
      <c r="O17" s="57"/>
      <c r="P17" s="57">
        <v>84</v>
      </c>
      <c r="Q17" s="57"/>
      <c r="R17" s="40"/>
    </row>
    <row r="18" spans="1:32" ht="15.5" x14ac:dyDescent="0.35">
      <c r="A18" s="103">
        <v>46088</v>
      </c>
      <c r="B18" s="81">
        <v>0.61458333333333337</v>
      </c>
      <c r="C18" s="81">
        <v>0.65416666666666667</v>
      </c>
      <c r="D18" s="202">
        <f t="shared" si="5"/>
        <v>3.9583333333333304E-2</v>
      </c>
      <c r="E18" s="80">
        <f t="shared" si="3"/>
        <v>63294</v>
      </c>
      <c r="F18" s="323">
        <v>63383</v>
      </c>
      <c r="G18" s="302">
        <v>5</v>
      </c>
      <c r="H18" s="76">
        <v>79</v>
      </c>
      <c r="I18" s="184">
        <f>+H18</f>
        <v>79</v>
      </c>
      <c r="J18" s="185">
        <f>+H18/G18</f>
        <v>15.8</v>
      </c>
      <c r="K18" s="107" t="s">
        <v>172</v>
      </c>
      <c r="L18" s="146"/>
      <c r="M18" s="57"/>
      <c r="N18" s="57"/>
      <c r="O18" s="57"/>
      <c r="P18" s="57">
        <v>56</v>
      </c>
      <c r="Q18" s="57"/>
      <c r="R18" s="40"/>
    </row>
    <row r="19" spans="1:32" ht="15.5" x14ac:dyDescent="0.35">
      <c r="A19" s="103">
        <v>46089</v>
      </c>
      <c r="B19" s="81">
        <v>0.59375</v>
      </c>
      <c r="C19" s="81">
        <v>0.61944444444444446</v>
      </c>
      <c r="D19" s="202">
        <f t="shared" si="5"/>
        <v>2.5694444444444464E-2</v>
      </c>
      <c r="E19" s="80">
        <f t="shared" si="3"/>
        <v>63383</v>
      </c>
      <c r="F19" s="323">
        <v>63544</v>
      </c>
      <c r="G19" s="302">
        <v>1</v>
      </c>
      <c r="H19" s="76">
        <v>30</v>
      </c>
      <c r="I19" s="184">
        <f>+H19</f>
        <v>30</v>
      </c>
      <c r="J19" s="185">
        <f>+H19/G19</f>
        <v>30</v>
      </c>
      <c r="K19" s="77" t="s">
        <v>172</v>
      </c>
      <c r="L19" s="146"/>
      <c r="M19" s="57"/>
      <c r="N19" s="57"/>
      <c r="O19" s="57"/>
      <c r="P19" s="57"/>
      <c r="Q19" s="57"/>
      <c r="R19" s="40"/>
    </row>
    <row r="20" spans="1:32" ht="15.5" x14ac:dyDescent="0.35">
      <c r="A20" s="103">
        <v>46090</v>
      </c>
      <c r="B20" s="81">
        <v>0.37777777777777777</v>
      </c>
      <c r="C20" s="81">
        <v>0.46180555555555558</v>
      </c>
      <c r="D20" s="202">
        <f t="shared" si="5"/>
        <v>8.4027777777777812E-2</v>
      </c>
      <c r="E20" s="80">
        <f t="shared" si="3"/>
        <v>63544</v>
      </c>
      <c r="F20" s="323">
        <v>63668</v>
      </c>
      <c r="G20" s="302">
        <v>1</v>
      </c>
      <c r="H20" s="76">
        <v>72</v>
      </c>
      <c r="I20" s="184">
        <f t="shared" ref="I20:I35" si="6">+H20</f>
        <v>72</v>
      </c>
      <c r="J20" s="185">
        <f t="shared" si="2"/>
        <v>72</v>
      </c>
      <c r="K20" s="107" t="s">
        <v>174</v>
      </c>
      <c r="L20" s="146"/>
      <c r="M20" s="57"/>
      <c r="N20" s="57"/>
      <c r="O20" s="57"/>
      <c r="P20" s="57"/>
      <c r="Q20" s="57"/>
      <c r="R20" s="40"/>
    </row>
    <row r="21" spans="1:32" ht="15.5" x14ac:dyDescent="0.35">
      <c r="A21" s="103">
        <v>46090</v>
      </c>
      <c r="B21" s="81">
        <v>0.95138888888888884</v>
      </c>
      <c r="C21" s="81">
        <v>0.9916666666666667</v>
      </c>
      <c r="D21" s="202">
        <f t="shared" si="5"/>
        <v>4.0277777777777857E-2</v>
      </c>
      <c r="E21" s="80">
        <f t="shared" si="3"/>
        <v>63668</v>
      </c>
      <c r="F21" s="323">
        <v>63784</v>
      </c>
      <c r="G21" s="302">
        <v>4</v>
      </c>
      <c r="H21" s="76">
        <v>63</v>
      </c>
      <c r="I21" s="184">
        <f t="shared" si="6"/>
        <v>63</v>
      </c>
      <c r="J21" s="185">
        <f t="shared" si="2"/>
        <v>15.75</v>
      </c>
      <c r="K21" s="107" t="s">
        <v>170</v>
      </c>
      <c r="L21" s="146"/>
      <c r="M21" s="57"/>
      <c r="N21" s="57"/>
      <c r="O21" s="57"/>
      <c r="P21" s="57">
        <v>56</v>
      </c>
      <c r="Q21" s="57"/>
      <c r="R21" s="40"/>
    </row>
    <row r="22" spans="1:32" ht="15.5" x14ac:dyDescent="0.35">
      <c r="A22" s="103">
        <v>46091</v>
      </c>
      <c r="B22" s="81">
        <v>0.39930555555555558</v>
      </c>
      <c r="C22" s="81">
        <v>0.58333333333333337</v>
      </c>
      <c r="D22" s="202">
        <f t="shared" si="5"/>
        <v>0.18402777777777779</v>
      </c>
      <c r="E22" s="80">
        <f t="shared" si="3"/>
        <v>63784</v>
      </c>
      <c r="F22" s="323">
        <v>63868</v>
      </c>
      <c r="G22" s="302">
        <f t="shared" si="4"/>
        <v>0.84</v>
      </c>
      <c r="H22" s="76">
        <v>84</v>
      </c>
      <c r="I22" s="184">
        <f t="shared" si="6"/>
        <v>84</v>
      </c>
      <c r="J22" s="185">
        <f t="shared" si="2"/>
        <v>100</v>
      </c>
      <c r="K22" s="107" t="s">
        <v>174</v>
      </c>
      <c r="L22" s="146"/>
      <c r="M22" s="57"/>
      <c r="N22" s="57"/>
      <c r="O22" s="57"/>
      <c r="P22" s="57"/>
      <c r="Q22" s="57"/>
      <c r="R22" s="40"/>
    </row>
    <row r="23" spans="1:32" ht="15.5" x14ac:dyDescent="0.35">
      <c r="A23" s="103">
        <v>46091</v>
      </c>
      <c r="B23" s="81">
        <v>0.94027777777777777</v>
      </c>
      <c r="C23" s="81">
        <v>0.96111111111111114</v>
      </c>
      <c r="D23" s="202">
        <f t="shared" si="5"/>
        <v>2.083333333333337E-2</v>
      </c>
      <c r="E23" s="80">
        <f t="shared" si="3"/>
        <v>63868</v>
      </c>
      <c r="F23" s="323">
        <v>63925</v>
      </c>
      <c r="G23" s="302">
        <f t="shared" si="4"/>
        <v>0.56999999999999995</v>
      </c>
      <c r="H23" s="76">
        <v>40</v>
      </c>
      <c r="I23" s="184">
        <f t="shared" si="6"/>
        <v>40</v>
      </c>
      <c r="J23" s="185">
        <f t="shared" ref="J23:J37" si="7">+H23/G23</f>
        <v>70.175438596491233</v>
      </c>
      <c r="K23" s="107" t="s">
        <v>170</v>
      </c>
      <c r="L23" s="146"/>
      <c r="M23" s="57"/>
      <c r="N23" s="57"/>
      <c r="O23" s="57"/>
      <c r="P23" s="57">
        <v>56</v>
      </c>
      <c r="Q23" s="57"/>
      <c r="R23" s="40"/>
    </row>
    <row r="24" spans="1:32" ht="15.5" x14ac:dyDescent="0.35">
      <c r="A24" s="103">
        <v>46092</v>
      </c>
      <c r="B24" s="81">
        <v>0.44791666666666669</v>
      </c>
      <c r="C24" s="81">
        <v>0.55138888888888893</v>
      </c>
      <c r="D24" s="202">
        <f t="shared" si="5"/>
        <v>0.10347222222222224</v>
      </c>
      <c r="E24" s="80">
        <f t="shared" si="3"/>
        <v>63925</v>
      </c>
      <c r="F24" s="323">
        <v>64022</v>
      </c>
      <c r="G24" s="302">
        <v>8</v>
      </c>
      <c r="H24" s="76">
        <v>62</v>
      </c>
      <c r="I24" s="184">
        <f t="shared" si="6"/>
        <v>62</v>
      </c>
      <c r="J24" s="185">
        <f t="shared" si="7"/>
        <v>7.75</v>
      </c>
      <c r="K24" s="107" t="s">
        <v>172</v>
      </c>
      <c r="L24" s="146"/>
      <c r="M24" s="57"/>
      <c r="N24" s="57"/>
      <c r="O24" s="57"/>
      <c r="P24" s="57"/>
      <c r="Q24" s="57"/>
      <c r="R24" s="40"/>
    </row>
    <row r="25" spans="1:32" ht="15.5" x14ac:dyDescent="0.35">
      <c r="A25" s="103">
        <v>46092</v>
      </c>
      <c r="B25" s="81">
        <v>0.75</v>
      </c>
      <c r="C25" s="81">
        <v>0.84027777777777779</v>
      </c>
      <c r="D25" s="202">
        <f t="shared" si="5"/>
        <v>9.027777777777779E-2</v>
      </c>
      <c r="E25" s="80">
        <f t="shared" si="3"/>
        <v>64022</v>
      </c>
      <c r="F25" s="323">
        <v>64119</v>
      </c>
      <c r="G25" s="302">
        <f t="shared" si="4"/>
        <v>0.97</v>
      </c>
      <c r="H25" s="76">
        <v>94</v>
      </c>
      <c r="I25" s="184">
        <f t="shared" si="6"/>
        <v>94</v>
      </c>
      <c r="J25" s="185">
        <f t="shared" si="7"/>
        <v>96.907216494845358</v>
      </c>
      <c r="K25" s="107" t="s">
        <v>195</v>
      </c>
      <c r="L25" s="146"/>
      <c r="M25" s="57"/>
      <c r="N25" s="57"/>
      <c r="O25" s="57"/>
      <c r="P25" s="57"/>
      <c r="Q25" s="57"/>
      <c r="R25" s="40"/>
    </row>
    <row r="26" spans="1:32" ht="15.5" x14ac:dyDescent="0.35">
      <c r="A26" s="103">
        <v>46093</v>
      </c>
      <c r="B26" s="81">
        <v>0.40972222222222221</v>
      </c>
      <c r="C26" s="81">
        <v>0.49305555555555558</v>
      </c>
      <c r="D26" s="202">
        <f t="shared" si="5"/>
        <v>8.333333333333337E-2</v>
      </c>
      <c r="E26" s="80">
        <f t="shared" si="3"/>
        <v>64119</v>
      </c>
      <c r="F26" s="323">
        <v>64215</v>
      </c>
      <c r="G26" s="302">
        <f t="shared" si="4"/>
        <v>0.96</v>
      </c>
      <c r="H26" s="76">
        <v>76</v>
      </c>
      <c r="I26" s="184">
        <f t="shared" si="6"/>
        <v>76</v>
      </c>
      <c r="J26" s="185">
        <f t="shared" si="7"/>
        <v>79.166666666666671</v>
      </c>
      <c r="K26" s="107" t="s">
        <v>164</v>
      </c>
      <c r="L26" s="146"/>
      <c r="M26" s="57"/>
      <c r="N26" s="57"/>
      <c r="O26" s="57"/>
      <c r="P26" s="57"/>
      <c r="Q26" s="57"/>
      <c r="R26" s="40"/>
    </row>
    <row r="27" spans="1:32" ht="15.5" x14ac:dyDescent="0.35">
      <c r="A27" s="103">
        <v>46093</v>
      </c>
      <c r="B27" s="81">
        <v>0.61597222222222225</v>
      </c>
      <c r="C27" s="81">
        <v>0.70763888888888893</v>
      </c>
      <c r="D27" s="202">
        <f t="shared" si="5"/>
        <v>9.1666666666666674E-2</v>
      </c>
      <c r="E27" s="80">
        <f t="shared" si="3"/>
        <v>64215</v>
      </c>
      <c r="F27" s="323">
        <v>64288</v>
      </c>
      <c r="G27" s="302">
        <f t="shared" si="4"/>
        <v>0.73</v>
      </c>
      <c r="H27" s="76">
        <v>54</v>
      </c>
      <c r="I27" s="184">
        <f t="shared" si="6"/>
        <v>54</v>
      </c>
      <c r="J27" s="185">
        <f t="shared" si="7"/>
        <v>73.972602739726028</v>
      </c>
      <c r="K27" s="77" t="s">
        <v>172</v>
      </c>
      <c r="L27" s="146"/>
      <c r="M27" s="57"/>
      <c r="N27" s="57"/>
      <c r="O27" s="57"/>
      <c r="P27" s="57"/>
      <c r="Q27" s="57"/>
      <c r="R27" s="40"/>
    </row>
    <row r="28" spans="1:32" ht="15.5" x14ac:dyDescent="0.35">
      <c r="A28" s="103">
        <v>46093</v>
      </c>
      <c r="B28" s="81">
        <v>0.8125</v>
      </c>
      <c r="C28" s="81">
        <v>0.84027777777777779</v>
      </c>
      <c r="D28" s="202">
        <f t="shared" si="5"/>
        <v>2.777777777777779E-2</v>
      </c>
      <c r="E28" s="80">
        <f t="shared" si="3"/>
        <v>64288</v>
      </c>
      <c r="F28" s="323">
        <v>64335</v>
      </c>
      <c r="G28" s="302">
        <f t="shared" si="4"/>
        <v>0.47</v>
      </c>
      <c r="H28" s="76">
        <v>39</v>
      </c>
      <c r="I28" s="184">
        <f t="shared" si="6"/>
        <v>39</v>
      </c>
      <c r="J28" s="185">
        <f t="shared" si="7"/>
        <v>82.978723404255319</v>
      </c>
      <c r="K28" s="77" t="s">
        <v>194</v>
      </c>
      <c r="L28" s="146"/>
      <c r="M28" s="57"/>
      <c r="N28" s="57"/>
      <c r="O28" s="57"/>
      <c r="P28" s="57"/>
      <c r="Q28" s="57"/>
      <c r="R28" s="40"/>
      <c r="AF28">
        <v>2</v>
      </c>
    </row>
    <row r="29" spans="1:32" ht="15.5" x14ac:dyDescent="0.35">
      <c r="A29" s="103">
        <v>46094</v>
      </c>
      <c r="B29" s="81">
        <v>0.375</v>
      </c>
      <c r="C29" s="81">
        <v>0.57291666666666663</v>
      </c>
      <c r="D29" s="202">
        <f t="shared" si="5"/>
        <v>0.19791666666666663</v>
      </c>
      <c r="E29" s="80">
        <f t="shared" si="3"/>
        <v>64335</v>
      </c>
      <c r="F29" s="323">
        <v>64517</v>
      </c>
      <c r="G29" s="302">
        <f t="shared" si="4"/>
        <v>1.82</v>
      </c>
      <c r="H29" s="76">
        <v>143</v>
      </c>
      <c r="I29" s="184">
        <f t="shared" si="6"/>
        <v>143</v>
      </c>
      <c r="J29" s="185">
        <f t="shared" si="7"/>
        <v>78.571428571428569</v>
      </c>
      <c r="K29" s="77" t="s">
        <v>174</v>
      </c>
      <c r="L29" s="146"/>
      <c r="M29" s="57"/>
      <c r="N29" s="57"/>
      <c r="O29" s="57"/>
      <c r="P29" s="57"/>
      <c r="Q29" s="57"/>
      <c r="R29" s="40"/>
    </row>
    <row r="30" spans="1:32" ht="21" customHeight="1" x14ac:dyDescent="0.35">
      <c r="A30" s="103">
        <v>46094</v>
      </c>
      <c r="B30" s="72">
        <v>0.8125</v>
      </c>
      <c r="C30" s="72">
        <v>0.84791666666666665</v>
      </c>
      <c r="D30" s="202">
        <f t="shared" si="5"/>
        <v>3.5416666666666652E-2</v>
      </c>
      <c r="E30" s="80">
        <f t="shared" si="3"/>
        <v>64517</v>
      </c>
      <c r="F30" s="113">
        <v>64559</v>
      </c>
      <c r="G30" s="302">
        <f t="shared" si="4"/>
        <v>0.42</v>
      </c>
      <c r="H30" s="113">
        <v>34</v>
      </c>
      <c r="I30" s="184">
        <f t="shared" si="6"/>
        <v>34</v>
      </c>
      <c r="J30" s="185">
        <f t="shared" si="7"/>
        <v>80.952380952380949</v>
      </c>
      <c r="K30" s="107" t="s">
        <v>172</v>
      </c>
      <c r="L30" s="146"/>
      <c r="M30" s="43"/>
      <c r="N30" s="43"/>
      <c r="O30" s="43"/>
      <c r="P30" s="43">
        <v>56</v>
      </c>
      <c r="Q30" s="43"/>
      <c r="R30" s="11"/>
    </row>
    <row r="31" spans="1:32" ht="15.5" x14ac:dyDescent="0.35">
      <c r="A31" s="103">
        <v>46095</v>
      </c>
      <c r="B31" s="81">
        <v>0.43055555555555558</v>
      </c>
      <c r="C31" s="81">
        <v>0.65625</v>
      </c>
      <c r="D31" s="202">
        <f t="shared" si="5"/>
        <v>0.22569444444444442</v>
      </c>
      <c r="E31" s="80">
        <f t="shared" si="3"/>
        <v>64559</v>
      </c>
      <c r="F31" s="323">
        <v>64702</v>
      </c>
      <c r="G31" s="302">
        <f t="shared" si="4"/>
        <v>1.43</v>
      </c>
      <c r="H31" s="76">
        <v>88</v>
      </c>
      <c r="I31" s="184">
        <f t="shared" si="6"/>
        <v>88</v>
      </c>
      <c r="J31" s="185">
        <f t="shared" si="7"/>
        <v>61.53846153846154</v>
      </c>
      <c r="K31" s="107" t="s">
        <v>172</v>
      </c>
      <c r="L31" s="146"/>
      <c r="M31" s="57"/>
      <c r="N31" s="57"/>
      <c r="O31" s="57"/>
      <c r="P31" s="57"/>
      <c r="Q31" s="57"/>
      <c r="R31" s="40"/>
    </row>
    <row r="32" spans="1:32" ht="15.5" x14ac:dyDescent="0.35">
      <c r="A32" s="103">
        <v>46095</v>
      </c>
      <c r="B32" s="81">
        <v>0.84027777777777779</v>
      </c>
      <c r="C32" s="81">
        <v>0.88611111111111107</v>
      </c>
      <c r="D32" s="202">
        <f t="shared" si="5"/>
        <v>4.5833333333333282E-2</v>
      </c>
      <c r="E32" s="80">
        <f t="shared" si="3"/>
        <v>64702</v>
      </c>
      <c r="F32" s="323">
        <v>64753</v>
      </c>
      <c r="G32" s="302">
        <f t="shared" si="4"/>
        <v>0.51</v>
      </c>
      <c r="H32" s="76">
        <v>43</v>
      </c>
      <c r="I32" s="184">
        <f t="shared" si="6"/>
        <v>43</v>
      </c>
      <c r="J32" s="185">
        <f t="shared" si="7"/>
        <v>84.313725490196077</v>
      </c>
      <c r="K32" s="77" t="s">
        <v>195</v>
      </c>
      <c r="L32" s="146"/>
      <c r="M32" s="57"/>
      <c r="N32" s="57"/>
      <c r="O32" s="57"/>
      <c r="P32" s="57">
        <v>56</v>
      </c>
      <c r="Q32" s="57"/>
      <c r="R32" s="40"/>
    </row>
    <row r="33" spans="1:18" ht="15.5" x14ac:dyDescent="0.35">
      <c r="A33" s="103"/>
      <c r="B33" s="81"/>
      <c r="C33" s="81"/>
      <c r="D33" s="202">
        <f t="shared" si="5"/>
        <v>0</v>
      </c>
      <c r="E33" s="80">
        <f t="shared" si="3"/>
        <v>64753</v>
      </c>
      <c r="F33" s="323"/>
      <c r="G33" s="302">
        <f t="shared" si="4"/>
        <v>-647.53</v>
      </c>
      <c r="H33" s="76"/>
      <c r="I33" s="184">
        <f t="shared" si="6"/>
        <v>0</v>
      </c>
      <c r="J33" s="185">
        <f t="shared" si="7"/>
        <v>0</v>
      </c>
      <c r="K33" s="77" t="s">
        <v>174</v>
      </c>
      <c r="L33" s="146"/>
      <c r="M33" s="57"/>
      <c r="N33" s="57"/>
      <c r="O33" s="57"/>
      <c r="P33" s="57"/>
      <c r="Q33" s="57"/>
      <c r="R33" s="40"/>
    </row>
    <row r="34" spans="1:18" ht="15.5" x14ac:dyDescent="0.35">
      <c r="A34" s="103"/>
      <c r="B34" s="72"/>
      <c r="C34" s="72"/>
      <c r="D34" s="202">
        <f t="shared" si="5"/>
        <v>0</v>
      </c>
      <c r="E34" s="80">
        <f t="shared" si="3"/>
        <v>0</v>
      </c>
      <c r="F34" s="152"/>
      <c r="G34" s="302">
        <f t="shared" si="4"/>
        <v>0</v>
      </c>
      <c r="H34" s="113"/>
      <c r="I34" s="184">
        <f t="shared" si="6"/>
        <v>0</v>
      </c>
      <c r="J34" s="185" t="e">
        <f t="shared" si="7"/>
        <v>#DIV/0!</v>
      </c>
      <c r="K34" s="107"/>
      <c r="L34" s="146"/>
      <c r="M34" s="43"/>
      <c r="N34" s="43"/>
      <c r="O34" s="43"/>
      <c r="P34" s="43"/>
      <c r="Q34" s="43"/>
      <c r="R34" s="11"/>
    </row>
    <row r="35" spans="1:18" ht="15.5" x14ac:dyDescent="0.35">
      <c r="A35" s="103"/>
      <c r="B35" s="81"/>
      <c r="C35" s="81"/>
      <c r="D35" s="202">
        <f t="shared" si="5"/>
        <v>0</v>
      </c>
      <c r="E35" s="80">
        <f t="shared" si="3"/>
        <v>0</v>
      </c>
      <c r="F35" s="74"/>
      <c r="G35" s="302">
        <f t="shared" si="4"/>
        <v>0</v>
      </c>
      <c r="H35" s="76"/>
      <c r="I35" s="184">
        <f t="shared" si="6"/>
        <v>0</v>
      </c>
      <c r="J35" s="185" t="e">
        <f t="shared" si="7"/>
        <v>#DIV/0!</v>
      </c>
      <c r="K35" s="107" t="s">
        <v>174</v>
      </c>
      <c r="L35" s="146"/>
      <c r="M35" s="57"/>
      <c r="N35" s="57"/>
      <c r="O35" s="57"/>
      <c r="P35" s="57"/>
      <c r="Q35" s="57"/>
      <c r="R35" s="40"/>
    </row>
    <row r="36" spans="1:18" ht="15.5" x14ac:dyDescent="0.35">
      <c r="A36" s="103"/>
      <c r="B36" s="81"/>
      <c r="C36" s="81"/>
      <c r="D36" s="202">
        <f t="shared" si="5"/>
        <v>0</v>
      </c>
      <c r="E36" s="80">
        <f t="shared" si="3"/>
        <v>0</v>
      </c>
      <c r="F36" s="74"/>
      <c r="G36" s="302">
        <v>1</v>
      </c>
      <c r="H36" s="76"/>
      <c r="I36" s="184">
        <f t="shared" ref="I36:I45" si="8">+H36</f>
        <v>0</v>
      </c>
      <c r="J36" s="185">
        <f t="shared" si="7"/>
        <v>0</v>
      </c>
      <c r="K36" s="77" t="s">
        <v>195</v>
      </c>
      <c r="L36" s="146"/>
      <c r="M36" s="57"/>
      <c r="N36" s="57"/>
      <c r="O36" s="57"/>
      <c r="P36" s="57"/>
      <c r="Q36" s="57"/>
      <c r="R36" s="40"/>
    </row>
    <row r="37" spans="1:18" ht="15.5" x14ac:dyDescent="0.35">
      <c r="A37" s="103"/>
      <c r="B37" s="81"/>
      <c r="C37" s="81"/>
      <c r="D37" s="202">
        <f t="shared" si="5"/>
        <v>0</v>
      </c>
      <c r="E37" s="80">
        <f t="shared" si="3"/>
        <v>0</v>
      </c>
      <c r="F37" s="74"/>
      <c r="G37" s="302">
        <f t="shared" si="4"/>
        <v>0</v>
      </c>
      <c r="H37" s="76"/>
      <c r="I37" s="184">
        <f t="shared" si="8"/>
        <v>0</v>
      </c>
      <c r="J37" s="185" t="e">
        <f t="shared" si="7"/>
        <v>#DIV/0!</v>
      </c>
      <c r="K37" s="107" t="s">
        <v>170</v>
      </c>
      <c r="L37" s="146"/>
      <c r="M37" s="57"/>
      <c r="N37" s="57"/>
      <c r="O37" s="57"/>
      <c r="P37" s="57"/>
      <c r="Q37" s="57"/>
      <c r="R37" s="40"/>
    </row>
    <row r="38" spans="1:18" ht="15.5" x14ac:dyDescent="0.35">
      <c r="A38" s="103"/>
      <c r="B38" s="81"/>
      <c r="C38" s="81"/>
      <c r="D38" s="202">
        <f t="shared" ref="D38:D45" si="9">+C38-B38</f>
        <v>0</v>
      </c>
      <c r="E38" s="80">
        <f t="shared" si="3"/>
        <v>0</v>
      </c>
      <c r="F38" s="74"/>
      <c r="G38" s="302">
        <f t="shared" ref="G38:G68" si="10">(F38-E38)/100</f>
        <v>0</v>
      </c>
      <c r="H38" s="76"/>
      <c r="I38" s="184">
        <f t="shared" si="8"/>
        <v>0</v>
      </c>
      <c r="J38" s="185" t="e">
        <f t="shared" ref="J38:J45" si="11">+H38/G38</f>
        <v>#DIV/0!</v>
      </c>
      <c r="K38" s="77" t="s">
        <v>174</v>
      </c>
      <c r="L38" s="146"/>
      <c r="M38" s="57"/>
      <c r="N38" s="57"/>
      <c r="O38" s="57"/>
      <c r="P38" s="57"/>
      <c r="Q38" s="57"/>
      <c r="R38" s="40"/>
    </row>
    <row r="39" spans="1:18" ht="15.5" x14ac:dyDescent="0.35">
      <c r="A39" s="103"/>
      <c r="B39" s="81"/>
      <c r="C39" s="81"/>
      <c r="D39" s="202">
        <f t="shared" si="9"/>
        <v>0</v>
      </c>
      <c r="E39" s="80">
        <f t="shared" si="3"/>
        <v>0</v>
      </c>
      <c r="F39" s="74"/>
      <c r="G39" s="302">
        <f t="shared" si="10"/>
        <v>0</v>
      </c>
      <c r="H39" s="76"/>
      <c r="I39" s="184">
        <f t="shared" si="8"/>
        <v>0</v>
      </c>
      <c r="J39" s="185" t="e">
        <f t="shared" si="11"/>
        <v>#DIV/0!</v>
      </c>
      <c r="K39" s="77" t="s">
        <v>164</v>
      </c>
      <c r="L39" s="146"/>
      <c r="M39" s="57"/>
      <c r="N39" s="57"/>
      <c r="O39" s="57"/>
      <c r="P39" s="57"/>
      <c r="Q39" s="57"/>
      <c r="R39" s="40"/>
    </row>
    <row r="40" spans="1:18" ht="15.5" x14ac:dyDescent="0.35">
      <c r="A40" s="103"/>
      <c r="B40" s="81"/>
      <c r="C40" s="81"/>
      <c r="D40" s="202">
        <f t="shared" si="9"/>
        <v>0</v>
      </c>
      <c r="E40" s="80">
        <f t="shared" si="3"/>
        <v>0</v>
      </c>
      <c r="F40" s="74"/>
      <c r="G40" s="302">
        <f t="shared" si="10"/>
        <v>0</v>
      </c>
      <c r="H40" s="76"/>
      <c r="I40" s="184">
        <f t="shared" si="8"/>
        <v>0</v>
      </c>
      <c r="J40" s="185" t="e">
        <f t="shared" si="11"/>
        <v>#DIV/0!</v>
      </c>
      <c r="K40" s="77" t="s">
        <v>170</v>
      </c>
      <c r="L40" s="146"/>
      <c r="M40" s="57"/>
      <c r="N40" s="57"/>
      <c r="O40" s="57"/>
      <c r="P40" s="57"/>
      <c r="Q40" s="57"/>
      <c r="R40" s="40"/>
    </row>
    <row r="41" spans="1:18" ht="15.5" x14ac:dyDescent="0.35">
      <c r="A41" s="103"/>
      <c r="B41" s="81"/>
      <c r="C41" s="81"/>
      <c r="D41" s="202">
        <f t="shared" si="9"/>
        <v>0</v>
      </c>
      <c r="E41" s="80">
        <f t="shared" si="3"/>
        <v>0</v>
      </c>
      <c r="F41" s="74"/>
      <c r="G41" s="302">
        <f t="shared" si="10"/>
        <v>0</v>
      </c>
      <c r="H41" s="76"/>
      <c r="I41" s="184">
        <f t="shared" si="8"/>
        <v>0</v>
      </c>
      <c r="J41" s="185" t="e">
        <f t="shared" si="11"/>
        <v>#DIV/0!</v>
      </c>
      <c r="K41" s="77" t="s">
        <v>164</v>
      </c>
      <c r="L41" s="146"/>
      <c r="M41" s="57"/>
      <c r="N41" s="57"/>
      <c r="O41" s="57"/>
      <c r="P41" s="57"/>
      <c r="Q41" s="57"/>
      <c r="R41" s="40"/>
    </row>
    <row r="42" spans="1:18" ht="15.5" x14ac:dyDescent="0.35">
      <c r="A42" s="103"/>
      <c r="B42" s="81"/>
      <c r="C42" s="81"/>
      <c r="D42" s="202">
        <f t="shared" si="9"/>
        <v>0</v>
      </c>
      <c r="E42" s="80">
        <f t="shared" si="3"/>
        <v>0</v>
      </c>
      <c r="F42" s="74"/>
      <c r="G42" s="302">
        <f t="shared" si="10"/>
        <v>0</v>
      </c>
      <c r="H42" s="76"/>
      <c r="I42" s="184">
        <f t="shared" si="8"/>
        <v>0</v>
      </c>
      <c r="J42" s="185" t="e">
        <f t="shared" si="11"/>
        <v>#DIV/0!</v>
      </c>
      <c r="K42" s="77" t="s">
        <v>164</v>
      </c>
      <c r="L42" s="146"/>
      <c r="M42" s="57"/>
      <c r="N42" s="57"/>
      <c r="O42" s="57"/>
      <c r="P42" s="57"/>
      <c r="Q42" s="57"/>
      <c r="R42" s="40"/>
    </row>
    <row r="43" spans="1:18" ht="15.5" x14ac:dyDescent="0.35">
      <c r="A43" s="103"/>
      <c r="B43" s="81"/>
      <c r="C43" s="81"/>
      <c r="D43" s="202">
        <f t="shared" si="9"/>
        <v>0</v>
      </c>
      <c r="E43" s="80">
        <f t="shared" si="3"/>
        <v>0</v>
      </c>
      <c r="F43" s="74"/>
      <c r="G43" s="302">
        <f t="shared" si="10"/>
        <v>0</v>
      </c>
      <c r="H43" s="76"/>
      <c r="I43" s="184">
        <f t="shared" si="8"/>
        <v>0</v>
      </c>
      <c r="J43" s="185" t="e">
        <f t="shared" si="11"/>
        <v>#DIV/0!</v>
      </c>
      <c r="K43" s="77" t="s">
        <v>172</v>
      </c>
      <c r="L43" s="146"/>
      <c r="M43" s="57"/>
      <c r="N43" s="57"/>
      <c r="O43" s="57"/>
      <c r="P43" s="57"/>
      <c r="Q43" s="57"/>
      <c r="R43" s="40"/>
    </row>
    <row r="44" spans="1:18" ht="15.5" x14ac:dyDescent="0.35">
      <c r="A44" s="103"/>
      <c r="B44" s="81"/>
      <c r="C44" s="81"/>
      <c r="D44" s="202">
        <f t="shared" si="9"/>
        <v>0</v>
      </c>
      <c r="E44" s="80">
        <f t="shared" si="3"/>
        <v>0</v>
      </c>
      <c r="F44" s="74"/>
      <c r="G44" s="302">
        <f t="shared" si="10"/>
        <v>0</v>
      </c>
      <c r="H44" s="76"/>
      <c r="I44" s="184">
        <f t="shared" si="8"/>
        <v>0</v>
      </c>
      <c r="J44" s="185" t="e">
        <f t="shared" si="11"/>
        <v>#DIV/0!</v>
      </c>
      <c r="K44" s="77" t="s">
        <v>202</v>
      </c>
      <c r="L44" s="146"/>
      <c r="M44" s="57"/>
      <c r="N44" s="57"/>
      <c r="O44" s="57"/>
      <c r="P44" s="57"/>
      <c r="Q44" s="57"/>
      <c r="R44" s="40"/>
    </row>
    <row r="45" spans="1:18" ht="15.5" x14ac:dyDescent="0.35">
      <c r="A45" s="103"/>
      <c r="B45" s="81"/>
      <c r="C45" s="81"/>
      <c r="D45" s="202">
        <f t="shared" si="9"/>
        <v>0</v>
      </c>
      <c r="E45" s="80">
        <f t="shared" si="3"/>
        <v>0</v>
      </c>
      <c r="F45" s="74"/>
      <c r="G45" s="302">
        <f t="shared" si="10"/>
        <v>0</v>
      </c>
      <c r="H45" s="76"/>
      <c r="I45" s="184">
        <f t="shared" si="8"/>
        <v>0</v>
      </c>
      <c r="J45" s="185" t="e">
        <f t="shared" si="11"/>
        <v>#DIV/0!</v>
      </c>
      <c r="K45" s="77"/>
      <c r="L45" s="146"/>
      <c r="M45" s="57"/>
      <c r="N45" s="57"/>
      <c r="O45" s="57"/>
      <c r="P45" s="57"/>
      <c r="Q45" s="57"/>
      <c r="R45" s="40"/>
    </row>
    <row r="46" spans="1:18" ht="15.5" x14ac:dyDescent="0.35">
      <c r="A46" s="103"/>
      <c r="B46" s="81"/>
      <c r="C46" s="81"/>
      <c r="D46" s="202">
        <f t="shared" ref="D46:D68" si="12">+C46-B46</f>
        <v>0</v>
      </c>
      <c r="E46" s="80">
        <f t="shared" si="3"/>
        <v>0</v>
      </c>
      <c r="F46" s="74"/>
      <c r="G46" s="302">
        <f t="shared" si="10"/>
        <v>0</v>
      </c>
      <c r="H46" s="76"/>
      <c r="I46" s="184">
        <f t="shared" ref="I46:I57" si="13">+H46</f>
        <v>0</v>
      </c>
      <c r="J46" s="185" t="e">
        <f t="shared" ref="J46:J68" si="14">+H46/G46</f>
        <v>#DIV/0!</v>
      </c>
      <c r="K46" s="77"/>
      <c r="L46" s="146"/>
      <c r="M46" s="57"/>
      <c r="N46" s="57"/>
      <c r="O46" s="57"/>
      <c r="P46" s="57"/>
      <c r="Q46" s="57"/>
      <c r="R46" s="40"/>
    </row>
    <row r="47" spans="1:18" ht="15.5" x14ac:dyDescent="0.35">
      <c r="A47" s="103"/>
      <c r="B47" s="81"/>
      <c r="C47" s="81"/>
      <c r="D47" s="202">
        <f t="shared" si="12"/>
        <v>0</v>
      </c>
      <c r="E47" s="80">
        <f t="shared" si="3"/>
        <v>0</v>
      </c>
      <c r="F47" s="74"/>
      <c r="G47" s="302">
        <f t="shared" si="10"/>
        <v>0</v>
      </c>
      <c r="H47" s="76"/>
      <c r="I47" s="184">
        <f t="shared" si="13"/>
        <v>0</v>
      </c>
      <c r="J47" s="185" t="e">
        <f t="shared" si="14"/>
        <v>#DIV/0!</v>
      </c>
      <c r="K47" s="77"/>
      <c r="L47" s="57"/>
      <c r="M47" s="57"/>
      <c r="N47" s="57"/>
      <c r="O47" s="57"/>
      <c r="P47" s="57"/>
      <c r="Q47" s="57"/>
      <c r="R47" s="40"/>
    </row>
    <row r="48" spans="1:18" ht="15.5" x14ac:dyDescent="0.35">
      <c r="A48" s="103"/>
      <c r="B48" s="81"/>
      <c r="C48" s="81"/>
      <c r="D48" s="202">
        <f t="shared" si="12"/>
        <v>0</v>
      </c>
      <c r="E48" s="80">
        <f t="shared" si="3"/>
        <v>0</v>
      </c>
      <c r="F48" s="74"/>
      <c r="G48" s="302">
        <f t="shared" si="10"/>
        <v>0</v>
      </c>
      <c r="H48" s="76"/>
      <c r="I48" s="184">
        <f t="shared" si="13"/>
        <v>0</v>
      </c>
      <c r="J48" s="185" t="e">
        <f t="shared" si="14"/>
        <v>#DIV/0!</v>
      </c>
      <c r="K48" s="183"/>
      <c r="L48" s="57"/>
      <c r="M48" s="57"/>
      <c r="N48" s="57"/>
      <c r="O48" s="57"/>
      <c r="P48" s="57"/>
      <c r="Q48" s="57"/>
      <c r="R48" s="40"/>
    </row>
    <row r="49" spans="1:18" ht="15.5" x14ac:dyDescent="0.35">
      <c r="A49" s="103"/>
      <c r="B49" s="81"/>
      <c r="C49" s="81"/>
      <c r="D49" s="202">
        <f t="shared" si="12"/>
        <v>0</v>
      </c>
      <c r="E49" s="80">
        <f t="shared" si="3"/>
        <v>0</v>
      </c>
      <c r="F49" s="74"/>
      <c r="G49" s="302">
        <f t="shared" si="10"/>
        <v>0</v>
      </c>
      <c r="H49" s="76"/>
      <c r="I49" s="184">
        <f t="shared" si="13"/>
        <v>0</v>
      </c>
      <c r="J49" s="185" t="e">
        <f t="shared" si="14"/>
        <v>#DIV/0!</v>
      </c>
      <c r="K49" s="183"/>
      <c r="L49" s="57"/>
      <c r="M49" s="43"/>
      <c r="N49" s="43"/>
      <c r="O49" s="43"/>
      <c r="P49" s="43"/>
      <c r="Q49" s="43"/>
      <c r="R49" s="11"/>
    </row>
    <row r="50" spans="1:18" ht="15.5" x14ac:dyDescent="0.35">
      <c r="A50" s="103"/>
      <c r="B50" s="81"/>
      <c r="C50" s="81"/>
      <c r="D50" s="202">
        <f t="shared" si="12"/>
        <v>0</v>
      </c>
      <c r="E50" s="80">
        <f t="shared" si="3"/>
        <v>0</v>
      </c>
      <c r="F50" s="74"/>
      <c r="G50" s="302">
        <f t="shared" si="10"/>
        <v>0</v>
      </c>
      <c r="H50" s="76"/>
      <c r="I50" s="184">
        <f t="shared" si="13"/>
        <v>0</v>
      </c>
      <c r="J50" s="185" t="e">
        <f t="shared" si="14"/>
        <v>#DIV/0!</v>
      </c>
      <c r="K50" s="183"/>
      <c r="L50" s="57"/>
      <c r="M50" s="43"/>
      <c r="N50" s="43"/>
      <c r="O50" s="43"/>
      <c r="P50" s="43"/>
      <c r="Q50" s="43"/>
      <c r="R50" s="11"/>
    </row>
    <row r="51" spans="1:18" ht="15.5" x14ac:dyDescent="0.35">
      <c r="A51" s="103"/>
      <c r="B51" s="81"/>
      <c r="C51" s="81"/>
      <c r="D51" s="202">
        <f t="shared" si="12"/>
        <v>0</v>
      </c>
      <c r="E51" s="80">
        <f t="shared" si="3"/>
        <v>0</v>
      </c>
      <c r="F51" s="74"/>
      <c r="G51" s="302">
        <f t="shared" si="10"/>
        <v>0</v>
      </c>
      <c r="H51" s="76"/>
      <c r="I51" s="184">
        <f t="shared" si="13"/>
        <v>0</v>
      </c>
      <c r="J51" s="185" t="e">
        <f t="shared" si="14"/>
        <v>#DIV/0!</v>
      </c>
      <c r="K51" s="183"/>
      <c r="L51" s="57"/>
      <c r="M51" s="43"/>
      <c r="N51" s="43"/>
      <c r="O51" s="43"/>
      <c r="P51" s="43"/>
      <c r="Q51" s="43"/>
      <c r="R51" s="11"/>
    </row>
    <row r="52" spans="1:18" ht="15.5" x14ac:dyDescent="0.35">
      <c r="A52" s="103"/>
      <c r="B52" s="81"/>
      <c r="C52" s="81"/>
      <c r="D52" s="202">
        <f t="shared" si="12"/>
        <v>0</v>
      </c>
      <c r="E52" s="80">
        <f t="shared" si="3"/>
        <v>0</v>
      </c>
      <c r="F52" s="74"/>
      <c r="G52" s="302">
        <f t="shared" si="10"/>
        <v>0</v>
      </c>
      <c r="H52" s="76"/>
      <c r="I52" s="184">
        <f t="shared" si="13"/>
        <v>0</v>
      </c>
      <c r="J52" s="185" t="e">
        <f t="shared" si="14"/>
        <v>#DIV/0!</v>
      </c>
      <c r="K52" s="92"/>
      <c r="L52" s="146"/>
      <c r="M52" s="43"/>
      <c r="N52" s="43"/>
      <c r="O52" s="43"/>
      <c r="P52" s="43"/>
      <c r="Q52" s="43"/>
      <c r="R52" s="11"/>
    </row>
    <row r="53" spans="1:18" ht="15.5" x14ac:dyDescent="0.35">
      <c r="A53" s="103"/>
      <c r="B53" s="81"/>
      <c r="C53" s="81"/>
      <c r="D53" s="202">
        <f t="shared" si="12"/>
        <v>0</v>
      </c>
      <c r="E53" s="80">
        <f t="shared" si="3"/>
        <v>0</v>
      </c>
      <c r="F53" s="74"/>
      <c r="G53" s="302">
        <f t="shared" si="10"/>
        <v>0</v>
      </c>
      <c r="H53" s="76"/>
      <c r="I53" s="184">
        <f t="shared" si="13"/>
        <v>0</v>
      </c>
      <c r="J53" s="185" t="e">
        <f t="shared" si="14"/>
        <v>#DIV/0!</v>
      </c>
      <c r="K53" s="92"/>
      <c r="L53" s="146"/>
      <c r="M53" s="43"/>
      <c r="N53" s="43"/>
      <c r="O53" s="43"/>
      <c r="P53" s="43"/>
      <c r="Q53" s="43"/>
      <c r="R53" s="11"/>
    </row>
    <row r="54" spans="1:18" ht="15.5" x14ac:dyDescent="0.35">
      <c r="A54" s="103"/>
      <c r="B54" s="81"/>
      <c r="C54" s="81"/>
      <c r="D54" s="202">
        <f t="shared" si="12"/>
        <v>0</v>
      </c>
      <c r="E54" s="80">
        <f t="shared" si="3"/>
        <v>0</v>
      </c>
      <c r="F54" s="74"/>
      <c r="G54" s="302">
        <f t="shared" si="10"/>
        <v>0</v>
      </c>
      <c r="H54" s="76"/>
      <c r="I54" s="184">
        <f t="shared" si="13"/>
        <v>0</v>
      </c>
      <c r="J54" s="185" t="e">
        <f t="shared" si="14"/>
        <v>#DIV/0!</v>
      </c>
      <c r="K54" s="92"/>
      <c r="L54" s="146"/>
      <c r="M54" s="43"/>
      <c r="N54" s="43"/>
      <c r="O54" s="43"/>
      <c r="P54" s="43"/>
      <c r="Q54" s="43"/>
      <c r="R54" s="11"/>
    </row>
    <row r="55" spans="1:18" ht="15.5" x14ac:dyDescent="0.35">
      <c r="A55" s="103"/>
      <c r="B55" s="81"/>
      <c r="C55" s="81"/>
      <c r="D55" s="202">
        <f t="shared" si="12"/>
        <v>0</v>
      </c>
      <c r="E55" s="80">
        <f t="shared" si="3"/>
        <v>0</v>
      </c>
      <c r="F55" s="74"/>
      <c r="G55" s="302">
        <f t="shared" si="10"/>
        <v>0</v>
      </c>
      <c r="H55" s="76"/>
      <c r="I55" s="184">
        <f t="shared" si="13"/>
        <v>0</v>
      </c>
      <c r="J55" s="185" t="e">
        <f t="shared" si="14"/>
        <v>#DIV/0!</v>
      </c>
      <c r="K55" s="92"/>
      <c r="L55" s="146"/>
      <c r="M55" s="43"/>
      <c r="N55" s="43"/>
      <c r="O55" s="43"/>
      <c r="P55" s="43"/>
      <c r="Q55" s="43"/>
      <c r="R55" s="11"/>
    </row>
    <row r="56" spans="1:18" ht="15.5" x14ac:dyDescent="0.35">
      <c r="A56" s="103"/>
      <c r="B56" s="81"/>
      <c r="C56" s="81"/>
      <c r="D56" s="202">
        <f t="shared" si="12"/>
        <v>0</v>
      </c>
      <c r="E56" s="80">
        <f t="shared" si="3"/>
        <v>0</v>
      </c>
      <c r="F56" s="74"/>
      <c r="G56" s="302">
        <f t="shared" si="10"/>
        <v>0</v>
      </c>
      <c r="H56" s="76"/>
      <c r="I56" s="184">
        <f t="shared" si="13"/>
        <v>0</v>
      </c>
      <c r="J56" s="185" t="e">
        <f t="shared" si="14"/>
        <v>#DIV/0!</v>
      </c>
      <c r="K56" s="92"/>
      <c r="L56" s="146"/>
      <c r="M56" s="43"/>
      <c r="N56" s="43"/>
      <c r="O56" s="43"/>
      <c r="P56" s="43"/>
      <c r="Q56" s="43"/>
      <c r="R56" s="11"/>
    </row>
    <row r="57" spans="1:18" ht="15.5" x14ac:dyDescent="0.35">
      <c r="A57" s="103"/>
      <c r="B57" s="81"/>
      <c r="C57" s="81"/>
      <c r="D57" s="202">
        <f t="shared" si="12"/>
        <v>0</v>
      </c>
      <c r="E57" s="80">
        <f t="shared" si="3"/>
        <v>0</v>
      </c>
      <c r="F57" s="74"/>
      <c r="G57" s="302">
        <f t="shared" si="10"/>
        <v>0</v>
      </c>
      <c r="H57" s="76"/>
      <c r="I57" s="184">
        <f t="shared" si="13"/>
        <v>0</v>
      </c>
      <c r="J57" s="185" t="e">
        <f t="shared" si="14"/>
        <v>#DIV/0!</v>
      </c>
      <c r="K57" s="92"/>
      <c r="L57" s="146"/>
      <c r="M57" s="43"/>
      <c r="N57" s="43"/>
      <c r="O57" s="43"/>
      <c r="P57" s="43"/>
      <c r="Q57" s="43"/>
      <c r="R57" s="11"/>
    </row>
    <row r="58" spans="1:18" ht="15.5" x14ac:dyDescent="0.35">
      <c r="A58" s="103"/>
      <c r="B58" s="81"/>
      <c r="C58" s="81"/>
      <c r="D58" s="202">
        <f t="shared" si="12"/>
        <v>0</v>
      </c>
      <c r="E58" s="80">
        <f t="shared" si="3"/>
        <v>0</v>
      </c>
      <c r="F58" s="74"/>
      <c r="G58" s="302">
        <f t="shared" si="10"/>
        <v>0</v>
      </c>
      <c r="H58" s="76"/>
      <c r="I58" s="184">
        <f t="shared" ref="I58:I68" si="15">+H58</f>
        <v>0</v>
      </c>
      <c r="J58" s="185" t="e">
        <f t="shared" si="14"/>
        <v>#DIV/0!</v>
      </c>
      <c r="K58" s="92"/>
      <c r="L58" s="146"/>
      <c r="M58" s="43"/>
      <c r="N58" s="43"/>
      <c r="O58" s="43"/>
      <c r="P58" s="43"/>
      <c r="Q58" s="43"/>
      <c r="R58" s="11"/>
    </row>
    <row r="59" spans="1:18" ht="15.5" x14ac:dyDescent="0.35">
      <c r="A59" s="103"/>
      <c r="B59" s="81"/>
      <c r="C59" s="81"/>
      <c r="D59" s="202">
        <f t="shared" si="12"/>
        <v>0</v>
      </c>
      <c r="E59" s="80">
        <f t="shared" si="3"/>
        <v>0</v>
      </c>
      <c r="F59" s="74"/>
      <c r="G59" s="302">
        <f t="shared" si="10"/>
        <v>0</v>
      </c>
      <c r="H59" s="76"/>
      <c r="I59" s="184">
        <f t="shared" si="15"/>
        <v>0</v>
      </c>
      <c r="J59" s="185" t="e">
        <f t="shared" si="14"/>
        <v>#DIV/0!</v>
      </c>
      <c r="K59" s="92"/>
      <c r="L59" s="146"/>
      <c r="M59" s="43"/>
      <c r="N59" s="43"/>
      <c r="O59" s="43"/>
      <c r="P59" s="43"/>
      <c r="Q59" s="43"/>
      <c r="R59" s="11"/>
    </row>
    <row r="60" spans="1:18" ht="15.5" x14ac:dyDescent="0.35">
      <c r="A60" s="103"/>
      <c r="B60" s="81"/>
      <c r="C60" s="81"/>
      <c r="D60" s="202">
        <f t="shared" si="12"/>
        <v>0</v>
      </c>
      <c r="E60" s="80">
        <f t="shared" si="3"/>
        <v>0</v>
      </c>
      <c r="F60" s="74"/>
      <c r="G60" s="302">
        <f t="shared" si="10"/>
        <v>0</v>
      </c>
      <c r="H60" s="76"/>
      <c r="I60" s="184">
        <f t="shared" si="15"/>
        <v>0</v>
      </c>
      <c r="J60" s="185" t="e">
        <f t="shared" si="14"/>
        <v>#DIV/0!</v>
      </c>
      <c r="K60" s="92"/>
      <c r="L60" s="146"/>
      <c r="M60" s="43"/>
      <c r="N60" s="43"/>
      <c r="O60" s="43"/>
      <c r="P60" s="43"/>
      <c r="Q60" s="43"/>
      <c r="R60" s="11"/>
    </row>
    <row r="61" spans="1:18" ht="15.5" x14ac:dyDescent="0.35">
      <c r="A61" s="194"/>
      <c r="B61" s="81"/>
      <c r="C61" s="81"/>
      <c r="D61" s="202">
        <f t="shared" si="12"/>
        <v>0</v>
      </c>
      <c r="E61" s="80">
        <f t="shared" si="3"/>
        <v>0</v>
      </c>
      <c r="F61" s="74"/>
      <c r="G61" s="302">
        <f t="shared" si="10"/>
        <v>0</v>
      </c>
      <c r="H61" s="76"/>
      <c r="I61" s="184">
        <f t="shared" si="15"/>
        <v>0</v>
      </c>
      <c r="J61" s="185" t="e">
        <f t="shared" si="14"/>
        <v>#DIV/0!</v>
      </c>
      <c r="K61" s="92"/>
      <c r="L61" s="146"/>
      <c r="M61" s="43"/>
      <c r="N61" s="43"/>
      <c r="O61" s="43"/>
      <c r="P61" s="43"/>
      <c r="Q61" s="43"/>
      <c r="R61" s="11"/>
    </row>
    <row r="62" spans="1:18" ht="15.5" x14ac:dyDescent="0.35">
      <c r="A62" s="194"/>
      <c r="B62" s="81"/>
      <c r="C62" s="81"/>
      <c r="D62" s="202">
        <f t="shared" si="12"/>
        <v>0</v>
      </c>
      <c r="E62" s="80">
        <f t="shared" si="3"/>
        <v>0</v>
      </c>
      <c r="F62" s="74"/>
      <c r="G62" s="302">
        <f t="shared" si="10"/>
        <v>0</v>
      </c>
      <c r="H62" s="76"/>
      <c r="I62" s="184">
        <f t="shared" si="15"/>
        <v>0</v>
      </c>
      <c r="J62" s="185" t="e">
        <f t="shared" si="14"/>
        <v>#DIV/0!</v>
      </c>
      <c r="K62" s="92"/>
      <c r="L62" s="146"/>
      <c r="M62" s="43"/>
      <c r="N62" s="43"/>
      <c r="O62" s="43"/>
      <c r="P62" s="43"/>
      <c r="Q62" s="43"/>
      <c r="R62" s="11"/>
    </row>
    <row r="63" spans="1:18" ht="15.5" x14ac:dyDescent="0.35">
      <c r="A63" s="194"/>
      <c r="B63" s="81"/>
      <c r="C63" s="81"/>
      <c r="D63" s="202">
        <f t="shared" si="12"/>
        <v>0</v>
      </c>
      <c r="E63" s="80">
        <f t="shared" si="3"/>
        <v>0</v>
      </c>
      <c r="F63" s="74"/>
      <c r="G63" s="302">
        <f t="shared" si="10"/>
        <v>0</v>
      </c>
      <c r="H63" s="76"/>
      <c r="I63" s="184">
        <f t="shared" si="15"/>
        <v>0</v>
      </c>
      <c r="J63" s="185" t="e">
        <f t="shared" si="14"/>
        <v>#DIV/0!</v>
      </c>
      <c r="K63" s="92"/>
      <c r="L63" s="146"/>
      <c r="M63" s="43"/>
      <c r="N63" s="43"/>
      <c r="O63" s="43"/>
      <c r="P63" s="43"/>
      <c r="Q63" s="43"/>
      <c r="R63" s="11"/>
    </row>
    <row r="64" spans="1:18" ht="15.5" x14ac:dyDescent="0.35">
      <c r="A64" s="194"/>
      <c r="B64" s="81"/>
      <c r="C64" s="81"/>
      <c r="D64" s="202">
        <f t="shared" si="12"/>
        <v>0</v>
      </c>
      <c r="E64" s="80">
        <f t="shared" si="3"/>
        <v>0</v>
      </c>
      <c r="F64" s="74"/>
      <c r="G64" s="302">
        <f t="shared" si="10"/>
        <v>0</v>
      </c>
      <c r="H64" s="76"/>
      <c r="I64" s="184">
        <f t="shared" si="15"/>
        <v>0</v>
      </c>
      <c r="J64" s="185" t="e">
        <f t="shared" si="14"/>
        <v>#DIV/0!</v>
      </c>
      <c r="K64" s="92"/>
      <c r="L64" s="146"/>
      <c r="M64" s="43"/>
      <c r="N64" s="43"/>
      <c r="O64" s="43"/>
      <c r="P64" s="43"/>
      <c r="Q64" s="43"/>
      <c r="R64" s="11"/>
    </row>
    <row r="65" spans="1:18" ht="15.5" x14ac:dyDescent="0.35">
      <c r="A65" s="194"/>
      <c r="B65" s="81"/>
      <c r="C65" s="81"/>
      <c r="D65" s="202">
        <f t="shared" si="12"/>
        <v>0</v>
      </c>
      <c r="E65" s="80">
        <f t="shared" si="3"/>
        <v>0</v>
      </c>
      <c r="F65" s="74"/>
      <c r="G65" s="302">
        <f t="shared" si="10"/>
        <v>0</v>
      </c>
      <c r="H65" s="76"/>
      <c r="I65" s="184">
        <f t="shared" si="15"/>
        <v>0</v>
      </c>
      <c r="J65" s="185" t="e">
        <f t="shared" si="14"/>
        <v>#DIV/0!</v>
      </c>
      <c r="K65" s="92"/>
      <c r="L65" s="146"/>
      <c r="M65" s="43"/>
      <c r="N65" s="43"/>
      <c r="O65" s="43"/>
      <c r="P65" s="43"/>
      <c r="Q65" s="43"/>
      <c r="R65" s="11"/>
    </row>
    <row r="66" spans="1:18" ht="15.5" x14ac:dyDescent="0.35">
      <c r="A66" s="194"/>
      <c r="B66" s="81"/>
      <c r="C66" s="81"/>
      <c r="D66" s="202">
        <f t="shared" si="12"/>
        <v>0</v>
      </c>
      <c r="E66" s="80">
        <f t="shared" si="3"/>
        <v>0</v>
      </c>
      <c r="F66" s="74"/>
      <c r="G66" s="302">
        <f t="shared" si="10"/>
        <v>0</v>
      </c>
      <c r="H66" s="76"/>
      <c r="I66" s="184">
        <f t="shared" si="15"/>
        <v>0</v>
      </c>
      <c r="J66" s="185" t="e">
        <f t="shared" si="14"/>
        <v>#DIV/0!</v>
      </c>
      <c r="K66" s="92"/>
      <c r="L66" s="146"/>
      <c r="M66" s="43"/>
      <c r="N66" s="43"/>
      <c r="O66" s="43"/>
      <c r="P66" s="43"/>
      <c r="Q66" s="43"/>
      <c r="R66" s="11"/>
    </row>
    <row r="67" spans="1:18" ht="15.5" x14ac:dyDescent="0.35">
      <c r="A67" s="194"/>
      <c r="B67" s="81"/>
      <c r="C67" s="81"/>
      <c r="D67" s="202">
        <f t="shared" si="12"/>
        <v>0</v>
      </c>
      <c r="E67" s="80">
        <f t="shared" si="3"/>
        <v>0</v>
      </c>
      <c r="F67" s="74"/>
      <c r="G67" s="302">
        <f t="shared" si="10"/>
        <v>0</v>
      </c>
      <c r="H67" s="76"/>
      <c r="I67" s="184">
        <f t="shared" si="15"/>
        <v>0</v>
      </c>
      <c r="J67" s="185" t="e">
        <f t="shared" si="14"/>
        <v>#DIV/0!</v>
      </c>
      <c r="K67" s="57"/>
      <c r="L67" s="146"/>
      <c r="M67" s="43"/>
      <c r="N67" s="43"/>
      <c r="O67" s="43"/>
      <c r="P67" s="43"/>
      <c r="Q67" s="43"/>
      <c r="R67" s="11"/>
    </row>
    <row r="68" spans="1:18" ht="15.5" x14ac:dyDescent="0.35">
      <c r="A68" s="103"/>
      <c r="B68" s="81"/>
      <c r="C68" s="81"/>
      <c r="D68" s="202">
        <f t="shared" si="12"/>
        <v>0</v>
      </c>
      <c r="E68" s="80">
        <f t="shared" si="3"/>
        <v>0</v>
      </c>
      <c r="F68" s="74"/>
      <c r="G68" s="302">
        <f t="shared" si="10"/>
        <v>0</v>
      </c>
      <c r="H68" s="76"/>
      <c r="I68" s="184">
        <f t="shared" si="15"/>
        <v>0</v>
      </c>
      <c r="J68" s="185" t="e">
        <f t="shared" si="14"/>
        <v>#DIV/0!</v>
      </c>
      <c r="K68" s="57"/>
      <c r="L68" s="146"/>
      <c r="M68" s="43"/>
      <c r="N68" s="43"/>
      <c r="O68" s="43"/>
      <c r="P68" s="43"/>
      <c r="Q68" s="43"/>
      <c r="R68" s="11"/>
    </row>
    <row r="69" spans="1:18" ht="15.5" x14ac:dyDescent="0.35">
      <c r="A69" s="59"/>
      <c r="B69" s="81"/>
      <c r="C69" s="81"/>
      <c r="D69" s="202"/>
      <c r="E69" s="80"/>
      <c r="F69" s="74"/>
      <c r="G69" s="75"/>
      <c r="H69" s="76"/>
      <c r="I69" s="184"/>
      <c r="J69" s="185"/>
      <c r="K69" s="57"/>
      <c r="L69" s="146"/>
      <c r="M69" s="43"/>
      <c r="N69" s="43"/>
      <c r="O69" s="43"/>
      <c r="P69" s="43"/>
      <c r="Q69" s="43"/>
      <c r="R69" s="11"/>
    </row>
    <row r="70" spans="1:18" ht="15.5" x14ac:dyDescent="0.35">
      <c r="A70" s="59"/>
      <c r="B70" s="81"/>
      <c r="C70" s="81"/>
      <c r="D70" s="202"/>
      <c r="E70" s="80"/>
      <c r="F70" s="74"/>
      <c r="G70" s="75"/>
      <c r="H70" s="76">
        <v>0</v>
      </c>
      <c r="I70" s="184"/>
      <c r="J70" s="185"/>
      <c r="K70" s="57">
        <v>26</v>
      </c>
      <c r="L70" s="146"/>
      <c r="M70" s="43"/>
      <c r="N70" s="43"/>
      <c r="O70" s="43"/>
      <c r="P70" s="43"/>
      <c r="Q70" s="43"/>
      <c r="R70" s="11"/>
    </row>
    <row r="71" spans="1:18" ht="15.5" x14ac:dyDescent="0.35">
      <c r="A71" s="59"/>
      <c r="B71" s="81"/>
      <c r="C71" s="81"/>
      <c r="D71" s="202"/>
      <c r="E71" s="80"/>
      <c r="F71" s="74"/>
      <c r="G71" s="75"/>
      <c r="H71" s="76"/>
      <c r="I71" s="184">
        <v>0</v>
      </c>
      <c r="J71" s="185"/>
      <c r="K71" s="57">
        <v>15</v>
      </c>
      <c r="L71" s="146"/>
      <c r="M71" s="43"/>
      <c r="N71" s="43"/>
      <c r="O71" s="43"/>
      <c r="P71" s="43"/>
      <c r="Q71" s="43"/>
      <c r="R71" s="11"/>
    </row>
    <row r="72" spans="1:18" ht="15.5" x14ac:dyDescent="0.35">
      <c r="A72" s="59"/>
      <c r="B72" s="81"/>
      <c r="C72" s="81"/>
      <c r="D72" s="202"/>
      <c r="E72" s="80"/>
      <c r="F72" s="74"/>
      <c r="G72" s="75"/>
      <c r="H72" s="76"/>
      <c r="I72" s="184"/>
      <c r="J72" s="185"/>
      <c r="K72" s="57">
        <v>34</v>
      </c>
      <c r="L72" s="146"/>
      <c r="M72" s="43"/>
      <c r="N72" s="43"/>
      <c r="O72" s="43"/>
      <c r="P72" s="43"/>
      <c r="Q72" s="43"/>
      <c r="R72" s="11"/>
    </row>
    <row r="73" spans="1:18" ht="15.5" x14ac:dyDescent="0.35">
      <c r="A73" s="59"/>
      <c r="B73" s="81"/>
      <c r="C73" s="81"/>
      <c r="D73" s="202"/>
      <c r="E73" s="80"/>
      <c r="F73" s="74"/>
      <c r="G73" s="75"/>
      <c r="H73" s="76"/>
      <c r="I73" s="184">
        <v>0</v>
      </c>
      <c r="J73" s="185">
        <v>0</v>
      </c>
      <c r="K73" s="57">
        <v>55</v>
      </c>
      <c r="L73" s="146"/>
      <c r="M73" s="43"/>
      <c r="N73" s="43"/>
      <c r="O73" s="43"/>
      <c r="P73" s="43"/>
      <c r="Q73" s="43"/>
      <c r="R73" s="11"/>
    </row>
    <row r="74" spans="1:18" ht="15.5" x14ac:dyDescent="0.35">
      <c r="A74" s="59"/>
      <c r="B74" s="81"/>
      <c r="C74" s="81"/>
      <c r="D74" s="202"/>
      <c r="E74" s="80"/>
      <c r="F74" s="74"/>
      <c r="G74" s="75"/>
      <c r="H74" s="76"/>
      <c r="I74" s="184"/>
      <c r="J74" s="185"/>
      <c r="K74" s="57"/>
      <c r="L74" s="146"/>
      <c r="M74" s="43"/>
      <c r="N74" s="43"/>
      <c r="O74" s="43"/>
      <c r="P74" s="43"/>
      <c r="Q74" s="43"/>
      <c r="R74" s="11"/>
    </row>
    <row r="75" spans="1:18" ht="15.5" x14ac:dyDescent="0.35">
      <c r="A75" s="59"/>
      <c r="B75" s="81"/>
      <c r="C75" s="81"/>
      <c r="D75" s="202"/>
      <c r="E75" s="80"/>
      <c r="F75" s="74"/>
      <c r="G75" s="75"/>
      <c r="H75" s="76"/>
      <c r="I75" s="184"/>
      <c r="J75" s="185"/>
      <c r="K75" s="57"/>
      <c r="L75" s="146"/>
      <c r="M75" s="43"/>
      <c r="N75" s="43"/>
      <c r="O75" s="43"/>
      <c r="P75" s="43"/>
      <c r="Q75" s="43"/>
      <c r="R75" s="11"/>
    </row>
    <row r="76" spans="1:18" ht="15.5" x14ac:dyDescent="0.35">
      <c r="A76" s="59"/>
      <c r="B76" s="81"/>
      <c r="C76" s="81"/>
      <c r="D76" s="202"/>
      <c r="E76" s="80"/>
      <c r="F76" s="74"/>
      <c r="G76" s="75"/>
      <c r="H76" s="76"/>
      <c r="I76" s="184"/>
      <c r="J76" s="185"/>
      <c r="K76" s="57"/>
      <c r="L76" s="146"/>
      <c r="M76" s="43"/>
      <c r="N76" s="43"/>
      <c r="O76" s="43"/>
      <c r="P76" s="43"/>
      <c r="Q76" s="43"/>
      <c r="R76" s="11"/>
    </row>
    <row r="77" spans="1:18" ht="15.5" x14ac:dyDescent="0.35">
      <c r="A77" s="59"/>
      <c r="B77" s="81"/>
      <c r="C77" s="81"/>
      <c r="D77" s="202"/>
      <c r="E77" s="80"/>
      <c r="F77" s="74"/>
      <c r="G77" s="75"/>
      <c r="H77" s="76"/>
      <c r="I77" s="184"/>
      <c r="J77" s="185"/>
      <c r="K77" s="57"/>
      <c r="L77" s="146"/>
      <c r="M77" s="43"/>
      <c r="N77" s="43"/>
      <c r="O77" s="43"/>
      <c r="P77" s="43"/>
      <c r="Q77" s="43"/>
      <c r="R77" s="11"/>
    </row>
    <row r="78" spans="1:18" ht="15.5" x14ac:dyDescent="0.35">
      <c r="A78" s="59"/>
      <c r="B78" s="81"/>
      <c r="C78" s="81"/>
      <c r="D78" s="202"/>
      <c r="E78" s="80"/>
      <c r="F78" s="74"/>
      <c r="G78" s="75"/>
      <c r="H78" s="76"/>
      <c r="I78" s="184"/>
      <c r="J78" s="185"/>
      <c r="K78" s="57"/>
      <c r="L78" s="146"/>
      <c r="M78" s="43"/>
      <c r="N78" s="43"/>
      <c r="O78" s="43"/>
      <c r="P78" s="43"/>
      <c r="Q78" s="43"/>
      <c r="R78" s="11"/>
    </row>
    <row r="79" spans="1:18" ht="15.5" x14ac:dyDescent="0.35">
      <c r="A79" s="59"/>
      <c r="B79" s="81"/>
      <c r="C79" s="81"/>
      <c r="D79" s="202"/>
      <c r="E79" s="80"/>
      <c r="F79" s="74"/>
      <c r="G79" s="75"/>
      <c r="H79" s="76"/>
      <c r="I79" s="184"/>
      <c r="J79" s="185"/>
      <c r="K79" s="57"/>
      <c r="L79" s="146"/>
      <c r="M79" s="43"/>
      <c r="N79" s="43"/>
      <c r="O79" s="43"/>
      <c r="P79" s="43"/>
      <c r="Q79" s="43"/>
      <c r="R79" s="11"/>
    </row>
    <row r="80" spans="1:18" ht="15.5" x14ac:dyDescent="0.35">
      <c r="A80" s="59"/>
      <c r="B80" s="81"/>
      <c r="C80" s="81"/>
      <c r="D80" s="202"/>
      <c r="E80" s="80"/>
      <c r="F80" s="74"/>
      <c r="G80" s="75"/>
      <c r="H80" s="76"/>
      <c r="I80" s="184"/>
      <c r="J80" s="185"/>
      <c r="K80" s="57"/>
      <c r="L80" s="146"/>
      <c r="M80" s="43"/>
      <c r="N80" s="43"/>
      <c r="O80" s="43"/>
      <c r="P80" s="43"/>
      <c r="Q80" s="43"/>
      <c r="R80" s="11"/>
    </row>
    <row r="81" spans="1:18" ht="15.5" x14ac:dyDescent="0.35">
      <c r="A81" s="59"/>
      <c r="B81" s="52"/>
      <c r="C81" s="52"/>
      <c r="D81" s="195"/>
      <c r="E81" s="58"/>
      <c r="F81" s="54"/>
      <c r="G81" s="55"/>
      <c r="H81" s="56"/>
      <c r="I81" s="179"/>
      <c r="J81" s="180"/>
      <c r="K81" s="57"/>
      <c r="L81" s="146"/>
      <c r="M81" s="43"/>
      <c r="N81" s="43"/>
      <c r="O81" s="43"/>
      <c r="P81" s="43"/>
      <c r="Q81" s="43"/>
      <c r="R81" s="11"/>
    </row>
    <row r="82" spans="1:18" ht="15.5" x14ac:dyDescent="0.35">
      <c r="A82" s="59"/>
      <c r="B82" s="52"/>
      <c r="C82" s="52"/>
      <c r="D82" s="195"/>
      <c r="E82" s="58"/>
      <c r="F82" s="54"/>
      <c r="G82" s="55"/>
      <c r="H82" s="56"/>
      <c r="I82" s="179"/>
      <c r="J82" s="180"/>
      <c r="K82" s="57"/>
      <c r="L82" s="146"/>
      <c r="M82" s="43"/>
      <c r="N82" s="43"/>
      <c r="O82" s="43"/>
      <c r="P82" s="43"/>
      <c r="Q82" s="43"/>
      <c r="R82" s="11"/>
    </row>
    <row r="83" spans="1:18" ht="15.5" x14ac:dyDescent="0.35">
      <c r="A83" s="59"/>
      <c r="B83" s="52"/>
      <c r="C83" s="52"/>
      <c r="D83" s="195"/>
      <c r="E83" s="58"/>
      <c r="F83" s="54"/>
      <c r="G83" s="55"/>
      <c r="H83" s="56"/>
      <c r="I83" s="179"/>
      <c r="J83" s="180"/>
      <c r="K83" s="57"/>
      <c r="L83" s="146"/>
      <c r="M83" s="43"/>
      <c r="N83" s="43"/>
      <c r="O83" s="43"/>
      <c r="P83" s="43"/>
      <c r="Q83" s="43"/>
      <c r="R83" s="11"/>
    </row>
    <row r="84" spans="1:18" ht="15.5" x14ac:dyDescent="0.35">
      <c r="A84" s="59"/>
      <c r="B84" s="52"/>
      <c r="C84" s="52"/>
      <c r="D84" s="195"/>
      <c r="E84" s="58"/>
      <c r="F84" s="54"/>
      <c r="G84" s="55"/>
      <c r="H84" s="56"/>
      <c r="I84" s="179"/>
      <c r="J84" s="180"/>
      <c r="K84" s="57"/>
      <c r="L84" s="146"/>
      <c r="M84" s="43"/>
      <c r="N84" s="43"/>
      <c r="O84" s="43"/>
      <c r="P84" s="43"/>
      <c r="Q84" s="43"/>
      <c r="R84" s="11"/>
    </row>
    <row r="85" spans="1:18" ht="15.5" x14ac:dyDescent="0.35">
      <c r="A85" s="59"/>
      <c r="B85" s="52"/>
      <c r="C85" s="52"/>
      <c r="D85" s="195"/>
      <c r="E85" s="58"/>
      <c r="F85" s="54"/>
      <c r="G85" s="55"/>
      <c r="H85" s="56"/>
      <c r="I85" s="179"/>
      <c r="J85" s="180"/>
      <c r="K85" s="57"/>
      <c r="L85" s="146"/>
      <c r="M85" s="43"/>
      <c r="N85" s="43"/>
      <c r="O85" s="43"/>
      <c r="P85" s="43"/>
      <c r="Q85" s="43"/>
      <c r="R85" s="11"/>
    </row>
    <row r="86" spans="1:18" ht="15.5" x14ac:dyDescent="0.35">
      <c r="A86" s="59"/>
      <c r="B86" s="52"/>
      <c r="C86" s="52"/>
      <c r="D86" s="195"/>
      <c r="E86" s="58"/>
      <c r="F86" s="54"/>
      <c r="G86" s="55"/>
      <c r="H86" s="56"/>
      <c r="I86" s="179"/>
      <c r="J86" s="180"/>
      <c r="K86" s="57"/>
      <c r="L86" s="146"/>
      <c r="M86" s="43"/>
      <c r="N86" s="43"/>
      <c r="O86" s="43"/>
      <c r="P86" s="43"/>
      <c r="Q86" s="43"/>
      <c r="R86" s="11"/>
    </row>
    <row r="87" spans="1:18" ht="15.5" x14ac:dyDescent="0.35">
      <c r="A87" s="59"/>
      <c r="B87" s="52"/>
      <c r="C87" s="52"/>
      <c r="D87" s="195"/>
      <c r="E87" s="58"/>
      <c r="F87" s="54"/>
      <c r="G87" s="55"/>
      <c r="H87" s="56"/>
      <c r="I87" s="179"/>
      <c r="J87" s="180"/>
      <c r="K87" s="57"/>
      <c r="L87" s="146"/>
      <c r="M87" s="43"/>
      <c r="N87" s="43"/>
      <c r="O87" s="43"/>
      <c r="P87" s="43"/>
      <c r="Q87" s="43"/>
      <c r="R87" s="11"/>
    </row>
    <row r="88" spans="1:18" ht="15.5" x14ac:dyDescent="0.35">
      <c r="A88" s="59"/>
      <c r="B88" s="52"/>
      <c r="C88" s="52"/>
      <c r="D88" s="195"/>
      <c r="E88" s="58"/>
      <c r="F88" s="54"/>
      <c r="G88" s="55"/>
      <c r="H88" s="56"/>
      <c r="I88" s="179"/>
      <c r="J88" s="180"/>
      <c r="K88" s="57"/>
      <c r="L88" s="146"/>
      <c r="M88" s="43"/>
      <c r="N88" s="43"/>
      <c r="O88" s="43"/>
      <c r="P88" s="43"/>
      <c r="Q88" s="43"/>
      <c r="R88" s="11"/>
    </row>
    <row r="89" spans="1:18" ht="15.5" x14ac:dyDescent="0.35">
      <c r="A89" s="59"/>
      <c r="B89" s="52"/>
      <c r="C89" s="52"/>
      <c r="D89" s="195"/>
      <c r="E89" s="58"/>
      <c r="F89" s="54"/>
      <c r="G89" s="55"/>
      <c r="H89" s="56"/>
      <c r="I89" s="179"/>
      <c r="J89" s="180"/>
      <c r="K89" s="57"/>
      <c r="L89" s="146"/>
      <c r="M89" s="43"/>
      <c r="N89" s="43"/>
      <c r="O89" s="43"/>
      <c r="P89" s="43"/>
      <c r="Q89" s="43"/>
      <c r="R89" s="11"/>
    </row>
    <row r="90" spans="1:18" ht="15.5" x14ac:dyDescent="0.35">
      <c r="A90" s="59"/>
      <c r="B90" s="52"/>
      <c r="C90" s="52"/>
      <c r="D90" s="195"/>
      <c r="E90" s="58"/>
      <c r="F90" s="54"/>
      <c r="G90" s="55"/>
      <c r="H90" s="56"/>
      <c r="I90" s="179"/>
      <c r="J90" s="180"/>
      <c r="K90" s="57"/>
      <c r="L90" s="146"/>
      <c r="M90" s="43"/>
      <c r="N90" s="43"/>
      <c r="O90" s="43"/>
      <c r="P90" s="43"/>
      <c r="Q90" s="43"/>
      <c r="R90" s="11"/>
    </row>
    <row r="91" spans="1:18" ht="15.5" x14ac:dyDescent="0.35">
      <c r="A91" s="59"/>
      <c r="B91" s="52"/>
      <c r="C91" s="52"/>
      <c r="D91" s="195"/>
      <c r="E91" s="58"/>
      <c r="F91" s="54"/>
      <c r="G91" s="55"/>
      <c r="H91" s="56"/>
      <c r="I91" s="179"/>
      <c r="J91" s="180"/>
      <c r="K91" s="57"/>
      <c r="L91" s="146"/>
      <c r="M91" s="43"/>
      <c r="N91" s="43"/>
      <c r="O91" s="43"/>
      <c r="P91" s="43"/>
      <c r="Q91" s="43"/>
      <c r="R91" s="11"/>
    </row>
    <row r="92" spans="1:18" ht="15.5" x14ac:dyDescent="0.35">
      <c r="A92" s="59"/>
      <c r="B92" s="52"/>
      <c r="C92" s="52"/>
      <c r="D92" s="195"/>
      <c r="E92" s="58"/>
      <c r="F92" s="54"/>
      <c r="G92" s="55"/>
      <c r="H92" s="56"/>
      <c r="I92" s="179"/>
      <c r="J92" s="180"/>
      <c r="K92" s="57"/>
      <c r="L92" s="146"/>
      <c r="M92" s="43"/>
      <c r="N92" s="43"/>
      <c r="O92" s="43"/>
      <c r="P92" s="43"/>
      <c r="Q92" s="43"/>
      <c r="R92" s="11"/>
    </row>
    <row r="93" spans="1:18" ht="15.5" x14ac:dyDescent="0.35">
      <c r="A93" s="59"/>
      <c r="B93" s="52"/>
      <c r="C93" s="52"/>
      <c r="D93" s="195"/>
      <c r="E93" s="58"/>
      <c r="F93" s="54"/>
      <c r="G93" s="55"/>
      <c r="H93" s="56"/>
      <c r="I93" s="179"/>
      <c r="J93" s="180"/>
      <c r="K93" s="57"/>
      <c r="L93" s="146"/>
      <c r="M93" s="43"/>
      <c r="N93" s="43"/>
      <c r="O93" s="43"/>
      <c r="P93" s="43"/>
      <c r="Q93" s="43"/>
      <c r="R93" s="11"/>
    </row>
    <row r="94" spans="1:18" ht="15.5" x14ac:dyDescent="0.35">
      <c r="A94" s="59"/>
      <c r="B94" s="52"/>
      <c r="C94" s="52"/>
      <c r="D94" s="195"/>
      <c r="E94" s="58"/>
      <c r="F94" s="54"/>
      <c r="G94" s="55"/>
      <c r="H94" s="56"/>
      <c r="I94" s="179"/>
      <c r="J94" s="180"/>
      <c r="K94" s="57"/>
      <c r="L94" s="146"/>
      <c r="M94" s="43"/>
      <c r="N94" s="43"/>
      <c r="O94" s="43"/>
      <c r="P94" s="43"/>
      <c r="Q94" s="43"/>
      <c r="R94" s="11"/>
    </row>
    <row r="95" spans="1:18" ht="15.5" x14ac:dyDescent="0.35">
      <c r="A95" s="59"/>
      <c r="B95" s="52"/>
      <c r="C95" s="52"/>
      <c r="D95" s="195"/>
      <c r="E95" s="58"/>
      <c r="F95" s="54"/>
      <c r="G95" s="55"/>
      <c r="H95" s="56"/>
      <c r="I95" s="179"/>
      <c r="J95" s="180"/>
      <c r="K95" s="57"/>
      <c r="L95" s="146"/>
      <c r="M95" s="43"/>
      <c r="N95" s="43"/>
      <c r="O95" s="43"/>
      <c r="P95" s="43"/>
      <c r="Q95" s="43"/>
      <c r="R95" s="11"/>
    </row>
    <row r="96" spans="1:18" ht="15.5" x14ac:dyDescent="0.35">
      <c r="A96" s="59"/>
      <c r="B96" s="52"/>
      <c r="C96" s="52"/>
      <c r="D96" s="195"/>
      <c r="E96" s="58"/>
      <c r="F96" s="54"/>
      <c r="G96" s="55"/>
      <c r="H96" s="56"/>
      <c r="I96" s="179"/>
      <c r="J96" s="180"/>
      <c r="K96" s="57"/>
      <c r="L96" s="146"/>
      <c r="M96" s="43"/>
      <c r="N96" s="43"/>
      <c r="O96" s="43"/>
      <c r="P96" s="43"/>
      <c r="Q96" s="43"/>
      <c r="R96" s="11"/>
    </row>
    <row r="97" spans="1:18" ht="15.5" x14ac:dyDescent="0.35">
      <c r="A97" s="59"/>
      <c r="B97" s="52"/>
      <c r="C97" s="52"/>
      <c r="D97" s="195"/>
      <c r="E97" s="58"/>
      <c r="F97" s="54"/>
      <c r="G97" s="55"/>
      <c r="H97" s="56"/>
      <c r="I97" s="179"/>
      <c r="J97" s="180"/>
      <c r="K97" s="57"/>
      <c r="L97" s="146"/>
      <c r="M97" s="43"/>
      <c r="N97" s="43"/>
      <c r="O97" s="43"/>
      <c r="P97" s="43"/>
      <c r="Q97" s="43"/>
      <c r="R97" s="11"/>
    </row>
    <row r="98" spans="1:18" ht="15.5" x14ac:dyDescent="0.35">
      <c r="A98" s="59"/>
      <c r="B98" s="52"/>
      <c r="C98" s="52"/>
      <c r="D98" s="195"/>
      <c r="E98" s="58"/>
      <c r="F98" s="54"/>
      <c r="G98" s="55"/>
      <c r="H98" s="56"/>
      <c r="I98" s="179"/>
      <c r="J98" s="180"/>
      <c r="K98" s="57"/>
      <c r="L98" s="146"/>
      <c r="M98" s="43"/>
      <c r="N98" s="43"/>
      <c r="O98" s="43"/>
      <c r="P98" s="43"/>
      <c r="Q98" s="43"/>
      <c r="R98" s="11"/>
    </row>
    <row r="99" spans="1:18" ht="15.5" x14ac:dyDescent="0.35">
      <c r="A99" s="59"/>
      <c r="B99" s="52"/>
      <c r="C99" s="52"/>
      <c r="D99" s="195"/>
      <c r="E99" s="58"/>
      <c r="F99" s="54"/>
      <c r="G99" s="55"/>
      <c r="H99" s="56"/>
      <c r="I99" s="179"/>
      <c r="J99" s="180"/>
      <c r="K99" s="57"/>
      <c r="L99" s="146"/>
      <c r="M99" s="43"/>
      <c r="N99" s="43"/>
      <c r="O99" s="43"/>
      <c r="P99" s="43"/>
      <c r="Q99" s="43"/>
      <c r="R99" s="11"/>
    </row>
    <row r="100" spans="1:18" ht="15.5" x14ac:dyDescent="0.35">
      <c r="A100" s="59"/>
      <c r="B100" s="52"/>
      <c r="C100" s="52"/>
      <c r="D100" s="195"/>
      <c r="E100" s="58"/>
      <c r="F100" s="54"/>
      <c r="G100" s="55"/>
      <c r="H100" s="56"/>
      <c r="I100" s="179"/>
      <c r="J100" s="180"/>
      <c r="K100" s="57"/>
      <c r="L100" s="146"/>
      <c r="M100" s="43"/>
      <c r="N100" s="43"/>
      <c r="O100" s="43"/>
      <c r="P100" s="43"/>
      <c r="Q100" s="43"/>
      <c r="R100" s="11"/>
    </row>
    <row r="101" spans="1:18" ht="15.5" x14ac:dyDescent="0.35">
      <c r="A101" s="59"/>
      <c r="B101" s="52"/>
      <c r="C101" s="52"/>
      <c r="D101" s="195"/>
      <c r="E101" s="58"/>
      <c r="F101" s="54"/>
      <c r="G101" s="55"/>
      <c r="H101" s="56"/>
      <c r="I101" s="179"/>
      <c r="J101" s="180"/>
      <c r="K101" s="57"/>
      <c r="L101" s="146"/>
      <c r="M101" s="43"/>
      <c r="N101" s="43"/>
      <c r="O101" s="43"/>
      <c r="P101" s="43"/>
      <c r="Q101" s="43"/>
      <c r="R101" s="11"/>
    </row>
    <row r="102" spans="1:18" ht="15.5" x14ac:dyDescent="0.35">
      <c r="A102" s="59"/>
      <c r="B102" s="52"/>
      <c r="C102" s="52"/>
      <c r="D102" s="195"/>
      <c r="E102" s="58"/>
      <c r="F102" s="54"/>
      <c r="G102" s="55"/>
      <c r="H102" s="56"/>
      <c r="I102" s="179"/>
      <c r="J102" s="180"/>
      <c r="K102" s="57"/>
      <c r="L102" s="146"/>
      <c r="M102" s="43"/>
      <c r="N102" s="43"/>
      <c r="O102" s="43"/>
      <c r="P102" s="43"/>
      <c r="Q102" s="43"/>
      <c r="R102" s="11"/>
    </row>
    <row r="103" spans="1:18" ht="15.5" x14ac:dyDescent="0.3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</row>
    <row r="104" spans="1:18" ht="15.5" x14ac:dyDescent="0.3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</row>
    <row r="105" spans="1:18" ht="15.5" x14ac:dyDescent="0.3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</row>
    <row r="106" spans="1:18" ht="15.5" x14ac:dyDescent="0.3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spans="1:18" ht="15.5" x14ac:dyDescent="0.3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</row>
    <row r="108" spans="1:18" ht="15.5" x14ac:dyDescent="0.3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</row>
    <row r="109" spans="1:18" ht="15.5" x14ac:dyDescent="0.3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</row>
    <row r="110" spans="1:18" ht="15.5" x14ac:dyDescent="0.3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</row>
    <row r="111" spans="1:18" ht="15.5" x14ac:dyDescent="0.3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</row>
    <row r="112" spans="1:18" ht="15.5" x14ac:dyDescent="0.3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</row>
    <row r="113" spans="1:17" ht="15.5" x14ac:dyDescent="0.3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</row>
    <row r="114" spans="1:17" ht="15.5" x14ac:dyDescent="0.3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</row>
    <row r="115" spans="1:17" ht="15.5" x14ac:dyDescent="0.3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</row>
    <row r="116" spans="1:17" ht="15.5" x14ac:dyDescent="0.3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</row>
    <row r="117" spans="1:17" ht="15.5" x14ac:dyDescent="0.3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</row>
    <row r="118" spans="1:17" ht="15.5" x14ac:dyDescent="0.3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spans="1:17" ht="15.5" x14ac:dyDescent="0.3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spans="1:17" ht="15.5" x14ac:dyDescent="0.3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</row>
    <row r="121" spans="1:17" ht="15.5" x14ac:dyDescent="0.3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</row>
    <row r="122" spans="1:17" ht="15.5" x14ac:dyDescent="0.3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</row>
    <row r="123" spans="1:17" ht="15.5" x14ac:dyDescent="0.3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</row>
    <row r="124" spans="1:17" ht="15.5" x14ac:dyDescent="0.3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spans="1:17" ht="15.5" x14ac:dyDescent="0.3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</row>
    <row r="126" spans="1:17" ht="15.5" x14ac:dyDescent="0.3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</row>
    <row r="127" spans="1:17" ht="15.5" x14ac:dyDescent="0.3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</row>
    <row r="1048576" spans="1:1" ht="15.5" x14ac:dyDescent="0.35">
      <c r="A1048576" s="103">
        <v>45359</v>
      </c>
    </row>
  </sheetData>
  <mergeCells count="8">
    <mergeCell ref="B4:D4"/>
    <mergeCell ref="E4:G4"/>
    <mergeCell ref="H4:I4"/>
    <mergeCell ref="K4:Q4"/>
    <mergeCell ref="D1:K3"/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R398"/>
  <sheetViews>
    <sheetView zoomScale="120" zoomScaleNormal="120" workbookViewId="0">
      <pane ySplit="5" topLeftCell="A13" activePane="bottomLeft" state="frozen"/>
      <selection pane="bottomLeft" activeCell="A23" sqref="A23"/>
    </sheetView>
  </sheetViews>
  <sheetFormatPr baseColWidth="10" defaultColWidth="11.453125" defaultRowHeight="14.5" x14ac:dyDescent="0.35"/>
  <cols>
    <col min="1" max="1" width="14.1796875" customWidth="1"/>
    <col min="2" max="2" width="19.7265625" style="2" customWidth="1"/>
    <col min="3" max="3" width="22.1796875" style="2" customWidth="1"/>
    <col min="4" max="4" width="45.7265625" style="2" customWidth="1"/>
    <col min="5" max="5" width="15.26953125" style="2" customWidth="1"/>
    <col min="6" max="6" width="14.81640625" style="2" customWidth="1"/>
    <col min="7" max="7" width="16" style="2" customWidth="1"/>
    <col min="8" max="8" width="14.81640625" style="2" bestFit="1" customWidth="1"/>
    <col min="9" max="9" width="17.1796875" style="2" customWidth="1"/>
    <col min="10" max="10" width="17" style="2" customWidth="1"/>
    <col min="11" max="11" width="13" style="2" bestFit="1" customWidth="1"/>
    <col min="12" max="12" width="11.54296875" style="2" bestFit="1" customWidth="1"/>
    <col min="13" max="13" width="11.54296875" style="2" customWidth="1"/>
    <col min="14" max="15" width="13.54296875" style="2" customWidth="1"/>
    <col min="16" max="16" width="12.7265625" style="22" customWidth="1"/>
    <col min="17" max="17" width="36" style="2" customWidth="1"/>
    <col min="18" max="18" width="139.81640625" style="2" bestFit="1" customWidth="1"/>
  </cols>
  <sheetData>
    <row r="1" spans="1:18" ht="15" customHeight="1" x14ac:dyDescent="0.35">
      <c r="A1" s="158" t="s">
        <v>8</v>
      </c>
      <c r="B1" s="158"/>
      <c r="C1" s="158"/>
      <c r="D1" s="158"/>
      <c r="E1" s="187"/>
      <c r="F1" s="393" t="s">
        <v>88</v>
      </c>
      <c r="G1" s="394"/>
      <c r="H1" s="394"/>
      <c r="I1" s="394"/>
      <c r="J1" s="394"/>
      <c r="K1" s="394"/>
      <c r="L1" s="158"/>
      <c r="M1" s="158"/>
      <c r="N1" s="158"/>
      <c r="O1" s="158"/>
      <c r="P1" s="188"/>
      <c r="Q1" s="158"/>
      <c r="R1" s="158"/>
    </row>
    <row r="2" spans="1:18" ht="15" customHeight="1" x14ac:dyDescent="0.35">
      <c r="A2" s="158" t="s">
        <v>0</v>
      </c>
      <c r="B2" s="158"/>
      <c r="C2" s="158"/>
      <c r="D2" s="158"/>
      <c r="E2" s="187"/>
      <c r="F2" s="393"/>
      <c r="G2" s="394"/>
      <c r="H2" s="394"/>
      <c r="I2" s="394"/>
      <c r="J2" s="394"/>
      <c r="K2" s="394"/>
      <c r="L2" s="158"/>
      <c r="M2" s="158"/>
      <c r="N2" s="158"/>
      <c r="O2" s="158"/>
      <c r="P2" s="188"/>
      <c r="Q2" s="158"/>
      <c r="R2" s="158"/>
    </row>
    <row r="3" spans="1:18" ht="15" customHeight="1" x14ac:dyDescent="0.35">
      <c r="A3" s="158" t="s">
        <v>27</v>
      </c>
      <c r="B3" s="158"/>
      <c r="C3" s="158"/>
      <c r="D3" s="158"/>
      <c r="E3" s="189"/>
      <c r="F3" s="395"/>
      <c r="G3" s="396"/>
      <c r="H3" s="396"/>
      <c r="I3" s="396"/>
      <c r="J3" s="396"/>
      <c r="K3" s="396"/>
      <c r="L3" s="158"/>
      <c r="M3" s="158"/>
      <c r="N3" s="158"/>
      <c r="O3" s="158"/>
      <c r="P3" s="188"/>
      <c r="Q3" s="158"/>
      <c r="R3" s="158"/>
    </row>
    <row r="4" spans="1:18" ht="15.5" x14ac:dyDescent="0.35">
      <c r="A4" s="125"/>
      <c r="B4" s="382" t="s">
        <v>10</v>
      </c>
      <c r="C4" s="383"/>
      <c r="D4" s="384"/>
      <c r="E4" s="385" t="s">
        <v>52</v>
      </c>
      <c r="F4" s="386"/>
      <c r="G4" s="387"/>
      <c r="H4" s="388" t="s">
        <v>13</v>
      </c>
      <c r="I4" s="389"/>
      <c r="J4" s="389"/>
      <c r="K4" s="389"/>
      <c r="L4" s="390"/>
      <c r="M4" s="157" t="s">
        <v>30</v>
      </c>
      <c r="N4" s="157" t="s">
        <v>56</v>
      </c>
      <c r="O4" s="157" t="s">
        <v>57</v>
      </c>
      <c r="P4" s="190" t="s">
        <v>29</v>
      </c>
      <c r="Q4" s="391" t="s">
        <v>21</v>
      </c>
      <c r="R4" s="392"/>
    </row>
    <row r="5" spans="1:18" ht="46.5" x14ac:dyDescent="0.35">
      <c r="A5" s="92" t="s">
        <v>1</v>
      </c>
      <c r="B5" s="92" t="s">
        <v>2</v>
      </c>
      <c r="C5" s="92" t="s">
        <v>3</v>
      </c>
      <c r="D5" s="191" t="s">
        <v>11</v>
      </c>
      <c r="E5" s="156" t="s">
        <v>53</v>
      </c>
      <c r="F5" s="156" t="s">
        <v>54</v>
      </c>
      <c r="G5" s="156" t="s">
        <v>55</v>
      </c>
      <c r="H5" s="191" t="s">
        <v>42</v>
      </c>
      <c r="I5" s="191" t="s">
        <v>43</v>
      </c>
      <c r="J5" s="191" t="s">
        <v>79</v>
      </c>
      <c r="K5" s="191" t="s">
        <v>44</v>
      </c>
      <c r="L5" s="191" t="s">
        <v>45</v>
      </c>
      <c r="M5" s="92" t="s">
        <v>46</v>
      </c>
      <c r="N5" s="192" t="s">
        <v>60</v>
      </c>
      <c r="O5" s="156" t="s">
        <v>58</v>
      </c>
      <c r="P5" s="193" t="s">
        <v>59</v>
      </c>
      <c r="Q5" s="92" t="s">
        <v>22</v>
      </c>
      <c r="R5" s="106" t="s">
        <v>7</v>
      </c>
    </row>
    <row r="6" spans="1:18" ht="15.5" x14ac:dyDescent="0.35">
      <c r="A6" s="136"/>
      <c r="B6" s="140"/>
      <c r="C6" s="140"/>
      <c r="D6" s="140"/>
      <c r="E6" s="139"/>
      <c r="F6" s="139"/>
      <c r="G6" s="168"/>
      <c r="H6" s="137"/>
      <c r="I6" s="113"/>
      <c r="J6" s="113"/>
      <c r="K6" s="113"/>
      <c r="L6" s="113"/>
      <c r="M6" s="113"/>
      <c r="N6" s="113"/>
      <c r="O6" s="113"/>
      <c r="P6" s="181"/>
      <c r="Q6" s="106"/>
      <c r="R6" s="135"/>
    </row>
    <row r="7" spans="1:18" s="19" customFormat="1" ht="15.5" x14ac:dyDescent="0.35">
      <c r="A7" s="103">
        <v>46083</v>
      </c>
      <c r="B7" s="81">
        <v>0.3611111111111111</v>
      </c>
      <c r="C7" s="81">
        <v>0.69791666666666663</v>
      </c>
      <c r="D7" s="73">
        <f>C7-B7</f>
        <v>0.33680555555555552</v>
      </c>
      <c r="E7" s="182">
        <f>H7*15+I7*24</f>
        <v>11052</v>
      </c>
      <c r="F7" s="183"/>
      <c r="G7" s="75"/>
      <c r="H7" s="76">
        <v>300</v>
      </c>
      <c r="I7" s="76">
        <v>273</v>
      </c>
      <c r="J7" s="76">
        <v>260</v>
      </c>
      <c r="K7" s="184">
        <f>H7*15</f>
        <v>4500</v>
      </c>
      <c r="L7" s="184">
        <f>I7*24</f>
        <v>6552</v>
      </c>
      <c r="M7" s="76"/>
      <c r="N7" s="185">
        <f t="shared" ref="N7:N12" si="0">(I7*24/15)+H7</f>
        <v>736.8</v>
      </c>
      <c r="O7" s="185" t="e">
        <v>#DIV/0!</v>
      </c>
      <c r="P7" s="186">
        <f t="shared" ref="P7:P12" si="1">+F7*0.003</f>
        <v>0</v>
      </c>
      <c r="Q7" s="183" t="s">
        <v>174</v>
      </c>
      <c r="R7" s="77"/>
    </row>
    <row r="8" spans="1:18" s="19" customFormat="1" ht="15.5" x14ac:dyDescent="0.35">
      <c r="A8" s="103">
        <v>46085</v>
      </c>
      <c r="B8" s="81">
        <v>0.36805555555555558</v>
      </c>
      <c r="C8" s="81">
        <v>0.65972222222222221</v>
      </c>
      <c r="D8" s="73">
        <f>C8-B8</f>
        <v>0.29166666666666663</v>
      </c>
      <c r="E8" s="182">
        <v>4575</v>
      </c>
      <c r="F8" s="183"/>
      <c r="G8" s="75"/>
      <c r="H8" s="76">
        <v>350</v>
      </c>
      <c r="I8" s="76">
        <v>207</v>
      </c>
      <c r="J8" s="76">
        <v>140</v>
      </c>
      <c r="K8" s="184">
        <f t="shared" ref="K8:K51" si="2">H8*15</f>
        <v>5250</v>
      </c>
      <c r="L8" s="184">
        <f t="shared" ref="L8:L52" si="3">I8*24</f>
        <v>4968</v>
      </c>
      <c r="M8" s="76"/>
      <c r="N8" s="185">
        <f t="shared" si="0"/>
        <v>681.2</v>
      </c>
      <c r="O8" s="185" t="e">
        <v>#DIV/0!</v>
      </c>
      <c r="P8" s="186">
        <f t="shared" si="1"/>
        <v>0</v>
      </c>
      <c r="Q8" s="183" t="s">
        <v>174</v>
      </c>
      <c r="R8" s="77"/>
    </row>
    <row r="9" spans="1:18" s="19" customFormat="1" ht="15.5" x14ac:dyDescent="0.35">
      <c r="A9" s="103">
        <v>46085</v>
      </c>
      <c r="B9" s="81">
        <v>0.3125</v>
      </c>
      <c r="C9" s="81">
        <v>0.22777777777777777</v>
      </c>
      <c r="D9" s="73">
        <f t="shared" ref="D9:D23" si="4">C9-B9</f>
        <v>-8.4722222222222227E-2</v>
      </c>
      <c r="E9" s="327">
        <f t="shared" ref="E9:E60" si="5">(H9*15)+(I9*24)</f>
        <v>0</v>
      </c>
      <c r="F9" s="323"/>
      <c r="G9" s="302"/>
      <c r="H9" s="76"/>
      <c r="I9" s="76"/>
      <c r="J9" s="76"/>
      <c r="K9" s="184">
        <f t="shared" si="2"/>
        <v>0</v>
      </c>
      <c r="L9" s="184">
        <f t="shared" si="3"/>
        <v>0</v>
      </c>
      <c r="M9" s="76"/>
      <c r="N9" s="185">
        <f t="shared" si="0"/>
        <v>0</v>
      </c>
      <c r="O9" s="185" t="e">
        <v>#DIV/0!</v>
      </c>
      <c r="P9" s="186">
        <f t="shared" si="1"/>
        <v>0</v>
      </c>
      <c r="Q9" s="183" t="s">
        <v>174</v>
      </c>
      <c r="R9" s="77"/>
    </row>
    <row r="10" spans="1:18" s="19" customFormat="1" ht="15.5" x14ac:dyDescent="0.35">
      <c r="A10" s="103">
        <v>46086</v>
      </c>
      <c r="B10" s="81">
        <v>0.59722222222222221</v>
      </c>
      <c r="C10" s="81">
        <v>0.69791666666666663</v>
      </c>
      <c r="D10" s="73">
        <f t="shared" si="4"/>
        <v>0.10069444444444442</v>
      </c>
      <c r="E10" s="327">
        <f t="shared" si="5"/>
        <v>3645</v>
      </c>
      <c r="F10" s="323"/>
      <c r="G10" s="302"/>
      <c r="H10" s="76">
        <v>35</v>
      </c>
      <c r="I10" s="76">
        <v>130</v>
      </c>
      <c r="J10" s="76">
        <v>120</v>
      </c>
      <c r="K10" s="184">
        <f t="shared" si="2"/>
        <v>525</v>
      </c>
      <c r="L10" s="184">
        <f t="shared" si="3"/>
        <v>3120</v>
      </c>
      <c r="M10" s="76"/>
      <c r="N10" s="185">
        <f t="shared" si="0"/>
        <v>243</v>
      </c>
      <c r="O10" s="185" t="e">
        <v>#DIV/0!</v>
      </c>
      <c r="P10" s="186">
        <f t="shared" si="1"/>
        <v>0</v>
      </c>
      <c r="Q10" s="183" t="s">
        <v>174</v>
      </c>
      <c r="R10" s="77"/>
    </row>
    <row r="11" spans="1:18" s="19" customFormat="1" ht="15.5" x14ac:dyDescent="0.35">
      <c r="A11" s="103">
        <v>46087</v>
      </c>
      <c r="B11" s="81">
        <v>0.39583333333333331</v>
      </c>
      <c r="C11" s="81">
        <v>0.6875</v>
      </c>
      <c r="D11" s="73">
        <f t="shared" si="4"/>
        <v>0.29166666666666669</v>
      </c>
      <c r="E11" s="327">
        <f t="shared" si="5"/>
        <v>5655</v>
      </c>
      <c r="F11" s="323"/>
      <c r="G11" s="302"/>
      <c r="H11" s="76">
        <v>233</v>
      </c>
      <c r="I11" s="76">
        <v>90</v>
      </c>
      <c r="J11" s="76"/>
      <c r="K11" s="184">
        <f t="shared" si="2"/>
        <v>3495</v>
      </c>
      <c r="L11" s="184">
        <f t="shared" si="3"/>
        <v>2160</v>
      </c>
      <c r="M11" s="76"/>
      <c r="N11" s="185">
        <f t="shared" si="0"/>
        <v>377</v>
      </c>
      <c r="O11" s="185" t="e">
        <v>#DIV/0!</v>
      </c>
      <c r="P11" s="186">
        <f t="shared" si="1"/>
        <v>0</v>
      </c>
      <c r="Q11" s="183" t="s">
        <v>174</v>
      </c>
      <c r="R11" s="77"/>
    </row>
    <row r="12" spans="1:18" s="19" customFormat="1" ht="15.5" x14ac:dyDescent="0.35">
      <c r="A12" s="103">
        <v>46088</v>
      </c>
      <c r="B12" s="81">
        <v>0.39583333333333331</v>
      </c>
      <c r="C12" s="81">
        <v>0.65277777777777779</v>
      </c>
      <c r="D12" s="73">
        <f t="shared" si="4"/>
        <v>0.25694444444444448</v>
      </c>
      <c r="E12" s="327">
        <f t="shared" si="5"/>
        <v>9252</v>
      </c>
      <c r="F12" s="323"/>
      <c r="G12" s="302"/>
      <c r="H12" s="76">
        <v>100</v>
      </c>
      <c r="I12" s="76">
        <v>323</v>
      </c>
      <c r="J12" s="76">
        <v>160</v>
      </c>
      <c r="K12" s="184">
        <f t="shared" si="2"/>
        <v>1500</v>
      </c>
      <c r="L12" s="184">
        <f t="shared" si="3"/>
        <v>7752</v>
      </c>
      <c r="M12" s="76"/>
      <c r="N12" s="185">
        <f t="shared" si="0"/>
        <v>616.79999999999995</v>
      </c>
      <c r="O12" s="185" t="e">
        <v>#DIV/0!</v>
      </c>
      <c r="P12" s="186">
        <f t="shared" si="1"/>
        <v>0</v>
      </c>
      <c r="Q12" s="183" t="s">
        <v>174</v>
      </c>
      <c r="R12" s="77"/>
    </row>
    <row r="13" spans="1:18" s="19" customFormat="1" ht="15.5" x14ac:dyDescent="0.35">
      <c r="A13" s="103">
        <v>46090</v>
      </c>
      <c r="B13" s="81">
        <v>0.52777777777777779</v>
      </c>
      <c r="C13" s="81">
        <v>0.70138888888888884</v>
      </c>
      <c r="D13" s="73">
        <f t="shared" si="4"/>
        <v>0.17361111111111105</v>
      </c>
      <c r="E13" s="327">
        <f t="shared" si="5"/>
        <v>6870</v>
      </c>
      <c r="F13" s="323"/>
      <c r="G13" s="302"/>
      <c r="H13" s="76">
        <v>266</v>
      </c>
      <c r="I13" s="76">
        <v>120</v>
      </c>
      <c r="J13" s="76">
        <v>200</v>
      </c>
      <c r="K13" s="184">
        <f t="shared" si="2"/>
        <v>3990</v>
      </c>
      <c r="L13" s="184">
        <f t="shared" si="3"/>
        <v>2880</v>
      </c>
      <c r="M13" s="76"/>
      <c r="N13" s="185">
        <f>(I13*24/15)+H13</f>
        <v>458</v>
      </c>
      <c r="O13" s="185" t="e">
        <f t="shared" ref="O13:O19" si="6">+N13/M13</f>
        <v>#DIV/0!</v>
      </c>
      <c r="P13" s="186">
        <f>+F13*0.003</f>
        <v>0</v>
      </c>
      <c r="Q13" s="183" t="s">
        <v>174</v>
      </c>
      <c r="R13" s="77"/>
    </row>
    <row r="14" spans="1:18" s="19" customFormat="1" ht="14.25" customHeight="1" x14ac:dyDescent="0.35">
      <c r="A14" s="103">
        <v>46091</v>
      </c>
      <c r="B14" s="81">
        <v>0.63194444444444442</v>
      </c>
      <c r="C14" s="81">
        <v>0.74305555555555558</v>
      </c>
      <c r="D14" s="73">
        <f t="shared" si="4"/>
        <v>0.11111111111111116</v>
      </c>
      <c r="E14" s="327">
        <f t="shared" si="5"/>
        <v>4080</v>
      </c>
      <c r="F14" s="323"/>
      <c r="G14" s="302"/>
      <c r="H14" s="76"/>
      <c r="I14" s="76">
        <v>170</v>
      </c>
      <c r="J14" s="76">
        <v>140</v>
      </c>
      <c r="K14" s="184">
        <f t="shared" si="2"/>
        <v>0</v>
      </c>
      <c r="L14" s="184">
        <f t="shared" si="3"/>
        <v>4080</v>
      </c>
      <c r="M14" s="76"/>
      <c r="N14" s="185">
        <f>(I14*24/15)+H14</f>
        <v>272</v>
      </c>
      <c r="O14" s="185" t="e">
        <f t="shared" si="6"/>
        <v>#DIV/0!</v>
      </c>
      <c r="P14" s="186">
        <f>+F14*0.003</f>
        <v>0</v>
      </c>
      <c r="Q14" s="183" t="s">
        <v>174</v>
      </c>
      <c r="R14" s="77"/>
    </row>
    <row r="15" spans="1:18" s="19" customFormat="1" ht="14.25" customHeight="1" x14ac:dyDescent="0.35">
      <c r="A15" s="103">
        <v>46092</v>
      </c>
      <c r="B15" s="81">
        <v>0.375</v>
      </c>
      <c r="C15" s="81">
        <v>0.54166666666666663</v>
      </c>
      <c r="D15" s="73">
        <f t="shared" si="4"/>
        <v>0.16666666666666663</v>
      </c>
      <c r="E15" s="327">
        <f>(H15*15)+(I15*24)</f>
        <v>6750</v>
      </c>
      <c r="F15" s="323"/>
      <c r="G15" s="302"/>
      <c r="H15" s="76">
        <v>450</v>
      </c>
      <c r="I15" s="76"/>
      <c r="J15" s="76"/>
      <c r="K15" s="184">
        <f>H15*15</f>
        <v>6750</v>
      </c>
      <c r="L15" s="184">
        <f>I15*24</f>
        <v>0</v>
      </c>
      <c r="M15" s="76"/>
      <c r="N15" s="185">
        <f>(I15*24/15)+H15</f>
        <v>450</v>
      </c>
      <c r="O15" s="185" t="e">
        <f t="shared" si="6"/>
        <v>#DIV/0!</v>
      </c>
      <c r="P15" s="186">
        <f>+F15*0.003</f>
        <v>0</v>
      </c>
      <c r="Q15" s="183" t="s">
        <v>174</v>
      </c>
      <c r="R15" s="77"/>
    </row>
    <row r="16" spans="1:18" s="19" customFormat="1" ht="15.5" hidden="1" x14ac:dyDescent="0.35">
      <c r="A16" s="103"/>
      <c r="B16" s="81"/>
      <c r="C16" s="81"/>
      <c r="D16" s="73">
        <f t="shared" si="4"/>
        <v>0</v>
      </c>
      <c r="E16" s="327">
        <f t="shared" si="5"/>
        <v>0</v>
      </c>
      <c r="F16" s="323"/>
      <c r="G16" s="302"/>
      <c r="H16" s="76"/>
      <c r="I16" s="76"/>
      <c r="J16" s="76"/>
      <c r="K16" s="184">
        <f t="shared" si="2"/>
        <v>0</v>
      </c>
      <c r="L16" s="184">
        <f t="shared" si="3"/>
        <v>0</v>
      </c>
      <c r="M16" s="76"/>
      <c r="N16" s="185">
        <f t="shared" ref="N16:N33" si="7">(I16*24/15)+H16</f>
        <v>0</v>
      </c>
      <c r="O16" s="185" t="e">
        <f t="shared" si="6"/>
        <v>#DIV/0!</v>
      </c>
      <c r="P16" s="186">
        <v>0</v>
      </c>
      <c r="Q16" s="183"/>
      <c r="R16" s="77"/>
    </row>
    <row r="17" spans="1:18" s="19" customFormat="1" ht="15.5" hidden="1" x14ac:dyDescent="0.35">
      <c r="A17" s="103"/>
      <c r="B17" s="81"/>
      <c r="C17" s="81"/>
      <c r="D17" s="73">
        <f t="shared" si="4"/>
        <v>0</v>
      </c>
      <c r="E17" s="327">
        <f t="shared" si="5"/>
        <v>0</v>
      </c>
      <c r="F17" s="323"/>
      <c r="G17" s="302"/>
      <c r="H17" s="76"/>
      <c r="I17" s="76"/>
      <c r="J17" s="76"/>
      <c r="K17" s="184">
        <f t="shared" si="2"/>
        <v>0</v>
      </c>
      <c r="L17" s="184">
        <f t="shared" si="3"/>
        <v>0</v>
      </c>
      <c r="M17" s="76"/>
      <c r="N17" s="185">
        <f t="shared" si="7"/>
        <v>0</v>
      </c>
      <c r="O17" s="185" t="e">
        <f t="shared" si="6"/>
        <v>#DIV/0!</v>
      </c>
      <c r="P17" s="186">
        <v>0.246</v>
      </c>
      <c r="Q17" s="183"/>
      <c r="R17" s="77"/>
    </row>
    <row r="18" spans="1:18" s="19" customFormat="1" ht="15.5" hidden="1" x14ac:dyDescent="0.35">
      <c r="A18" s="103"/>
      <c r="B18" s="81"/>
      <c r="C18" s="81"/>
      <c r="D18" s="73">
        <f t="shared" si="4"/>
        <v>0</v>
      </c>
      <c r="E18" s="327">
        <f t="shared" si="5"/>
        <v>0</v>
      </c>
      <c r="F18" s="323"/>
      <c r="G18" s="302"/>
      <c r="H18" s="76"/>
      <c r="I18" s="76"/>
      <c r="J18" s="76"/>
      <c r="K18" s="184">
        <f t="shared" si="2"/>
        <v>0</v>
      </c>
      <c r="L18" s="184">
        <f t="shared" si="3"/>
        <v>0</v>
      </c>
      <c r="M18" s="76"/>
      <c r="N18" s="185">
        <f t="shared" si="7"/>
        <v>0</v>
      </c>
      <c r="O18" s="185" t="e">
        <f t="shared" si="6"/>
        <v>#DIV/0!</v>
      </c>
      <c r="P18" s="186">
        <v>0</v>
      </c>
      <c r="Q18" s="183"/>
      <c r="R18" s="77"/>
    </row>
    <row r="19" spans="1:18" s="19" customFormat="1" ht="15.5" hidden="1" x14ac:dyDescent="0.35">
      <c r="A19" s="103"/>
      <c r="B19" s="81"/>
      <c r="C19" s="81"/>
      <c r="D19" s="73">
        <f t="shared" si="4"/>
        <v>0</v>
      </c>
      <c r="E19" s="327">
        <f t="shared" si="5"/>
        <v>0</v>
      </c>
      <c r="F19" s="323"/>
      <c r="G19" s="302"/>
      <c r="H19" s="76"/>
      <c r="I19" s="76"/>
      <c r="J19" s="76"/>
      <c r="K19" s="184">
        <f t="shared" si="2"/>
        <v>0</v>
      </c>
      <c r="L19" s="184">
        <f t="shared" si="3"/>
        <v>0</v>
      </c>
      <c r="M19" s="76"/>
      <c r="N19" s="185">
        <f t="shared" si="7"/>
        <v>0</v>
      </c>
      <c r="O19" s="185" t="e">
        <f t="shared" si="6"/>
        <v>#DIV/0!</v>
      </c>
      <c r="P19" s="186">
        <f t="shared" ref="P19:P42" si="8">+F19*0.003</f>
        <v>0</v>
      </c>
      <c r="Q19" s="183"/>
      <c r="R19" s="77"/>
    </row>
    <row r="20" spans="1:18" s="19" customFormat="1" ht="15.5" x14ac:dyDescent="0.35">
      <c r="A20" s="103">
        <v>46093</v>
      </c>
      <c r="B20" s="81">
        <v>0.38194444444444442</v>
      </c>
      <c r="C20" s="81">
        <v>0.68402777777777779</v>
      </c>
      <c r="D20" s="73">
        <f t="shared" si="4"/>
        <v>0.30208333333333337</v>
      </c>
      <c r="E20" s="327">
        <f t="shared" si="5"/>
        <v>6234</v>
      </c>
      <c r="F20" s="323"/>
      <c r="G20" s="302"/>
      <c r="H20" s="76">
        <v>150</v>
      </c>
      <c r="I20" s="76">
        <v>166</v>
      </c>
      <c r="J20" s="76"/>
      <c r="K20" s="184">
        <f t="shared" si="2"/>
        <v>2250</v>
      </c>
      <c r="L20" s="184">
        <f t="shared" si="3"/>
        <v>3984</v>
      </c>
      <c r="M20" s="76"/>
      <c r="N20" s="185">
        <f t="shared" si="7"/>
        <v>415.6</v>
      </c>
      <c r="O20" s="185" t="e">
        <f t="shared" ref="O20:O46" si="9">+N20/M20</f>
        <v>#DIV/0!</v>
      </c>
      <c r="P20" s="186">
        <f t="shared" si="8"/>
        <v>0</v>
      </c>
      <c r="Q20" s="183" t="s">
        <v>174</v>
      </c>
      <c r="R20" s="77"/>
    </row>
    <row r="21" spans="1:18" s="19" customFormat="1" ht="15.5" x14ac:dyDescent="0.35">
      <c r="A21" s="103">
        <v>46094</v>
      </c>
      <c r="B21" s="81">
        <v>0.52083333333333337</v>
      </c>
      <c r="C21" s="81">
        <v>0.59722222222222221</v>
      </c>
      <c r="D21" s="73">
        <f>C21-B21</f>
        <v>7.638888888888884E-2</v>
      </c>
      <c r="E21" s="327">
        <f>(H21*15)+(I21*24)</f>
        <v>2880</v>
      </c>
      <c r="F21" s="323"/>
      <c r="G21" s="302"/>
      <c r="H21" s="76"/>
      <c r="I21" s="76">
        <v>120</v>
      </c>
      <c r="J21" s="76">
        <v>100</v>
      </c>
      <c r="K21" s="184">
        <f>H21*15</f>
        <v>0</v>
      </c>
      <c r="L21" s="184">
        <f>I21*24</f>
        <v>2880</v>
      </c>
      <c r="M21" s="76"/>
      <c r="N21" s="185">
        <f>(I21*24/15)+H21</f>
        <v>192</v>
      </c>
      <c r="O21" s="185" t="e">
        <f>+N21/M21</f>
        <v>#DIV/0!</v>
      </c>
      <c r="P21" s="186">
        <f>+F21*0.003</f>
        <v>0</v>
      </c>
      <c r="Q21" s="183" t="s">
        <v>174</v>
      </c>
      <c r="R21" s="77"/>
    </row>
    <row r="22" spans="1:18" s="19" customFormat="1" ht="15.5" x14ac:dyDescent="0.35">
      <c r="A22" s="103">
        <v>46095</v>
      </c>
      <c r="B22" s="81">
        <v>0.3611111111111111</v>
      </c>
      <c r="C22" s="81">
        <v>0.52083333333333337</v>
      </c>
      <c r="D22" s="73">
        <f>C22-B22</f>
        <v>0.15972222222222227</v>
      </c>
      <c r="E22" s="327">
        <f>(H22*15)+(I22*24)</f>
        <v>5325</v>
      </c>
      <c r="F22" s="323"/>
      <c r="G22" s="302"/>
      <c r="H22" s="76">
        <v>187</v>
      </c>
      <c r="I22" s="76">
        <v>105</v>
      </c>
      <c r="J22" s="76"/>
      <c r="K22" s="184">
        <f>H22*15</f>
        <v>2805</v>
      </c>
      <c r="L22" s="184">
        <f>I22*24</f>
        <v>2520</v>
      </c>
      <c r="M22" s="76"/>
      <c r="N22" s="185">
        <f>(I22*24/15)+H22</f>
        <v>355</v>
      </c>
      <c r="O22" s="185" t="e">
        <f>+N22/M22</f>
        <v>#DIV/0!</v>
      </c>
      <c r="P22" s="186">
        <f>+F22*0.003</f>
        <v>0</v>
      </c>
      <c r="Q22" s="183" t="s">
        <v>174</v>
      </c>
      <c r="R22" s="77"/>
    </row>
    <row r="23" spans="1:18" s="19" customFormat="1" ht="15.5" x14ac:dyDescent="0.35">
      <c r="A23" s="103"/>
      <c r="B23" s="81"/>
      <c r="C23" s="81"/>
      <c r="D23" s="73">
        <f t="shared" si="4"/>
        <v>0</v>
      </c>
      <c r="E23" s="327">
        <f t="shared" si="5"/>
        <v>0</v>
      </c>
      <c r="F23" s="323"/>
      <c r="G23" s="302"/>
      <c r="H23" s="76"/>
      <c r="I23" s="76"/>
      <c r="J23" s="76"/>
      <c r="K23" s="184">
        <f t="shared" si="2"/>
        <v>0</v>
      </c>
      <c r="L23" s="184">
        <f t="shared" si="3"/>
        <v>0</v>
      </c>
      <c r="M23" s="76"/>
      <c r="N23" s="185">
        <f t="shared" si="7"/>
        <v>0</v>
      </c>
      <c r="O23" s="185" t="e">
        <f t="shared" si="9"/>
        <v>#DIV/0!</v>
      </c>
      <c r="P23" s="186">
        <f t="shared" si="8"/>
        <v>0</v>
      </c>
      <c r="Q23" s="183" t="s">
        <v>174</v>
      </c>
      <c r="R23" s="77"/>
    </row>
    <row r="24" spans="1:18" s="19" customFormat="1" ht="15.5" x14ac:dyDescent="0.35">
      <c r="A24" s="103"/>
      <c r="B24" s="81"/>
      <c r="C24" s="81"/>
      <c r="D24" s="73">
        <f t="shared" ref="D24:D35" si="10">+C24-B24</f>
        <v>0</v>
      </c>
      <c r="E24" s="327">
        <f t="shared" si="5"/>
        <v>0</v>
      </c>
      <c r="F24" s="323"/>
      <c r="G24" s="302"/>
      <c r="H24" s="76"/>
      <c r="I24" s="76"/>
      <c r="J24" s="76"/>
      <c r="K24" s="184">
        <f t="shared" si="2"/>
        <v>0</v>
      </c>
      <c r="L24" s="184">
        <f t="shared" si="3"/>
        <v>0</v>
      </c>
      <c r="M24" s="76"/>
      <c r="N24" s="185">
        <f t="shared" si="7"/>
        <v>0</v>
      </c>
      <c r="O24" s="185" t="e">
        <f t="shared" si="9"/>
        <v>#DIV/0!</v>
      </c>
      <c r="P24" s="186">
        <f t="shared" si="8"/>
        <v>0</v>
      </c>
      <c r="Q24" s="183" t="s">
        <v>174</v>
      </c>
      <c r="R24" s="77"/>
    </row>
    <row r="25" spans="1:18" s="19" customFormat="1" ht="15.5" x14ac:dyDescent="0.35">
      <c r="A25" s="103"/>
      <c r="B25" s="81"/>
      <c r="C25" s="81"/>
      <c r="D25" s="73">
        <f t="shared" si="10"/>
        <v>0</v>
      </c>
      <c r="E25" s="327">
        <f t="shared" si="5"/>
        <v>0</v>
      </c>
      <c r="F25" s="323"/>
      <c r="G25" s="302"/>
      <c r="H25" s="76"/>
      <c r="I25" s="76"/>
      <c r="J25" s="76"/>
      <c r="K25" s="184">
        <f t="shared" si="2"/>
        <v>0</v>
      </c>
      <c r="L25" s="184">
        <f t="shared" si="3"/>
        <v>0</v>
      </c>
      <c r="M25" s="76"/>
      <c r="N25" s="185">
        <f t="shared" si="7"/>
        <v>0</v>
      </c>
      <c r="O25" s="185" t="e">
        <f t="shared" si="9"/>
        <v>#DIV/0!</v>
      </c>
      <c r="P25" s="186">
        <f t="shared" si="8"/>
        <v>0</v>
      </c>
      <c r="Q25" s="183" t="s">
        <v>174</v>
      </c>
      <c r="R25" s="77"/>
    </row>
    <row r="26" spans="1:18" s="19" customFormat="1" ht="15.5" x14ac:dyDescent="0.35">
      <c r="A26" s="103"/>
      <c r="B26" s="81"/>
      <c r="C26" s="81"/>
      <c r="D26" s="73">
        <f t="shared" si="10"/>
        <v>0</v>
      </c>
      <c r="E26" s="327">
        <f t="shared" si="5"/>
        <v>0</v>
      </c>
      <c r="F26" s="323"/>
      <c r="G26" s="302"/>
      <c r="H26" s="76"/>
      <c r="I26" s="76"/>
      <c r="J26" s="76"/>
      <c r="K26" s="184">
        <f t="shared" si="2"/>
        <v>0</v>
      </c>
      <c r="L26" s="184">
        <f t="shared" si="3"/>
        <v>0</v>
      </c>
      <c r="M26" s="76"/>
      <c r="N26" s="185">
        <f t="shared" si="7"/>
        <v>0</v>
      </c>
      <c r="O26" s="185" t="e">
        <f t="shared" si="9"/>
        <v>#DIV/0!</v>
      </c>
      <c r="P26" s="186">
        <f t="shared" si="8"/>
        <v>0</v>
      </c>
      <c r="Q26" s="183"/>
      <c r="R26" s="77"/>
    </row>
    <row r="27" spans="1:18" s="19" customFormat="1" ht="15.5" x14ac:dyDescent="0.35">
      <c r="A27" s="103"/>
      <c r="B27" s="81"/>
      <c r="C27" s="81"/>
      <c r="D27" s="73">
        <f t="shared" si="10"/>
        <v>0</v>
      </c>
      <c r="E27" s="327">
        <f t="shared" si="5"/>
        <v>0</v>
      </c>
      <c r="F27" s="323"/>
      <c r="G27" s="302"/>
      <c r="H27" s="76"/>
      <c r="I27" s="76"/>
      <c r="J27" s="76"/>
      <c r="K27" s="184">
        <f t="shared" si="2"/>
        <v>0</v>
      </c>
      <c r="L27" s="184">
        <f t="shared" si="3"/>
        <v>0</v>
      </c>
      <c r="M27" s="76"/>
      <c r="N27" s="185">
        <f t="shared" si="7"/>
        <v>0</v>
      </c>
      <c r="O27" s="185" t="e">
        <f t="shared" si="9"/>
        <v>#DIV/0!</v>
      </c>
      <c r="P27" s="186">
        <f t="shared" si="8"/>
        <v>0</v>
      </c>
      <c r="Q27" s="183"/>
      <c r="R27" s="77"/>
    </row>
    <row r="28" spans="1:18" s="19" customFormat="1" ht="15.5" x14ac:dyDescent="0.35">
      <c r="A28" s="103"/>
      <c r="B28" s="81"/>
      <c r="C28" s="81"/>
      <c r="D28" s="73">
        <f t="shared" si="10"/>
        <v>0</v>
      </c>
      <c r="E28" s="327">
        <f t="shared" si="5"/>
        <v>0</v>
      </c>
      <c r="F28" s="323"/>
      <c r="G28" s="302"/>
      <c r="H28" s="76"/>
      <c r="I28" s="76"/>
      <c r="J28" s="76"/>
      <c r="K28" s="184">
        <f t="shared" si="2"/>
        <v>0</v>
      </c>
      <c r="L28" s="184">
        <f t="shared" si="3"/>
        <v>0</v>
      </c>
      <c r="M28" s="76"/>
      <c r="N28" s="185">
        <f t="shared" si="7"/>
        <v>0</v>
      </c>
      <c r="O28" s="185" t="e">
        <f t="shared" si="9"/>
        <v>#DIV/0!</v>
      </c>
      <c r="P28" s="186">
        <f t="shared" si="8"/>
        <v>0</v>
      </c>
      <c r="Q28" s="183" t="s">
        <v>174</v>
      </c>
      <c r="R28" s="77"/>
    </row>
    <row r="29" spans="1:18" ht="15.5" x14ac:dyDescent="0.35">
      <c r="A29" s="103"/>
      <c r="B29" s="81"/>
      <c r="C29" s="81"/>
      <c r="D29" s="73">
        <f t="shared" si="10"/>
        <v>0</v>
      </c>
      <c r="E29" s="327">
        <f t="shared" si="5"/>
        <v>0</v>
      </c>
      <c r="F29" s="323"/>
      <c r="G29" s="302"/>
      <c r="H29" s="76"/>
      <c r="I29" s="76"/>
      <c r="J29" s="76"/>
      <c r="K29" s="184">
        <f t="shared" si="2"/>
        <v>0</v>
      </c>
      <c r="L29" s="184">
        <f t="shared" si="3"/>
        <v>0</v>
      </c>
      <c r="M29" s="76"/>
      <c r="N29" s="185">
        <f t="shared" si="7"/>
        <v>0</v>
      </c>
      <c r="O29" s="185" t="e">
        <f t="shared" si="9"/>
        <v>#DIV/0!</v>
      </c>
      <c r="P29" s="186">
        <f t="shared" si="8"/>
        <v>0</v>
      </c>
      <c r="Q29" s="183" t="s">
        <v>174</v>
      </c>
      <c r="R29" s="77"/>
    </row>
    <row r="30" spans="1:18" ht="15.5" x14ac:dyDescent="0.35">
      <c r="A30" s="103"/>
      <c r="B30" s="81"/>
      <c r="C30" s="81"/>
      <c r="D30" s="73">
        <f t="shared" si="10"/>
        <v>0</v>
      </c>
      <c r="E30" s="327">
        <f t="shared" si="5"/>
        <v>0</v>
      </c>
      <c r="F30" s="323"/>
      <c r="G30" s="302"/>
      <c r="H30" s="76"/>
      <c r="I30" s="76"/>
      <c r="J30" s="76"/>
      <c r="K30" s="184">
        <f t="shared" si="2"/>
        <v>0</v>
      </c>
      <c r="L30" s="184">
        <f t="shared" si="3"/>
        <v>0</v>
      </c>
      <c r="M30" s="76"/>
      <c r="N30" s="185">
        <f t="shared" si="7"/>
        <v>0</v>
      </c>
      <c r="O30" s="185" t="e">
        <f t="shared" si="9"/>
        <v>#DIV/0!</v>
      </c>
      <c r="P30" s="186"/>
      <c r="Q30" s="77"/>
      <c r="R30" s="77"/>
    </row>
    <row r="31" spans="1:18" ht="15.5" x14ac:dyDescent="0.35">
      <c r="A31" s="103"/>
      <c r="B31" s="81"/>
      <c r="C31" s="81"/>
      <c r="D31" s="73">
        <f t="shared" si="10"/>
        <v>0</v>
      </c>
      <c r="E31" s="327">
        <f t="shared" si="5"/>
        <v>0</v>
      </c>
      <c r="F31" s="323"/>
      <c r="G31" s="302"/>
      <c r="H31" s="76"/>
      <c r="I31" s="76"/>
      <c r="J31" s="76"/>
      <c r="K31" s="184">
        <f t="shared" si="2"/>
        <v>0</v>
      </c>
      <c r="L31" s="184">
        <f t="shared" si="3"/>
        <v>0</v>
      </c>
      <c r="M31" s="76"/>
      <c r="N31" s="185">
        <f t="shared" si="7"/>
        <v>0</v>
      </c>
      <c r="O31" s="185" t="e">
        <f t="shared" si="9"/>
        <v>#DIV/0!</v>
      </c>
      <c r="P31" s="186">
        <f t="shared" si="8"/>
        <v>0</v>
      </c>
      <c r="Q31" s="77" t="s">
        <v>174</v>
      </c>
      <c r="R31" s="77"/>
    </row>
    <row r="32" spans="1:18" ht="15.5" x14ac:dyDescent="0.35">
      <c r="A32" s="103"/>
      <c r="B32" s="81"/>
      <c r="C32" s="81"/>
      <c r="D32" s="73">
        <f t="shared" si="10"/>
        <v>0</v>
      </c>
      <c r="E32" s="327">
        <f t="shared" si="5"/>
        <v>0</v>
      </c>
      <c r="F32" s="323"/>
      <c r="G32" s="302"/>
      <c r="H32" s="76"/>
      <c r="I32" s="76"/>
      <c r="J32" s="76"/>
      <c r="K32" s="184">
        <f t="shared" si="2"/>
        <v>0</v>
      </c>
      <c r="L32" s="184">
        <f t="shared" si="3"/>
        <v>0</v>
      </c>
      <c r="M32" s="76"/>
      <c r="N32" s="185">
        <f t="shared" si="7"/>
        <v>0</v>
      </c>
      <c r="O32" s="185" t="e">
        <f t="shared" si="9"/>
        <v>#DIV/0!</v>
      </c>
      <c r="P32" s="186">
        <f t="shared" si="8"/>
        <v>0</v>
      </c>
      <c r="Q32" s="77" t="s">
        <v>174</v>
      </c>
      <c r="R32" s="77"/>
    </row>
    <row r="33" spans="1:18" ht="15.5" x14ac:dyDescent="0.35">
      <c r="A33" s="103"/>
      <c r="B33" s="81"/>
      <c r="C33" s="81"/>
      <c r="D33" s="73">
        <f t="shared" si="10"/>
        <v>0</v>
      </c>
      <c r="E33" s="327">
        <f t="shared" si="5"/>
        <v>0</v>
      </c>
      <c r="F33" s="323"/>
      <c r="G33" s="302"/>
      <c r="H33" s="76"/>
      <c r="I33" s="76"/>
      <c r="J33" s="76"/>
      <c r="K33" s="184">
        <f t="shared" si="2"/>
        <v>0</v>
      </c>
      <c r="L33" s="184">
        <f t="shared" si="3"/>
        <v>0</v>
      </c>
      <c r="M33" s="76"/>
      <c r="N33" s="185">
        <f t="shared" si="7"/>
        <v>0</v>
      </c>
      <c r="O33" s="185" t="e">
        <f t="shared" si="9"/>
        <v>#DIV/0!</v>
      </c>
      <c r="P33" s="186">
        <f t="shared" si="8"/>
        <v>0</v>
      </c>
      <c r="Q33" s="183" t="s">
        <v>174</v>
      </c>
      <c r="R33" s="77"/>
    </row>
    <row r="34" spans="1:18" s="19" customFormat="1" ht="15.5" x14ac:dyDescent="0.35">
      <c r="A34" s="103"/>
      <c r="B34" s="81"/>
      <c r="C34" s="81"/>
      <c r="D34" s="73">
        <f t="shared" si="10"/>
        <v>0</v>
      </c>
      <c r="E34" s="327">
        <f t="shared" si="5"/>
        <v>0</v>
      </c>
      <c r="F34" s="323"/>
      <c r="G34" s="302"/>
      <c r="H34" s="76"/>
      <c r="I34" s="76"/>
      <c r="J34" s="76"/>
      <c r="K34" s="184">
        <f t="shared" si="2"/>
        <v>0</v>
      </c>
      <c r="L34" s="184">
        <f t="shared" si="3"/>
        <v>0</v>
      </c>
      <c r="M34" s="76"/>
      <c r="N34" s="185">
        <f>(I34*24/15)+H34</f>
        <v>0</v>
      </c>
      <c r="O34" s="185" t="e">
        <f t="shared" si="9"/>
        <v>#DIV/0!</v>
      </c>
      <c r="P34" s="186">
        <f t="shared" si="8"/>
        <v>0</v>
      </c>
      <c r="Q34" s="183" t="s">
        <v>174</v>
      </c>
      <c r="R34" s="77"/>
    </row>
    <row r="35" spans="1:18" s="19" customFormat="1" ht="15.5" x14ac:dyDescent="0.35">
      <c r="A35" s="103"/>
      <c r="B35" s="81"/>
      <c r="C35" s="81"/>
      <c r="D35" s="73">
        <f t="shared" si="10"/>
        <v>0</v>
      </c>
      <c r="E35" s="327">
        <f t="shared" si="5"/>
        <v>0</v>
      </c>
      <c r="F35" s="323"/>
      <c r="G35" s="302"/>
      <c r="H35" s="76"/>
      <c r="I35" s="76"/>
      <c r="J35" s="76"/>
      <c r="K35" s="184">
        <f t="shared" si="2"/>
        <v>0</v>
      </c>
      <c r="L35" s="184">
        <f t="shared" si="3"/>
        <v>0</v>
      </c>
      <c r="M35" s="76"/>
      <c r="N35" s="185">
        <f>(I35*24/15)+H35</f>
        <v>0</v>
      </c>
      <c r="O35" s="185" t="e">
        <f t="shared" si="9"/>
        <v>#DIV/0!</v>
      </c>
      <c r="P35" s="186">
        <f t="shared" si="8"/>
        <v>0</v>
      </c>
      <c r="Q35" s="183"/>
      <c r="R35" s="77"/>
    </row>
    <row r="36" spans="1:18" s="19" customFormat="1" ht="15.5" x14ac:dyDescent="0.35">
      <c r="A36" s="103"/>
      <c r="B36" s="81"/>
      <c r="C36" s="81"/>
      <c r="D36" s="73">
        <f t="shared" ref="D36:D49" si="11">+C36-B36</f>
        <v>0</v>
      </c>
      <c r="E36" s="327">
        <f t="shared" si="5"/>
        <v>0</v>
      </c>
      <c r="F36" s="323"/>
      <c r="G36" s="302"/>
      <c r="H36" s="76"/>
      <c r="I36" s="76"/>
      <c r="J36" s="76"/>
      <c r="K36" s="184">
        <f t="shared" si="2"/>
        <v>0</v>
      </c>
      <c r="L36" s="184">
        <f t="shared" si="3"/>
        <v>0</v>
      </c>
      <c r="M36" s="76"/>
      <c r="N36" s="185">
        <f t="shared" ref="N36:N51" si="12">(I36*24/15)+H36</f>
        <v>0</v>
      </c>
      <c r="O36" s="185" t="e">
        <f t="shared" si="9"/>
        <v>#DIV/0!</v>
      </c>
      <c r="P36" s="186">
        <f t="shared" si="8"/>
        <v>0</v>
      </c>
      <c r="Q36" s="183"/>
      <c r="R36" s="77"/>
    </row>
    <row r="37" spans="1:18" s="19" customFormat="1" ht="15.5" x14ac:dyDescent="0.35">
      <c r="A37" s="103"/>
      <c r="B37" s="81"/>
      <c r="C37" s="81"/>
      <c r="D37" s="73">
        <f t="shared" si="11"/>
        <v>0</v>
      </c>
      <c r="E37" s="327">
        <f t="shared" si="5"/>
        <v>0</v>
      </c>
      <c r="F37" s="323"/>
      <c r="G37" s="302"/>
      <c r="H37" s="76"/>
      <c r="I37" s="76"/>
      <c r="J37" s="76"/>
      <c r="K37" s="184">
        <f t="shared" si="2"/>
        <v>0</v>
      </c>
      <c r="L37" s="184">
        <f t="shared" si="3"/>
        <v>0</v>
      </c>
      <c r="M37" s="76"/>
      <c r="N37" s="185">
        <f t="shared" si="12"/>
        <v>0</v>
      </c>
      <c r="O37" s="185" t="e">
        <f t="shared" si="9"/>
        <v>#DIV/0!</v>
      </c>
      <c r="P37" s="186">
        <f t="shared" si="8"/>
        <v>0</v>
      </c>
      <c r="Q37" s="183"/>
      <c r="R37" s="77"/>
    </row>
    <row r="38" spans="1:18" s="19" customFormat="1" ht="15.5" x14ac:dyDescent="0.35">
      <c r="A38" s="103"/>
      <c r="B38" s="81"/>
      <c r="C38" s="81"/>
      <c r="D38" s="73">
        <f t="shared" si="11"/>
        <v>0</v>
      </c>
      <c r="E38" s="327">
        <f t="shared" si="5"/>
        <v>0</v>
      </c>
      <c r="F38" s="323"/>
      <c r="G38" s="302"/>
      <c r="H38" s="76"/>
      <c r="I38" s="76"/>
      <c r="J38" s="76"/>
      <c r="K38" s="184">
        <f t="shared" si="2"/>
        <v>0</v>
      </c>
      <c r="L38" s="184">
        <f t="shared" si="3"/>
        <v>0</v>
      </c>
      <c r="M38" s="76"/>
      <c r="N38" s="185">
        <f t="shared" si="12"/>
        <v>0</v>
      </c>
      <c r="O38" s="185" t="e">
        <f t="shared" si="9"/>
        <v>#DIV/0!</v>
      </c>
      <c r="P38" s="186">
        <f t="shared" si="8"/>
        <v>0</v>
      </c>
      <c r="Q38" s="183"/>
      <c r="R38" s="77"/>
    </row>
    <row r="39" spans="1:18" s="19" customFormat="1" ht="15.5" x14ac:dyDescent="0.35">
      <c r="A39" s="103"/>
      <c r="B39" s="81"/>
      <c r="C39" s="81"/>
      <c r="D39" s="73">
        <f t="shared" si="11"/>
        <v>0</v>
      </c>
      <c r="E39" s="327">
        <f t="shared" si="5"/>
        <v>0</v>
      </c>
      <c r="F39" s="323"/>
      <c r="G39" s="302"/>
      <c r="H39" s="76"/>
      <c r="I39" s="76"/>
      <c r="J39" s="76"/>
      <c r="K39" s="184">
        <f t="shared" si="2"/>
        <v>0</v>
      </c>
      <c r="L39" s="184">
        <f t="shared" si="3"/>
        <v>0</v>
      </c>
      <c r="M39" s="76"/>
      <c r="N39" s="185">
        <f t="shared" si="12"/>
        <v>0</v>
      </c>
      <c r="O39" s="185" t="e">
        <f t="shared" si="9"/>
        <v>#DIV/0!</v>
      </c>
      <c r="P39" s="186">
        <f t="shared" si="8"/>
        <v>0</v>
      </c>
      <c r="Q39" s="183"/>
      <c r="R39" s="77"/>
    </row>
    <row r="40" spans="1:18" s="19" customFormat="1" ht="15.5" x14ac:dyDescent="0.35">
      <c r="A40" s="103"/>
      <c r="B40" s="81"/>
      <c r="C40" s="81"/>
      <c r="D40" s="73">
        <f t="shared" si="11"/>
        <v>0</v>
      </c>
      <c r="E40" s="327">
        <f t="shared" si="5"/>
        <v>0</v>
      </c>
      <c r="F40" s="323"/>
      <c r="G40" s="302"/>
      <c r="H40" s="76"/>
      <c r="I40" s="76"/>
      <c r="J40" s="76"/>
      <c r="K40" s="184">
        <f t="shared" si="2"/>
        <v>0</v>
      </c>
      <c r="L40" s="184">
        <f t="shared" si="3"/>
        <v>0</v>
      </c>
      <c r="M40" s="76"/>
      <c r="N40" s="185">
        <f t="shared" si="12"/>
        <v>0</v>
      </c>
      <c r="O40" s="185" t="e">
        <f t="shared" si="9"/>
        <v>#DIV/0!</v>
      </c>
      <c r="P40" s="186">
        <f t="shared" si="8"/>
        <v>0</v>
      </c>
      <c r="Q40" s="183"/>
      <c r="R40" s="77"/>
    </row>
    <row r="41" spans="1:18" s="19" customFormat="1" ht="15.5" x14ac:dyDescent="0.35">
      <c r="A41" s="103"/>
      <c r="B41" s="81"/>
      <c r="C41" s="81"/>
      <c r="D41" s="73">
        <f t="shared" si="11"/>
        <v>0</v>
      </c>
      <c r="E41" s="327">
        <f t="shared" si="5"/>
        <v>0</v>
      </c>
      <c r="F41" s="323"/>
      <c r="G41" s="302"/>
      <c r="H41" s="76"/>
      <c r="I41" s="76"/>
      <c r="J41" s="76"/>
      <c r="K41" s="184">
        <f t="shared" si="2"/>
        <v>0</v>
      </c>
      <c r="L41" s="184">
        <f t="shared" si="3"/>
        <v>0</v>
      </c>
      <c r="M41" s="76"/>
      <c r="N41" s="185">
        <f t="shared" si="12"/>
        <v>0</v>
      </c>
      <c r="O41" s="185" t="e">
        <f t="shared" si="9"/>
        <v>#DIV/0!</v>
      </c>
      <c r="P41" s="186">
        <f t="shared" si="8"/>
        <v>0</v>
      </c>
      <c r="Q41" s="183"/>
      <c r="R41" s="77"/>
    </row>
    <row r="42" spans="1:18" s="19" customFormat="1" ht="15.5" x14ac:dyDescent="0.35">
      <c r="A42" s="103"/>
      <c r="B42" s="81"/>
      <c r="C42" s="81"/>
      <c r="D42" s="73">
        <f t="shared" si="11"/>
        <v>0</v>
      </c>
      <c r="E42" s="327">
        <f t="shared" si="5"/>
        <v>0</v>
      </c>
      <c r="F42" s="323"/>
      <c r="G42" s="302"/>
      <c r="H42" s="76"/>
      <c r="I42" s="76"/>
      <c r="J42" s="76"/>
      <c r="K42" s="184">
        <f t="shared" si="2"/>
        <v>0</v>
      </c>
      <c r="L42" s="184">
        <f t="shared" si="3"/>
        <v>0</v>
      </c>
      <c r="M42" s="76"/>
      <c r="N42" s="185">
        <f t="shared" si="12"/>
        <v>0</v>
      </c>
      <c r="O42" s="185" t="e">
        <f t="shared" si="9"/>
        <v>#DIV/0!</v>
      </c>
      <c r="P42" s="186">
        <f t="shared" si="8"/>
        <v>0</v>
      </c>
      <c r="Q42" s="183"/>
      <c r="R42" s="77"/>
    </row>
    <row r="43" spans="1:18" s="19" customFormat="1" ht="15.5" hidden="1" x14ac:dyDescent="0.35">
      <c r="A43" s="103"/>
      <c r="B43" s="81"/>
      <c r="C43" s="81"/>
      <c r="D43" s="73">
        <f t="shared" si="11"/>
        <v>0</v>
      </c>
      <c r="E43" s="327">
        <f t="shared" si="5"/>
        <v>0</v>
      </c>
      <c r="F43" s="323"/>
      <c r="G43" s="302"/>
      <c r="H43" s="76"/>
      <c r="I43" s="76"/>
      <c r="J43" s="76"/>
      <c r="K43" s="184">
        <f t="shared" si="2"/>
        <v>0</v>
      </c>
      <c r="L43" s="184">
        <f t="shared" si="3"/>
        <v>0</v>
      </c>
      <c r="M43" s="76"/>
      <c r="N43" s="185">
        <f t="shared" si="12"/>
        <v>0</v>
      </c>
      <c r="O43" s="185" t="e">
        <f t="shared" si="9"/>
        <v>#DIV/0!</v>
      </c>
      <c r="P43" s="186">
        <v>0</v>
      </c>
      <c r="Q43" s="183"/>
      <c r="R43" s="77"/>
    </row>
    <row r="44" spans="1:18" s="19" customFormat="1" ht="15.5" hidden="1" x14ac:dyDescent="0.35">
      <c r="A44" s="103"/>
      <c r="B44" s="81"/>
      <c r="C44" s="81"/>
      <c r="D44" s="73">
        <f t="shared" si="11"/>
        <v>0</v>
      </c>
      <c r="E44" s="327">
        <f t="shared" si="5"/>
        <v>0</v>
      </c>
      <c r="F44" s="323"/>
      <c r="G44" s="302"/>
      <c r="H44" s="76"/>
      <c r="I44" s="76"/>
      <c r="J44" s="76"/>
      <c r="K44" s="184">
        <f t="shared" si="2"/>
        <v>0</v>
      </c>
      <c r="L44" s="184">
        <f t="shared" si="3"/>
        <v>0</v>
      </c>
      <c r="M44" s="76"/>
      <c r="N44" s="185">
        <f t="shared" si="12"/>
        <v>0</v>
      </c>
      <c r="O44" s="185" t="e">
        <f t="shared" si="9"/>
        <v>#DIV/0!</v>
      </c>
      <c r="P44" s="186">
        <v>0.246</v>
      </c>
      <c r="Q44" s="183"/>
      <c r="R44" s="77"/>
    </row>
    <row r="45" spans="1:18" s="19" customFormat="1" ht="15.5" hidden="1" x14ac:dyDescent="0.35">
      <c r="A45" s="103"/>
      <c r="B45" s="81"/>
      <c r="C45" s="81"/>
      <c r="D45" s="73">
        <f t="shared" si="11"/>
        <v>0</v>
      </c>
      <c r="E45" s="327">
        <f t="shared" si="5"/>
        <v>0</v>
      </c>
      <c r="F45" s="323"/>
      <c r="G45" s="302"/>
      <c r="H45" s="76"/>
      <c r="I45" s="76"/>
      <c r="J45" s="76"/>
      <c r="K45" s="184">
        <f t="shared" si="2"/>
        <v>0</v>
      </c>
      <c r="L45" s="184">
        <f t="shared" si="3"/>
        <v>0</v>
      </c>
      <c r="M45" s="76"/>
      <c r="N45" s="185">
        <f t="shared" si="12"/>
        <v>0</v>
      </c>
      <c r="O45" s="185" t="e">
        <f t="shared" si="9"/>
        <v>#DIV/0!</v>
      </c>
      <c r="P45" s="186">
        <v>0</v>
      </c>
      <c r="Q45" s="183"/>
      <c r="R45" s="77"/>
    </row>
    <row r="46" spans="1:18" s="19" customFormat="1" ht="15.5" hidden="1" x14ac:dyDescent="0.35">
      <c r="A46" s="103"/>
      <c r="B46" s="81"/>
      <c r="C46" s="81"/>
      <c r="D46" s="73">
        <f t="shared" si="11"/>
        <v>0</v>
      </c>
      <c r="E46" s="327">
        <f t="shared" si="5"/>
        <v>0</v>
      </c>
      <c r="F46" s="323"/>
      <c r="G46" s="302"/>
      <c r="H46" s="76"/>
      <c r="I46" s="76"/>
      <c r="J46" s="76"/>
      <c r="K46" s="184">
        <f t="shared" si="2"/>
        <v>0</v>
      </c>
      <c r="L46" s="184">
        <f t="shared" si="3"/>
        <v>0</v>
      </c>
      <c r="M46" s="76"/>
      <c r="N46" s="185">
        <f t="shared" si="12"/>
        <v>0</v>
      </c>
      <c r="O46" s="185" t="e">
        <f t="shared" si="9"/>
        <v>#DIV/0!</v>
      </c>
      <c r="P46" s="186">
        <f t="shared" ref="P46:P51" si="13">+F46*0.003</f>
        <v>0</v>
      </c>
      <c r="Q46" s="183"/>
      <c r="R46" s="77"/>
    </row>
    <row r="47" spans="1:18" s="19" customFormat="1" ht="15.5" x14ac:dyDescent="0.35">
      <c r="A47" s="103"/>
      <c r="B47" s="81"/>
      <c r="C47" s="81"/>
      <c r="D47" s="73">
        <f t="shared" si="11"/>
        <v>0</v>
      </c>
      <c r="E47" s="327">
        <f t="shared" si="5"/>
        <v>0</v>
      </c>
      <c r="F47" s="323"/>
      <c r="G47" s="302"/>
      <c r="H47" s="76"/>
      <c r="I47" s="76"/>
      <c r="J47" s="76"/>
      <c r="K47" s="184">
        <f t="shared" si="2"/>
        <v>0</v>
      </c>
      <c r="L47" s="184">
        <f t="shared" si="3"/>
        <v>0</v>
      </c>
      <c r="M47" s="76"/>
      <c r="N47" s="185">
        <f t="shared" si="12"/>
        <v>0</v>
      </c>
      <c r="O47" s="185" t="e">
        <f>+N47/M47</f>
        <v>#DIV/0!</v>
      </c>
      <c r="P47" s="186">
        <f t="shared" si="13"/>
        <v>0</v>
      </c>
      <c r="Q47" s="183"/>
      <c r="R47" s="77"/>
    </row>
    <row r="48" spans="1:18" s="19" customFormat="1" ht="15.5" x14ac:dyDescent="0.35">
      <c r="A48" s="103"/>
      <c r="B48" s="81"/>
      <c r="C48" s="81"/>
      <c r="D48" s="73">
        <f t="shared" si="11"/>
        <v>0</v>
      </c>
      <c r="E48" s="327">
        <f t="shared" si="5"/>
        <v>0</v>
      </c>
      <c r="F48" s="323"/>
      <c r="G48" s="302"/>
      <c r="H48" s="76"/>
      <c r="I48" s="76"/>
      <c r="J48" s="76"/>
      <c r="K48" s="184">
        <f t="shared" si="2"/>
        <v>0</v>
      </c>
      <c r="L48" s="184">
        <f t="shared" si="3"/>
        <v>0</v>
      </c>
      <c r="M48" s="76"/>
      <c r="N48" s="185">
        <f t="shared" si="12"/>
        <v>0</v>
      </c>
      <c r="O48" s="185" t="e">
        <f>+N48/M48</f>
        <v>#DIV/0!</v>
      </c>
      <c r="P48" s="186">
        <f t="shared" si="13"/>
        <v>0</v>
      </c>
      <c r="Q48" s="183"/>
      <c r="R48" s="77"/>
    </row>
    <row r="49" spans="1:18" s="19" customFormat="1" ht="15.5" x14ac:dyDescent="0.35">
      <c r="A49" s="103"/>
      <c r="B49" s="81"/>
      <c r="C49" s="81"/>
      <c r="D49" s="73">
        <f t="shared" si="11"/>
        <v>0</v>
      </c>
      <c r="E49" s="327">
        <f t="shared" si="5"/>
        <v>0</v>
      </c>
      <c r="F49" s="323"/>
      <c r="G49" s="302"/>
      <c r="H49" s="76"/>
      <c r="I49" s="76"/>
      <c r="J49" s="76"/>
      <c r="K49" s="184">
        <f t="shared" si="2"/>
        <v>0</v>
      </c>
      <c r="L49" s="184">
        <f t="shared" si="3"/>
        <v>0</v>
      </c>
      <c r="M49" s="76"/>
      <c r="N49" s="185">
        <f t="shared" si="12"/>
        <v>0</v>
      </c>
      <c r="O49" s="185" t="e">
        <f>+N49/M49</f>
        <v>#DIV/0!</v>
      </c>
      <c r="P49" s="186">
        <f t="shared" si="13"/>
        <v>0</v>
      </c>
      <c r="Q49" s="183"/>
      <c r="R49" s="77"/>
    </row>
    <row r="50" spans="1:18" s="19" customFormat="1" ht="15.5" x14ac:dyDescent="0.35">
      <c r="A50" s="103"/>
      <c r="B50" s="81"/>
      <c r="C50" s="81"/>
      <c r="D50" s="73">
        <f t="shared" ref="D50:D58" si="14">+C50-B50</f>
        <v>0</v>
      </c>
      <c r="E50" s="327">
        <f t="shared" si="5"/>
        <v>0</v>
      </c>
      <c r="F50" s="323"/>
      <c r="G50" s="302"/>
      <c r="H50" s="76"/>
      <c r="I50" s="76"/>
      <c r="J50" s="76"/>
      <c r="K50" s="184">
        <f t="shared" si="2"/>
        <v>0</v>
      </c>
      <c r="L50" s="184">
        <f t="shared" si="3"/>
        <v>0</v>
      </c>
      <c r="M50" s="76"/>
      <c r="N50" s="185">
        <f t="shared" si="12"/>
        <v>0</v>
      </c>
      <c r="O50" s="185" t="e">
        <f>+N50/M50</f>
        <v>#DIV/0!</v>
      </c>
      <c r="P50" s="186">
        <f t="shared" si="13"/>
        <v>0</v>
      </c>
      <c r="Q50" s="183"/>
      <c r="R50" s="77"/>
    </row>
    <row r="51" spans="1:18" ht="15.5" x14ac:dyDescent="0.35">
      <c r="A51" s="70"/>
      <c r="B51" s="81"/>
      <c r="C51" s="81"/>
      <c r="D51" s="73">
        <f t="shared" si="14"/>
        <v>0</v>
      </c>
      <c r="E51" s="327">
        <f t="shared" si="5"/>
        <v>0</v>
      </c>
      <c r="F51" s="323"/>
      <c r="G51" s="302"/>
      <c r="H51" s="76"/>
      <c r="I51" s="76"/>
      <c r="J51" s="76"/>
      <c r="K51" s="184">
        <f t="shared" si="2"/>
        <v>0</v>
      </c>
      <c r="L51" s="184">
        <f t="shared" si="3"/>
        <v>0</v>
      </c>
      <c r="M51" s="76"/>
      <c r="N51" s="185">
        <f t="shared" si="12"/>
        <v>0</v>
      </c>
      <c r="O51" s="185" t="e">
        <f>+N51/M51</f>
        <v>#DIV/0!</v>
      </c>
      <c r="P51" s="186">
        <f t="shared" si="13"/>
        <v>0</v>
      </c>
      <c r="Q51" s="77"/>
      <c r="R51" s="77"/>
    </row>
    <row r="52" spans="1:18" ht="15.5" x14ac:dyDescent="0.35">
      <c r="A52" s="70"/>
      <c r="B52" s="81"/>
      <c r="C52" s="81"/>
      <c r="D52" s="73">
        <f t="shared" si="14"/>
        <v>0</v>
      </c>
      <c r="E52" s="327">
        <f t="shared" si="5"/>
        <v>0</v>
      </c>
      <c r="F52" s="323"/>
      <c r="G52" s="302"/>
      <c r="H52" s="76"/>
      <c r="I52" s="76"/>
      <c r="J52" s="76"/>
      <c r="K52" s="184" t="s">
        <v>157</v>
      </c>
      <c r="L52" s="184">
        <f t="shared" si="3"/>
        <v>0</v>
      </c>
      <c r="M52" s="76"/>
      <c r="N52" s="185">
        <f t="shared" ref="N52:N66" si="15">(I52*24/15)+H52</f>
        <v>0</v>
      </c>
      <c r="O52" s="185" t="e">
        <f t="shared" ref="O52:O66" si="16">+N52/M52</f>
        <v>#DIV/0!</v>
      </c>
      <c r="P52" s="186">
        <f t="shared" ref="P52:P66" si="17">+F52*0.003</f>
        <v>0</v>
      </c>
      <c r="Q52" s="77"/>
      <c r="R52" s="77"/>
    </row>
    <row r="53" spans="1:18" ht="15.5" x14ac:dyDescent="0.35">
      <c r="A53" s="70"/>
      <c r="B53" s="81"/>
      <c r="C53" s="81"/>
      <c r="D53" s="73">
        <f t="shared" si="14"/>
        <v>0</v>
      </c>
      <c r="E53" s="327">
        <f t="shared" si="5"/>
        <v>0</v>
      </c>
      <c r="F53" s="323">
        <f t="shared" ref="F53:F60" si="18">G53-E53</f>
        <v>0</v>
      </c>
      <c r="G53" s="302"/>
      <c r="H53" s="76"/>
      <c r="I53" s="76"/>
      <c r="J53" s="76"/>
      <c r="K53" s="184">
        <f t="shared" ref="K53:K67" si="19">H53*15</f>
        <v>0</v>
      </c>
      <c r="L53" s="184">
        <f t="shared" ref="L53:L67" si="20">I53*24</f>
        <v>0</v>
      </c>
      <c r="M53" s="76"/>
      <c r="N53" s="185">
        <f t="shared" si="15"/>
        <v>0</v>
      </c>
      <c r="O53" s="185" t="e">
        <f t="shared" si="16"/>
        <v>#DIV/0!</v>
      </c>
      <c r="P53" s="186">
        <f t="shared" si="17"/>
        <v>0</v>
      </c>
      <c r="Q53" s="77"/>
      <c r="R53" s="77"/>
    </row>
    <row r="54" spans="1:18" ht="15.5" x14ac:dyDescent="0.35">
      <c r="A54" s="70"/>
      <c r="B54" s="81"/>
      <c r="C54" s="81"/>
      <c r="D54" s="73">
        <f t="shared" si="14"/>
        <v>0</v>
      </c>
      <c r="E54" s="327">
        <f t="shared" si="5"/>
        <v>0</v>
      </c>
      <c r="F54" s="323">
        <f t="shared" si="18"/>
        <v>0</v>
      </c>
      <c r="G54" s="302"/>
      <c r="H54" s="76"/>
      <c r="I54" s="76"/>
      <c r="J54" s="76"/>
      <c r="K54" s="184">
        <f t="shared" si="19"/>
        <v>0</v>
      </c>
      <c r="L54" s="184">
        <f t="shared" si="20"/>
        <v>0</v>
      </c>
      <c r="M54" s="76"/>
      <c r="N54" s="185">
        <f t="shared" si="15"/>
        <v>0</v>
      </c>
      <c r="O54" s="185" t="e">
        <f t="shared" si="16"/>
        <v>#DIV/0!</v>
      </c>
      <c r="P54" s="186">
        <f t="shared" si="17"/>
        <v>0</v>
      </c>
      <c r="Q54" s="77"/>
      <c r="R54" s="77"/>
    </row>
    <row r="55" spans="1:18" ht="15.5" x14ac:dyDescent="0.35">
      <c r="A55" s="70"/>
      <c r="B55" s="81"/>
      <c r="C55" s="81"/>
      <c r="D55" s="73">
        <f t="shared" si="14"/>
        <v>0</v>
      </c>
      <c r="E55" s="327">
        <f t="shared" si="5"/>
        <v>0</v>
      </c>
      <c r="F55" s="323">
        <f t="shared" si="18"/>
        <v>0</v>
      </c>
      <c r="G55" s="302"/>
      <c r="H55" s="76"/>
      <c r="I55" s="76"/>
      <c r="J55" s="76"/>
      <c r="K55" s="184">
        <f t="shared" si="19"/>
        <v>0</v>
      </c>
      <c r="L55" s="184">
        <f t="shared" si="20"/>
        <v>0</v>
      </c>
      <c r="M55" s="76"/>
      <c r="N55" s="185">
        <f t="shared" si="15"/>
        <v>0</v>
      </c>
      <c r="O55" s="185" t="e">
        <f t="shared" si="16"/>
        <v>#DIV/0!</v>
      </c>
      <c r="P55" s="186">
        <f t="shared" si="17"/>
        <v>0</v>
      </c>
      <c r="Q55" s="77"/>
      <c r="R55" s="77"/>
    </row>
    <row r="56" spans="1:18" ht="15.5" x14ac:dyDescent="0.35">
      <c r="A56" s="70"/>
      <c r="B56" s="81"/>
      <c r="C56" s="81"/>
      <c r="D56" s="73">
        <f t="shared" si="14"/>
        <v>0</v>
      </c>
      <c r="E56" s="327">
        <f t="shared" si="5"/>
        <v>0</v>
      </c>
      <c r="F56" s="323">
        <f t="shared" si="18"/>
        <v>0</v>
      </c>
      <c r="G56" s="75"/>
      <c r="H56" s="76"/>
      <c r="I56" s="76"/>
      <c r="J56" s="76"/>
      <c r="K56" s="184">
        <f t="shared" si="19"/>
        <v>0</v>
      </c>
      <c r="L56" s="184">
        <f t="shared" si="20"/>
        <v>0</v>
      </c>
      <c r="M56" s="76"/>
      <c r="N56" s="185">
        <f t="shared" si="15"/>
        <v>0</v>
      </c>
      <c r="O56" s="185" t="e">
        <f t="shared" si="16"/>
        <v>#DIV/0!</v>
      </c>
      <c r="P56" s="186">
        <f t="shared" si="17"/>
        <v>0</v>
      </c>
      <c r="Q56" s="77"/>
      <c r="R56" s="77"/>
    </row>
    <row r="57" spans="1:18" ht="15.5" x14ac:dyDescent="0.35">
      <c r="A57" s="70"/>
      <c r="B57" s="81"/>
      <c r="C57" s="81"/>
      <c r="D57" s="73">
        <f t="shared" si="14"/>
        <v>0</v>
      </c>
      <c r="E57" s="327">
        <f t="shared" si="5"/>
        <v>0</v>
      </c>
      <c r="F57" s="323">
        <f t="shared" si="18"/>
        <v>0</v>
      </c>
      <c r="G57" s="75"/>
      <c r="H57" s="76"/>
      <c r="I57" s="76"/>
      <c r="J57" s="76"/>
      <c r="K57" s="184">
        <f t="shared" si="19"/>
        <v>0</v>
      </c>
      <c r="L57" s="184">
        <f t="shared" si="20"/>
        <v>0</v>
      </c>
      <c r="M57" s="76"/>
      <c r="N57" s="185">
        <f t="shared" si="15"/>
        <v>0</v>
      </c>
      <c r="O57" s="185" t="e">
        <f t="shared" si="16"/>
        <v>#DIV/0!</v>
      </c>
      <c r="P57" s="186">
        <f t="shared" si="17"/>
        <v>0</v>
      </c>
      <c r="Q57" s="77"/>
      <c r="R57" s="77"/>
    </row>
    <row r="58" spans="1:18" ht="15.5" x14ac:dyDescent="0.35">
      <c r="A58" s="70"/>
      <c r="B58" s="81"/>
      <c r="C58" s="81"/>
      <c r="D58" s="73">
        <f t="shared" si="14"/>
        <v>0</v>
      </c>
      <c r="E58" s="327">
        <f t="shared" si="5"/>
        <v>0</v>
      </c>
      <c r="F58" s="323">
        <f t="shared" si="18"/>
        <v>0</v>
      </c>
      <c r="G58" s="75"/>
      <c r="H58" s="76"/>
      <c r="I58" s="76"/>
      <c r="J58" s="76"/>
      <c r="K58" s="184">
        <f t="shared" si="19"/>
        <v>0</v>
      </c>
      <c r="L58" s="184">
        <f t="shared" si="20"/>
        <v>0</v>
      </c>
      <c r="M58" s="76"/>
      <c r="N58" s="185">
        <f t="shared" si="15"/>
        <v>0</v>
      </c>
      <c r="O58" s="185" t="e">
        <f t="shared" si="16"/>
        <v>#DIV/0!</v>
      </c>
      <c r="P58" s="186">
        <f t="shared" si="17"/>
        <v>0</v>
      </c>
      <c r="Q58" s="77"/>
      <c r="R58" s="77"/>
    </row>
    <row r="59" spans="1:18" ht="15.5" x14ac:dyDescent="0.35">
      <c r="A59" s="70"/>
      <c r="B59" s="81"/>
      <c r="C59" s="81"/>
      <c r="D59" s="73"/>
      <c r="E59" s="327">
        <f t="shared" si="5"/>
        <v>0</v>
      </c>
      <c r="F59" s="323">
        <f t="shared" si="18"/>
        <v>0</v>
      </c>
      <c r="G59" s="75"/>
      <c r="H59" s="76"/>
      <c r="I59" s="76"/>
      <c r="J59" s="76"/>
      <c r="K59" s="184">
        <f t="shared" si="19"/>
        <v>0</v>
      </c>
      <c r="L59" s="184">
        <f t="shared" si="20"/>
        <v>0</v>
      </c>
      <c r="M59" s="76"/>
      <c r="N59" s="185">
        <f t="shared" si="15"/>
        <v>0</v>
      </c>
      <c r="O59" s="185" t="e">
        <f t="shared" si="16"/>
        <v>#DIV/0!</v>
      </c>
      <c r="P59" s="186">
        <f t="shared" si="17"/>
        <v>0</v>
      </c>
      <c r="Q59" s="77"/>
      <c r="R59" s="77"/>
    </row>
    <row r="60" spans="1:18" ht="15.5" x14ac:dyDescent="0.35">
      <c r="A60" s="70"/>
      <c r="B60" s="81"/>
      <c r="C60" s="81"/>
      <c r="D60" s="73"/>
      <c r="E60" s="327">
        <f t="shared" si="5"/>
        <v>0</v>
      </c>
      <c r="F60" s="323">
        <f t="shared" si="18"/>
        <v>0</v>
      </c>
      <c r="G60" s="75"/>
      <c r="H60" s="76"/>
      <c r="I60" s="76"/>
      <c r="J60" s="76"/>
      <c r="K60" s="184">
        <f t="shared" si="19"/>
        <v>0</v>
      </c>
      <c r="L60" s="184">
        <f t="shared" si="20"/>
        <v>0</v>
      </c>
      <c r="M60" s="76"/>
      <c r="N60" s="185">
        <f t="shared" si="15"/>
        <v>0</v>
      </c>
      <c r="O60" s="185" t="e">
        <f t="shared" si="16"/>
        <v>#DIV/0!</v>
      </c>
      <c r="P60" s="186">
        <f t="shared" si="17"/>
        <v>0</v>
      </c>
      <c r="Q60" s="92"/>
      <c r="R60" s="77"/>
    </row>
    <row r="61" spans="1:18" ht="15.5" x14ac:dyDescent="0.35">
      <c r="A61" s="70"/>
      <c r="B61" s="81"/>
      <c r="C61" s="81"/>
      <c r="D61" s="73"/>
      <c r="E61" s="327">
        <f>H61*15+I61*24</f>
        <v>0</v>
      </c>
      <c r="F61" s="323"/>
      <c r="G61" s="75"/>
      <c r="H61" s="76"/>
      <c r="I61" s="76"/>
      <c r="J61" s="76"/>
      <c r="K61" s="184">
        <f t="shared" si="19"/>
        <v>0</v>
      </c>
      <c r="L61" s="184">
        <f t="shared" si="20"/>
        <v>0</v>
      </c>
      <c r="M61" s="76"/>
      <c r="N61" s="185">
        <f t="shared" si="15"/>
        <v>0</v>
      </c>
      <c r="O61" s="185" t="e">
        <f t="shared" si="16"/>
        <v>#DIV/0!</v>
      </c>
      <c r="P61" s="186">
        <f t="shared" si="17"/>
        <v>0</v>
      </c>
      <c r="Q61" s="92"/>
      <c r="R61" s="77"/>
    </row>
    <row r="62" spans="1:18" ht="15.5" x14ac:dyDescent="0.35">
      <c r="A62" s="70"/>
      <c r="B62" s="81"/>
      <c r="C62" s="81"/>
      <c r="D62" s="73"/>
      <c r="E62" s="327">
        <f>H62*15+I62*24</f>
        <v>0</v>
      </c>
      <c r="F62" s="323"/>
      <c r="G62" s="75"/>
      <c r="H62" s="76"/>
      <c r="I62" s="76"/>
      <c r="J62" s="76"/>
      <c r="K62" s="184">
        <f t="shared" si="19"/>
        <v>0</v>
      </c>
      <c r="L62" s="184">
        <f t="shared" si="20"/>
        <v>0</v>
      </c>
      <c r="M62" s="76"/>
      <c r="N62" s="185">
        <f t="shared" si="15"/>
        <v>0</v>
      </c>
      <c r="O62" s="185" t="e">
        <f t="shared" si="16"/>
        <v>#DIV/0!</v>
      </c>
      <c r="P62" s="186">
        <f t="shared" si="17"/>
        <v>0</v>
      </c>
      <c r="Q62" s="92"/>
      <c r="R62" s="77"/>
    </row>
    <row r="63" spans="1:18" ht="15.5" x14ac:dyDescent="0.35">
      <c r="A63" s="70"/>
      <c r="B63" s="81"/>
      <c r="C63" s="81"/>
      <c r="D63" s="73"/>
      <c r="E63" s="327">
        <f>H63*15+I63*24</f>
        <v>0</v>
      </c>
      <c r="F63" s="323"/>
      <c r="G63" s="75"/>
      <c r="H63" s="76"/>
      <c r="I63" s="76"/>
      <c r="J63" s="76"/>
      <c r="K63" s="184">
        <f t="shared" si="19"/>
        <v>0</v>
      </c>
      <c r="L63" s="184">
        <f t="shared" si="20"/>
        <v>0</v>
      </c>
      <c r="M63" s="76"/>
      <c r="N63" s="185">
        <f t="shared" si="15"/>
        <v>0</v>
      </c>
      <c r="O63" s="185" t="e">
        <f t="shared" si="16"/>
        <v>#DIV/0!</v>
      </c>
      <c r="P63" s="186">
        <f t="shared" si="17"/>
        <v>0</v>
      </c>
      <c r="Q63" s="92"/>
      <c r="R63" s="77"/>
    </row>
    <row r="64" spans="1:18" ht="15.5" x14ac:dyDescent="0.35">
      <c r="A64" s="70"/>
      <c r="B64" s="81"/>
      <c r="C64" s="81"/>
      <c r="D64" s="73"/>
      <c r="E64" s="182"/>
      <c r="F64" s="183"/>
      <c r="G64" s="75"/>
      <c r="H64" s="76"/>
      <c r="I64" s="76"/>
      <c r="J64" s="76"/>
      <c r="K64" s="184">
        <f t="shared" si="19"/>
        <v>0</v>
      </c>
      <c r="L64" s="184">
        <f t="shared" si="20"/>
        <v>0</v>
      </c>
      <c r="M64" s="76"/>
      <c r="N64" s="185">
        <f t="shared" si="15"/>
        <v>0</v>
      </c>
      <c r="O64" s="185" t="e">
        <f t="shared" si="16"/>
        <v>#DIV/0!</v>
      </c>
      <c r="P64" s="186">
        <f t="shared" si="17"/>
        <v>0</v>
      </c>
      <c r="Q64" s="92"/>
      <c r="R64" s="77"/>
    </row>
    <row r="65" spans="1:18" ht="15.5" x14ac:dyDescent="0.35">
      <c r="A65" s="70"/>
      <c r="B65" s="81"/>
      <c r="C65" s="81"/>
      <c r="D65" s="73"/>
      <c r="E65" s="182"/>
      <c r="F65" s="183"/>
      <c r="G65" s="75"/>
      <c r="H65" s="76"/>
      <c r="I65" s="76"/>
      <c r="J65" s="76"/>
      <c r="K65" s="184">
        <f t="shared" si="19"/>
        <v>0</v>
      </c>
      <c r="L65" s="184">
        <f t="shared" si="20"/>
        <v>0</v>
      </c>
      <c r="M65" s="76"/>
      <c r="N65" s="185">
        <f t="shared" si="15"/>
        <v>0</v>
      </c>
      <c r="O65" s="185" t="e">
        <f t="shared" si="16"/>
        <v>#DIV/0!</v>
      </c>
      <c r="P65" s="186">
        <f t="shared" si="17"/>
        <v>0</v>
      </c>
      <c r="Q65" s="92"/>
      <c r="R65" s="77"/>
    </row>
    <row r="66" spans="1:18" ht="15.5" x14ac:dyDescent="0.35">
      <c r="A66" s="70"/>
      <c r="B66" s="81"/>
      <c r="C66" s="81"/>
      <c r="D66" s="73"/>
      <c r="E66" s="182"/>
      <c r="F66" s="183"/>
      <c r="G66" s="75"/>
      <c r="H66" s="76"/>
      <c r="I66" s="76"/>
      <c r="J66" s="76"/>
      <c r="K66" s="184">
        <f t="shared" si="19"/>
        <v>0</v>
      </c>
      <c r="L66" s="184">
        <f t="shared" si="20"/>
        <v>0</v>
      </c>
      <c r="M66" s="76"/>
      <c r="N66" s="185">
        <f t="shared" si="15"/>
        <v>0</v>
      </c>
      <c r="O66" s="185" t="e">
        <f t="shared" si="16"/>
        <v>#DIV/0!</v>
      </c>
      <c r="P66" s="186">
        <f t="shared" si="17"/>
        <v>0</v>
      </c>
      <c r="Q66" s="92"/>
      <c r="R66" s="77"/>
    </row>
    <row r="67" spans="1:18" ht="15.5" x14ac:dyDescent="0.35">
      <c r="A67" s="70"/>
      <c r="B67" s="81"/>
      <c r="C67" s="81"/>
      <c r="D67" s="73"/>
      <c r="E67" s="182"/>
      <c r="F67" s="183"/>
      <c r="G67" s="75"/>
      <c r="H67" s="76"/>
      <c r="I67" s="76"/>
      <c r="J67" s="76"/>
      <c r="K67" s="184">
        <f t="shared" si="19"/>
        <v>0</v>
      </c>
      <c r="L67" s="184">
        <f t="shared" si="20"/>
        <v>0</v>
      </c>
      <c r="M67" s="76"/>
      <c r="N67" s="185">
        <f>(I67*24/15)+H67</f>
        <v>0</v>
      </c>
      <c r="O67" s="185" t="e">
        <f>+N67/M67</f>
        <v>#DIV/0!</v>
      </c>
      <c r="P67" s="186">
        <f>+F67*0.003</f>
        <v>0</v>
      </c>
      <c r="Q67" s="92"/>
      <c r="R67" s="77"/>
    </row>
    <row r="68" spans="1:18" ht="15.5" x14ac:dyDescent="0.35">
      <c r="A68" s="70"/>
      <c r="B68" s="81"/>
      <c r="C68" s="81"/>
      <c r="D68" s="73"/>
      <c r="E68" s="182"/>
      <c r="F68" s="183"/>
      <c r="G68" s="75"/>
      <c r="H68" s="76"/>
      <c r="I68" s="76"/>
      <c r="J68" s="76"/>
      <c r="K68" s="184"/>
      <c r="L68" s="184"/>
      <c r="M68" s="76"/>
      <c r="N68" s="185"/>
      <c r="O68" s="185"/>
      <c r="P68" s="186"/>
      <c r="Q68" s="92"/>
      <c r="R68" s="77"/>
    </row>
    <row r="69" spans="1:18" ht="15.5" x14ac:dyDescent="0.35">
      <c r="A69" s="70"/>
      <c r="B69" s="81"/>
      <c r="C69" s="81"/>
      <c r="D69" s="73"/>
      <c r="E69" s="182"/>
      <c r="F69" s="183"/>
      <c r="G69" s="75"/>
      <c r="H69" s="76"/>
      <c r="I69" s="76"/>
      <c r="J69" s="76"/>
      <c r="K69" s="184"/>
      <c r="L69" s="184"/>
      <c r="M69" s="76"/>
      <c r="N69" s="185"/>
      <c r="O69" s="185"/>
      <c r="P69" s="186"/>
      <c r="Q69" s="92"/>
      <c r="R69" s="77"/>
    </row>
    <row r="70" spans="1:18" ht="15.5" x14ac:dyDescent="0.35">
      <c r="A70" s="70"/>
      <c r="B70" s="81"/>
      <c r="C70" s="81"/>
      <c r="D70" s="73"/>
      <c r="E70" s="182"/>
      <c r="F70" s="183"/>
      <c r="G70" s="75"/>
      <c r="H70" s="76"/>
      <c r="I70" s="76"/>
      <c r="J70" s="76"/>
      <c r="K70" s="184"/>
      <c r="L70" s="184"/>
      <c r="M70" s="76"/>
      <c r="N70" s="185"/>
      <c r="O70" s="185"/>
      <c r="P70" s="186"/>
      <c r="Q70" s="92"/>
      <c r="R70" s="77"/>
    </row>
    <row r="71" spans="1:18" ht="15.5" x14ac:dyDescent="0.35">
      <c r="A71" s="204"/>
      <c r="B71" s="205"/>
      <c r="C71" s="205"/>
      <c r="D71" s="206"/>
      <c r="E71" s="207"/>
      <c r="F71" s="207"/>
      <c r="G71" s="208"/>
      <c r="H71" s="209"/>
      <c r="I71" s="209"/>
      <c r="J71" s="209"/>
      <c r="K71" s="210"/>
      <c r="L71" s="209"/>
      <c r="M71" s="209"/>
      <c r="N71" s="209"/>
      <c r="O71" s="209"/>
      <c r="P71" s="211"/>
      <c r="Q71" s="212"/>
      <c r="R71" s="212"/>
    </row>
    <row r="72" spans="1:18" ht="15.5" x14ac:dyDescent="0.35">
      <c r="A72" s="204"/>
      <c r="B72" s="205"/>
      <c r="C72" s="205"/>
      <c r="D72" s="206"/>
      <c r="E72" s="207"/>
      <c r="F72" s="207"/>
      <c r="G72" s="208"/>
      <c r="H72" s="209"/>
      <c r="I72" s="209"/>
      <c r="J72" s="209"/>
      <c r="K72" s="151"/>
      <c r="L72" s="209"/>
      <c r="M72" s="209"/>
      <c r="N72" s="209"/>
      <c r="O72" s="209"/>
      <c r="P72" s="211"/>
      <c r="Q72" s="212"/>
      <c r="R72" s="212"/>
    </row>
    <row r="73" spans="1:18" ht="15.5" x14ac:dyDescent="0.35">
      <c r="A73" s="204"/>
      <c r="B73" s="205"/>
      <c r="C73" s="205"/>
      <c r="D73" s="206"/>
      <c r="E73" s="207"/>
      <c r="F73" s="207"/>
      <c r="G73" s="208"/>
      <c r="H73" s="209"/>
      <c r="I73" s="209"/>
      <c r="J73" s="209"/>
      <c r="K73" s="151"/>
      <c r="L73" s="209"/>
      <c r="M73" s="209"/>
      <c r="N73" s="209"/>
      <c r="O73" s="209"/>
      <c r="P73" s="211"/>
      <c r="Q73" s="212"/>
      <c r="R73" s="212"/>
    </row>
    <row r="74" spans="1:18" ht="15.5" x14ac:dyDescent="0.35">
      <c r="A74" s="204"/>
      <c r="B74" s="205"/>
      <c r="C74" s="205"/>
      <c r="D74" s="206"/>
      <c r="E74" s="207"/>
      <c r="F74" s="207"/>
      <c r="G74" s="208"/>
      <c r="H74" s="209"/>
      <c r="I74" s="209"/>
      <c r="J74" s="209"/>
      <c r="K74" s="151"/>
      <c r="L74" s="209"/>
      <c r="M74" s="209"/>
      <c r="N74" s="209"/>
      <c r="O74" s="209"/>
      <c r="P74" s="211"/>
      <c r="Q74" s="212"/>
      <c r="R74" s="212"/>
    </row>
    <row r="75" spans="1:18" ht="15.5" x14ac:dyDescent="0.35">
      <c r="A75" s="204"/>
      <c r="B75" s="205"/>
      <c r="C75" s="205"/>
      <c r="D75" s="206"/>
      <c r="E75" s="207"/>
      <c r="F75" s="207"/>
      <c r="G75" s="208"/>
      <c r="H75" s="209"/>
      <c r="I75" s="209"/>
      <c r="J75" s="209"/>
      <c r="K75" s="151"/>
      <c r="L75" s="209"/>
      <c r="M75" s="209"/>
      <c r="N75" s="209"/>
      <c r="O75" s="209"/>
      <c r="P75" s="211"/>
      <c r="Q75" s="212"/>
      <c r="R75" s="212"/>
    </row>
    <row r="76" spans="1:18" ht="15.5" x14ac:dyDescent="0.35">
      <c r="A76" s="204"/>
      <c r="B76" s="205"/>
      <c r="C76" s="205"/>
      <c r="D76" s="206"/>
      <c r="E76" s="207"/>
      <c r="F76" s="207"/>
      <c r="G76" s="208"/>
      <c r="H76" s="209"/>
      <c r="I76" s="209"/>
      <c r="J76" s="209"/>
      <c r="K76" s="151"/>
      <c r="L76" s="209"/>
      <c r="M76" s="209"/>
      <c r="N76" s="209"/>
      <c r="O76" s="209"/>
      <c r="P76" s="211"/>
      <c r="Q76" s="212"/>
      <c r="R76" s="212"/>
    </row>
    <row r="77" spans="1:18" ht="15.5" x14ac:dyDescent="0.35">
      <c r="A77" s="204"/>
      <c r="B77" s="205"/>
      <c r="C77" s="205"/>
      <c r="D77" s="206"/>
      <c r="E77" s="207"/>
      <c r="F77" s="207"/>
      <c r="G77" s="208"/>
      <c r="H77" s="209"/>
      <c r="I77" s="209"/>
      <c r="J77" s="209"/>
      <c r="K77" s="151"/>
      <c r="L77" s="209"/>
      <c r="M77" s="209"/>
      <c r="N77" s="209"/>
      <c r="O77" s="209"/>
      <c r="P77" s="211"/>
      <c r="Q77" s="212"/>
      <c r="R77" s="212"/>
    </row>
    <row r="78" spans="1:18" ht="15.5" x14ac:dyDescent="0.35">
      <c r="A78" s="204"/>
      <c r="B78" s="205"/>
      <c r="C78" s="205"/>
      <c r="D78" s="206"/>
      <c r="E78" s="207"/>
      <c r="F78" s="207"/>
      <c r="G78" s="208"/>
      <c r="H78" s="209"/>
      <c r="I78" s="209"/>
      <c r="J78" s="209"/>
      <c r="K78" s="151"/>
      <c r="L78" s="209"/>
      <c r="M78" s="209"/>
      <c r="N78" s="209"/>
      <c r="O78" s="209"/>
      <c r="P78" s="211"/>
      <c r="Q78" s="212"/>
      <c r="R78" s="212"/>
    </row>
    <row r="79" spans="1:18" ht="15.5" x14ac:dyDescent="0.35">
      <c r="A79" s="204"/>
      <c r="B79" s="205"/>
      <c r="C79" s="205"/>
      <c r="D79" s="206"/>
      <c r="E79" s="207"/>
      <c r="F79" s="207"/>
      <c r="G79" s="208"/>
      <c r="H79" s="209"/>
      <c r="I79" s="209"/>
      <c r="J79" s="209"/>
      <c r="K79" s="151"/>
      <c r="L79" s="209"/>
      <c r="M79" s="209"/>
      <c r="N79" s="209"/>
      <c r="O79" s="209"/>
      <c r="P79" s="211"/>
      <c r="Q79" s="212"/>
      <c r="R79" s="212"/>
    </row>
    <row r="80" spans="1:18" ht="15.5" x14ac:dyDescent="0.35">
      <c r="A80" s="204"/>
      <c r="B80" s="205"/>
      <c r="C80" s="205"/>
      <c r="D80" s="206"/>
      <c r="E80" s="207"/>
      <c r="F80" s="207"/>
      <c r="G80" s="208"/>
      <c r="H80" s="209"/>
      <c r="I80" s="209"/>
      <c r="J80" s="209"/>
      <c r="K80" s="151"/>
      <c r="L80" s="209"/>
      <c r="M80" s="209"/>
      <c r="N80" s="209"/>
      <c r="O80" s="209"/>
      <c r="P80" s="211"/>
      <c r="Q80" s="212"/>
      <c r="R80" s="212"/>
    </row>
    <row r="81" spans="1:18" ht="15.5" x14ac:dyDescent="0.35">
      <c r="A81" s="204"/>
      <c r="B81" s="205"/>
      <c r="C81" s="205"/>
      <c r="D81" s="206"/>
      <c r="E81" s="207"/>
      <c r="F81" s="207"/>
      <c r="G81" s="208"/>
      <c r="H81" s="209"/>
      <c r="I81" s="209"/>
      <c r="J81" s="209"/>
      <c r="K81" s="151"/>
      <c r="L81" s="209"/>
      <c r="M81" s="209"/>
      <c r="N81" s="209"/>
      <c r="O81" s="209"/>
      <c r="P81" s="211"/>
      <c r="Q81" s="212"/>
      <c r="R81" s="212"/>
    </row>
    <row r="82" spans="1:18" ht="15.5" x14ac:dyDescent="0.35">
      <c r="A82" s="204"/>
      <c r="B82" s="205"/>
      <c r="C82" s="205"/>
      <c r="D82" s="206"/>
      <c r="E82" s="207"/>
      <c r="F82" s="207"/>
      <c r="G82" s="208"/>
      <c r="H82" s="209"/>
      <c r="I82" s="209"/>
      <c r="J82" s="209"/>
      <c r="K82" s="151"/>
      <c r="L82" s="209"/>
      <c r="M82" s="209"/>
      <c r="N82" s="209"/>
      <c r="O82" s="209"/>
      <c r="P82" s="211"/>
      <c r="Q82" s="212"/>
      <c r="R82" s="212"/>
    </row>
    <row r="83" spans="1:18" ht="15.5" x14ac:dyDescent="0.35">
      <c r="A83" s="204"/>
      <c r="B83" s="205"/>
      <c r="C83" s="205"/>
      <c r="D83" s="206"/>
      <c r="E83" s="207"/>
      <c r="F83" s="207"/>
      <c r="G83" s="208"/>
      <c r="H83" s="209"/>
      <c r="I83" s="209"/>
      <c r="J83" s="209"/>
      <c r="K83" s="151"/>
      <c r="L83" s="209"/>
      <c r="M83" s="209"/>
      <c r="N83" s="209"/>
      <c r="O83" s="209"/>
      <c r="P83" s="211"/>
      <c r="Q83" s="212"/>
      <c r="R83" s="212"/>
    </row>
    <row r="84" spans="1:18" ht="15.5" x14ac:dyDescent="0.35">
      <c r="A84" s="204"/>
      <c r="B84" s="205"/>
      <c r="C84" s="205"/>
      <c r="D84" s="206"/>
      <c r="E84" s="207"/>
      <c r="F84" s="207"/>
      <c r="G84" s="208"/>
      <c r="H84" s="209"/>
      <c r="I84" s="209"/>
      <c r="J84" s="209"/>
      <c r="K84" s="151"/>
      <c r="L84" s="209"/>
      <c r="M84" s="209"/>
      <c r="N84" s="209"/>
      <c r="O84" s="209"/>
      <c r="P84" s="211"/>
      <c r="Q84" s="212"/>
      <c r="R84" s="212"/>
    </row>
    <row r="85" spans="1:18" ht="15.5" x14ac:dyDescent="0.35">
      <c r="A85" s="204"/>
      <c r="B85" s="205"/>
      <c r="C85" s="205"/>
      <c r="D85" s="206"/>
      <c r="E85" s="207"/>
      <c r="F85" s="207"/>
      <c r="G85" s="208"/>
      <c r="H85" s="209"/>
      <c r="I85" s="209"/>
      <c r="J85" s="209"/>
      <c r="K85" s="151"/>
      <c r="L85" s="209"/>
      <c r="M85" s="209"/>
      <c r="N85" s="209"/>
      <c r="O85" s="209"/>
      <c r="P85" s="211"/>
      <c r="Q85" s="212"/>
      <c r="R85" s="212"/>
    </row>
    <row r="86" spans="1:18" ht="15.5" x14ac:dyDescent="0.35">
      <c r="A86" s="204"/>
      <c r="B86" s="205"/>
      <c r="C86" s="205"/>
      <c r="D86" s="206"/>
      <c r="E86" s="207"/>
      <c r="F86" s="207"/>
      <c r="G86" s="208"/>
      <c r="H86" s="209"/>
      <c r="I86" s="209"/>
      <c r="J86" s="209"/>
      <c r="K86" s="151"/>
      <c r="L86" s="209"/>
      <c r="M86" s="209"/>
      <c r="N86" s="209"/>
      <c r="O86" s="209"/>
      <c r="P86" s="211"/>
      <c r="Q86" s="212"/>
      <c r="R86" s="212"/>
    </row>
    <row r="87" spans="1:18" ht="15.5" x14ac:dyDescent="0.35">
      <c r="A87" s="204"/>
      <c r="B87" s="205"/>
      <c r="C87" s="205"/>
      <c r="D87" s="206"/>
      <c r="E87" s="207"/>
      <c r="F87" s="207"/>
      <c r="G87" s="208"/>
      <c r="H87" s="209"/>
      <c r="I87" s="209"/>
      <c r="J87" s="209"/>
      <c r="K87" s="151"/>
      <c r="L87" s="209"/>
      <c r="M87" s="209"/>
      <c r="N87" s="209"/>
      <c r="O87" s="209"/>
      <c r="P87" s="211"/>
      <c r="Q87" s="212"/>
      <c r="R87" s="212"/>
    </row>
    <row r="88" spans="1:18" ht="15.5" x14ac:dyDescent="0.35">
      <c r="A88" s="204"/>
      <c r="B88" s="205"/>
      <c r="C88" s="205"/>
      <c r="D88" s="206"/>
      <c r="E88" s="207"/>
      <c r="F88" s="207"/>
      <c r="G88" s="208"/>
      <c r="H88" s="209"/>
      <c r="I88" s="209"/>
      <c r="J88" s="209"/>
      <c r="K88" s="151"/>
      <c r="L88" s="209"/>
      <c r="M88" s="209"/>
      <c r="N88" s="209"/>
      <c r="O88" s="209"/>
      <c r="P88" s="211"/>
      <c r="Q88" s="212"/>
      <c r="R88" s="212"/>
    </row>
    <row r="89" spans="1:18" ht="15.5" x14ac:dyDescent="0.35">
      <c r="A89" s="204"/>
      <c r="B89" s="205"/>
      <c r="C89" s="205"/>
      <c r="D89" s="206"/>
      <c r="E89" s="207"/>
      <c r="F89" s="207"/>
      <c r="G89" s="208"/>
      <c r="H89" s="209"/>
      <c r="I89" s="209"/>
      <c r="J89" s="209"/>
      <c r="K89" s="151"/>
      <c r="L89" s="209"/>
      <c r="M89" s="209"/>
      <c r="N89" s="209"/>
      <c r="O89" s="209"/>
      <c r="P89" s="211"/>
      <c r="Q89" s="212"/>
      <c r="R89" s="212"/>
    </row>
    <row r="90" spans="1:18" ht="15.5" x14ac:dyDescent="0.35">
      <c r="A90" s="204"/>
      <c r="B90" s="205"/>
      <c r="C90" s="205"/>
      <c r="D90" s="206"/>
      <c r="E90" s="207"/>
      <c r="F90" s="207"/>
      <c r="G90" s="208"/>
      <c r="H90" s="209"/>
      <c r="I90" s="209"/>
      <c r="J90" s="209"/>
      <c r="K90" s="151"/>
      <c r="L90" s="209"/>
      <c r="M90" s="209"/>
      <c r="N90" s="209"/>
      <c r="O90" s="209"/>
      <c r="P90" s="211"/>
      <c r="Q90" s="212"/>
      <c r="R90" s="212"/>
    </row>
    <row r="91" spans="1:18" ht="15.5" x14ac:dyDescent="0.35">
      <c r="A91" s="204"/>
      <c r="B91" s="205"/>
      <c r="C91" s="205"/>
      <c r="D91" s="206"/>
      <c r="E91" s="207"/>
      <c r="F91" s="207"/>
      <c r="G91" s="208"/>
      <c r="H91" s="209"/>
      <c r="I91" s="209"/>
      <c r="J91" s="209"/>
      <c r="K91" s="151"/>
      <c r="L91" s="209"/>
      <c r="M91" s="209"/>
      <c r="N91" s="209"/>
      <c r="O91" s="209"/>
      <c r="P91" s="211"/>
      <c r="Q91" s="212"/>
      <c r="R91" s="212"/>
    </row>
    <row r="92" spans="1:18" ht="15.5" x14ac:dyDescent="0.35">
      <c r="A92" s="204"/>
      <c r="B92" s="205"/>
      <c r="C92" s="205"/>
      <c r="D92" s="206"/>
      <c r="E92" s="207"/>
      <c r="F92" s="207"/>
      <c r="G92" s="208"/>
      <c r="H92" s="209"/>
      <c r="I92" s="209"/>
      <c r="J92" s="209"/>
      <c r="K92" s="151"/>
      <c r="L92" s="209"/>
      <c r="M92" s="209"/>
      <c r="N92" s="209"/>
      <c r="O92" s="209"/>
      <c r="P92" s="211"/>
      <c r="Q92" s="212"/>
      <c r="R92" s="212"/>
    </row>
    <row r="93" spans="1:18" ht="15.5" x14ac:dyDescent="0.35">
      <c r="A93" s="204"/>
      <c r="B93" s="205"/>
      <c r="C93" s="205"/>
      <c r="D93" s="206"/>
      <c r="E93" s="207"/>
      <c r="F93" s="207"/>
      <c r="G93" s="208"/>
      <c r="H93" s="209"/>
      <c r="I93" s="209"/>
      <c r="J93" s="209"/>
      <c r="K93" s="151"/>
      <c r="L93" s="209"/>
      <c r="M93" s="209"/>
      <c r="N93" s="209"/>
      <c r="O93" s="209"/>
      <c r="P93" s="211"/>
      <c r="Q93" s="212"/>
      <c r="R93" s="212"/>
    </row>
    <row r="94" spans="1:18" ht="15.5" x14ac:dyDescent="0.35">
      <c r="A94" s="204"/>
      <c r="B94" s="205"/>
      <c r="C94" s="205"/>
      <c r="D94" s="206"/>
      <c r="E94" s="207"/>
      <c r="F94" s="207"/>
      <c r="G94" s="208"/>
      <c r="H94" s="209"/>
      <c r="I94" s="209"/>
      <c r="J94" s="209"/>
      <c r="K94" s="151"/>
      <c r="L94" s="209"/>
      <c r="M94" s="209"/>
      <c r="N94" s="209"/>
      <c r="O94" s="209"/>
      <c r="P94" s="211"/>
      <c r="Q94" s="212"/>
      <c r="R94" s="212"/>
    </row>
    <row r="95" spans="1:18" ht="15.5" x14ac:dyDescent="0.35">
      <c r="A95" s="204"/>
      <c r="B95" s="205"/>
      <c r="C95" s="205"/>
      <c r="D95" s="206"/>
      <c r="E95" s="207"/>
      <c r="F95" s="207"/>
      <c r="G95" s="208"/>
      <c r="H95" s="209"/>
      <c r="I95" s="209"/>
      <c r="J95" s="209"/>
      <c r="K95" s="151"/>
      <c r="L95" s="209"/>
      <c r="M95" s="209"/>
      <c r="N95" s="209"/>
      <c r="O95" s="209"/>
      <c r="P95" s="211"/>
      <c r="Q95" s="212"/>
      <c r="R95" s="212"/>
    </row>
    <row r="96" spans="1:18" ht="15.5" x14ac:dyDescent="0.35">
      <c r="A96" s="204"/>
      <c r="B96" s="205"/>
      <c r="C96" s="205"/>
      <c r="D96" s="206"/>
      <c r="E96" s="207"/>
      <c r="F96" s="207"/>
      <c r="G96" s="208"/>
      <c r="H96" s="209"/>
      <c r="I96" s="209"/>
      <c r="J96" s="209"/>
      <c r="K96" s="151"/>
      <c r="L96" s="209"/>
      <c r="M96" s="209"/>
      <c r="N96" s="209"/>
      <c r="O96" s="209"/>
      <c r="P96" s="211"/>
      <c r="Q96" s="212"/>
      <c r="R96" s="212"/>
    </row>
    <row r="97" spans="1:18" ht="15.5" x14ac:dyDescent="0.35">
      <c r="A97" s="204"/>
      <c r="B97" s="205"/>
      <c r="C97" s="205"/>
      <c r="D97" s="206"/>
      <c r="E97" s="207"/>
      <c r="F97" s="207"/>
      <c r="G97" s="208"/>
      <c r="H97" s="209"/>
      <c r="I97" s="209"/>
      <c r="J97" s="209"/>
      <c r="K97" s="151"/>
      <c r="L97" s="209"/>
      <c r="M97" s="209"/>
      <c r="N97" s="209"/>
      <c r="O97" s="209"/>
      <c r="P97" s="211"/>
      <c r="Q97" s="212"/>
      <c r="R97" s="212"/>
    </row>
    <row r="98" spans="1:18" ht="15.5" x14ac:dyDescent="0.35">
      <c r="A98" s="204"/>
      <c r="B98" s="205"/>
      <c r="C98" s="205"/>
      <c r="D98" s="206"/>
      <c r="E98" s="207"/>
      <c r="F98" s="207"/>
      <c r="G98" s="208"/>
      <c r="H98" s="209"/>
      <c r="I98" s="209"/>
      <c r="J98" s="209"/>
      <c r="K98" s="151"/>
      <c r="L98" s="209"/>
      <c r="M98" s="209"/>
      <c r="N98" s="209"/>
      <c r="O98" s="209"/>
      <c r="P98" s="211"/>
      <c r="Q98" s="212"/>
      <c r="R98" s="212"/>
    </row>
    <row r="99" spans="1:18" ht="15.5" x14ac:dyDescent="0.35">
      <c r="A99" s="204"/>
      <c r="B99" s="205"/>
      <c r="C99" s="205"/>
      <c r="D99" s="206"/>
      <c r="E99" s="207"/>
      <c r="F99" s="207"/>
      <c r="G99" s="208"/>
      <c r="H99" s="209"/>
      <c r="I99" s="209"/>
      <c r="J99" s="209"/>
      <c r="K99" s="151"/>
      <c r="L99" s="209"/>
      <c r="M99" s="209"/>
      <c r="N99" s="209"/>
      <c r="O99" s="209"/>
      <c r="P99" s="211"/>
      <c r="Q99" s="212"/>
      <c r="R99" s="212"/>
    </row>
    <row r="100" spans="1:18" ht="15.5" x14ac:dyDescent="0.35">
      <c r="A100" s="204"/>
      <c r="B100" s="205"/>
      <c r="C100" s="205"/>
      <c r="D100" s="206"/>
      <c r="E100" s="207"/>
      <c r="F100" s="207"/>
      <c r="G100" s="208"/>
      <c r="H100" s="209"/>
      <c r="I100" s="209"/>
      <c r="J100" s="209"/>
      <c r="K100" s="151"/>
      <c r="L100" s="209"/>
      <c r="M100" s="209"/>
      <c r="N100" s="209"/>
      <c r="O100" s="209"/>
      <c r="P100" s="211"/>
      <c r="Q100" s="212"/>
      <c r="R100" s="212"/>
    </row>
    <row r="101" spans="1:18" ht="15.5" x14ac:dyDescent="0.35">
      <c r="A101" s="204"/>
      <c r="B101" s="205"/>
      <c r="C101" s="205"/>
      <c r="D101" s="206"/>
      <c r="E101" s="207"/>
      <c r="F101" s="207"/>
      <c r="G101" s="208"/>
      <c r="H101" s="209"/>
      <c r="I101" s="209"/>
      <c r="J101" s="209"/>
      <c r="K101" s="151"/>
      <c r="L101" s="209"/>
      <c r="M101" s="209"/>
      <c r="N101" s="209"/>
      <c r="O101" s="209"/>
      <c r="P101" s="211"/>
      <c r="Q101" s="212"/>
      <c r="R101" s="212"/>
    </row>
    <row r="102" spans="1:18" ht="15.5" x14ac:dyDescent="0.35">
      <c r="A102" s="204"/>
      <c r="B102" s="205"/>
      <c r="C102" s="205"/>
      <c r="D102" s="206"/>
      <c r="E102" s="207"/>
      <c r="F102" s="207"/>
      <c r="G102" s="208"/>
      <c r="H102" s="209"/>
      <c r="I102" s="209"/>
      <c r="J102" s="209"/>
      <c r="K102" s="151"/>
      <c r="L102" s="209"/>
      <c r="M102" s="209"/>
      <c r="N102" s="209"/>
      <c r="O102" s="209"/>
      <c r="P102" s="211"/>
      <c r="Q102" s="212"/>
      <c r="R102" s="212"/>
    </row>
    <row r="103" spans="1:18" ht="15.5" x14ac:dyDescent="0.35">
      <c r="A103" s="204"/>
      <c r="B103" s="205"/>
      <c r="C103" s="205"/>
      <c r="D103" s="206"/>
      <c r="E103" s="207"/>
      <c r="F103" s="207"/>
      <c r="G103" s="208"/>
      <c r="H103" s="209"/>
      <c r="I103" s="209"/>
      <c r="J103" s="209"/>
      <c r="K103" s="151"/>
      <c r="L103" s="209"/>
      <c r="M103" s="209"/>
      <c r="N103" s="209"/>
      <c r="O103" s="209"/>
      <c r="P103" s="211"/>
      <c r="Q103" s="212"/>
      <c r="R103" s="212"/>
    </row>
    <row r="104" spans="1:18" ht="15.5" x14ac:dyDescent="0.35">
      <c r="A104" s="204"/>
      <c r="B104" s="205"/>
      <c r="C104" s="205"/>
      <c r="D104" s="206"/>
      <c r="E104" s="207"/>
      <c r="F104" s="207"/>
      <c r="G104" s="208"/>
      <c r="H104" s="209"/>
      <c r="I104" s="209"/>
      <c r="J104" s="209"/>
      <c r="K104" s="151"/>
      <c r="L104" s="209"/>
      <c r="M104" s="209"/>
      <c r="N104" s="209"/>
      <c r="O104" s="209"/>
      <c r="P104" s="211"/>
      <c r="Q104" s="212"/>
      <c r="R104" s="212"/>
    </row>
    <row r="105" spans="1:18" ht="15.5" x14ac:dyDescent="0.35">
      <c r="A105" s="204"/>
      <c r="B105" s="205"/>
      <c r="C105" s="205"/>
      <c r="D105" s="206"/>
      <c r="E105" s="207"/>
      <c r="F105" s="207"/>
      <c r="G105" s="208"/>
      <c r="H105" s="209"/>
      <c r="I105" s="209"/>
      <c r="J105" s="209"/>
      <c r="K105" s="151"/>
      <c r="L105" s="209"/>
      <c r="M105" s="209"/>
      <c r="N105" s="209"/>
      <c r="O105" s="209"/>
      <c r="P105" s="211"/>
      <c r="Q105" s="212"/>
      <c r="R105" s="212"/>
    </row>
    <row r="106" spans="1:18" ht="15.5" x14ac:dyDescent="0.35">
      <c r="A106" s="204"/>
      <c r="B106" s="205"/>
      <c r="C106" s="205"/>
      <c r="D106" s="206"/>
      <c r="E106" s="207"/>
      <c r="F106" s="207"/>
      <c r="G106" s="208"/>
      <c r="H106" s="209"/>
      <c r="I106" s="209"/>
      <c r="J106" s="209"/>
      <c r="K106" s="151"/>
      <c r="L106" s="209"/>
      <c r="M106" s="209"/>
      <c r="N106" s="209"/>
      <c r="O106" s="209"/>
      <c r="P106" s="211"/>
      <c r="Q106" s="212"/>
      <c r="R106" s="212"/>
    </row>
    <row r="107" spans="1:18" ht="15.5" x14ac:dyDescent="0.35">
      <c r="A107" s="204"/>
      <c r="B107" s="205"/>
      <c r="C107" s="205"/>
      <c r="D107" s="206"/>
      <c r="E107" s="207"/>
      <c r="F107" s="207"/>
      <c r="G107" s="208"/>
      <c r="H107" s="209"/>
      <c r="I107" s="209"/>
      <c r="J107" s="209"/>
      <c r="K107" s="151"/>
      <c r="L107" s="209"/>
      <c r="M107" s="209"/>
      <c r="N107" s="209"/>
      <c r="O107" s="209"/>
      <c r="P107" s="211"/>
      <c r="Q107" s="212"/>
      <c r="R107" s="212"/>
    </row>
    <row r="108" spans="1:18" ht="15.5" x14ac:dyDescent="0.35">
      <c r="A108" s="204"/>
      <c r="B108" s="205"/>
      <c r="C108" s="205"/>
      <c r="D108" s="206"/>
      <c r="E108" s="207"/>
      <c r="F108" s="207"/>
      <c r="G108" s="208"/>
      <c r="H108" s="209"/>
      <c r="I108" s="209"/>
      <c r="J108" s="209"/>
      <c r="K108" s="151"/>
      <c r="L108" s="209"/>
      <c r="M108" s="209"/>
      <c r="N108" s="209"/>
      <c r="O108" s="209"/>
      <c r="P108" s="211"/>
      <c r="Q108" s="212"/>
      <c r="R108" s="212"/>
    </row>
    <row r="109" spans="1:18" ht="15.5" x14ac:dyDescent="0.35">
      <c r="A109" s="204"/>
      <c r="B109" s="205"/>
      <c r="C109" s="205"/>
      <c r="D109" s="206"/>
      <c r="E109" s="207"/>
      <c r="F109" s="207"/>
      <c r="G109" s="208"/>
      <c r="H109" s="209"/>
      <c r="I109" s="209"/>
      <c r="J109" s="209"/>
      <c r="K109" s="151"/>
      <c r="L109" s="209"/>
      <c r="M109" s="209"/>
      <c r="N109" s="209"/>
      <c r="O109" s="209"/>
      <c r="P109" s="211"/>
      <c r="Q109" s="212"/>
      <c r="R109" s="212"/>
    </row>
    <row r="110" spans="1:18" ht="15.5" x14ac:dyDescent="0.35">
      <c r="A110" s="204"/>
      <c r="B110" s="205"/>
      <c r="C110" s="205"/>
      <c r="D110" s="206"/>
      <c r="E110" s="207"/>
      <c r="F110" s="207"/>
      <c r="G110" s="208"/>
      <c r="H110" s="209"/>
      <c r="I110" s="209"/>
      <c r="J110" s="209"/>
      <c r="K110" s="151"/>
      <c r="L110" s="209"/>
      <c r="M110" s="209"/>
      <c r="N110" s="209"/>
      <c r="O110" s="209"/>
      <c r="P110" s="211"/>
      <c r="Q110" s="212"/>
      <c r="R110" s="212"/>
    </row>
    <row r="111" spans="1:18" ht="15.5" x14ac:dyDescent="0.35">
      <c r="A111" s="204"/>
      <c r="B111" s="205"/>
      <c r="C111" s="205"/>
      <c r="D111" s="206"/>
      <c r="E111" s="207"/>
      <c r="F111" s="207"/>
      <c r="G111" s="208"/>
      <c r="H111" s="209"/>
      <c r="I111" s="209"/>
      <c r="J111" s="209"/>
      <c r="K111" s="151"/>
      <c r="L111" s="209"/>
      <c r="M111" s="209"/>
      <c r="N111" s="209"/>
      <c r="O111" s="209"/>
      <c r="P111" s="211"/>
      <c r="Q111" s="212"/>
      <c r="R111" s="212"/>
    </row>
    <row r="112" spans="1:18" ht="15.5" x14ac:dyDescent="0.35">
      <c r="A112" s="204"/>
      <c r="B112" s="205"/>
      <c r="C112" s="205"/>
      <c r="D112" s="206"/>
      <c r="E112" s="207"/>
      <c r="F112" s="207"/>
      <c r="G112" s="208"/>
      <c r="H112" s="209"/>
      <c r="I112" s="209"/>
      <c r="J112" s="209"/>
      <c r="K112" s="151"/>
      <c r="L112" s="209"/>
      <c r="M112" s="209"/>
      <c r="N112" s="209"/>
      <c r="O112" s="209"/>
      <c r="P112" s="211"/>
      <c r="Q112" s="212"/>
      <c r="R112" s="212"/>
    </row>
    <row r="113" spans="1:18" ht="15.5" x14ac:dyDescent="0.35">
      <c r="A113" s="204"/>
      <c r="B113" s="205"/>
      <c r="C113" s="205"/>
      <c r="D113" s="206"/>
      <c r="E113" s="207"/>
      <c r="F113" s="207"/>
      <c r="G113" s="208"/>
      <c r="H113" s="209"/>
      <c r="I113" s="209"/>
      <c r="J113" s="209"/>
      <c r="K113" s="151"/>
      <c r="L113" s="209"/>
      <c r="M113" s="209"/>
      <c r="N113" s="209"/>
      <c r="O113" s="209"/>
      <c r="P113" s="211"/>
      <c r="Q113" s="212"/>
      <c r="R113" s="212"/>
    </row>
    <row r="114" spans="1:18" ht="15.5" x14ac:dyDescent="0.35">
      <c r="A114" s="204"/>
      <c r="B114" s="205"/>
      <c r="C114" s="205"/>
      <c r="D114" s="206"/>
      <c r="E114" s="207"/>
      <c r="F114" s="207"/>
      <c r="G114" s="208"/>
      <c r="H114" s="209"/>
      <c r="I114" s="209"/>
      <c r="J114" s="209"/>
      <c r="K114" s="151"/>
      <c r="L114" s="209"/>
      <c r="M114" s="209"/>
      <c r="N114" s="209"/>
      <c r="O114" s="209"/>
      <c r="P114" s="211"/>
      <c r="Q114" s="212"/>
      <c r="R114" s="212"/>
    </row>
    <row r="115" spans="1:18" ht="15.5" x14ac:dyDescent="0.35">
      <c r="A115" s="204"/>
      <c r="B115" s="205"/>
      <c r="C115" s="205"/>
      <c r="D115" s="206"/>
      <c r="E115" s="207"/>
      <c r="F115" s="207"/>
      <c r="G115" s="208"/>
      <c r="H115" s="209"/>
      <c r="I115" s="209"/>
      <c r="J115" s="209"/>
      <c r="K115" s="151"/>
      <c r="L115" s="209"/>
      <c r="M115" s="209"/>
      <c r="N115" s="209"/>
      <c r="O115" s="209"/>
      <c r="P115" s="211"/>
      <c r="Q115" s="212"/>
      <c r="R115" s="212"/>
    </row>
    <row r="116" spans="1:18" ht="15.5" x14ac:dyDescent="0.35">
      <c r="A116" s="204"/>
      <c r="B116" s="205"/>
      <c r="C116" s="205"/>
      <c r="D116" s="206"/>
      <c r="E116" s="207"/>
      <c r="F116" s="207"/>
      <c r="G116" s="208"/>
      <c r="H116" s="209"/>
      <c r="I116" s="209"/>
      <c r="J116" s="209"/>
      <c r="K116" s="151"/>
      <c r="L116" s="209"/>
      <c r="M116" s="209"/>
      <c r="N116" s="209"/>
      <c r="O116" s="209"/>
      <c r="P116" s="211"/>
      <c r="Q116" s="212"/>
      <c r="R116" s="212"/>
    </row>
    <row r="117" spans="1:18" ht="15.5" x14ac:dyDescent="0.35">
      <c r="A117" s="204"/>
      <c r="B117" s="205"/>
      <c r="C117" s="205"/>
      <c r="D117" s="206"/>
      <c r="E117" s="207"/>
      <c r="F117" s="207"/>
      <c r="G117" s="208"/>
      <c r="H117" s="209"/>
      <c r="I117" s="209"/>
      <c r="J117" s="209"/>
      <c r="K117" s="151"/>
      <c r="L117" s="209"/>
      <c r="M117" s="209"/>
      <c r="N117" s="209"/>
      <c r="O117" s="209"/>
      <c r="P117" s="211"/>
      <c r="Q117" s="212"/>
      <c r="R117" s="212"/>
    </row>
    <row r="118" spans="1:18" ht="15.5" x14ac:dyDescent="0.35">
      <c r="A118" s="204"/>
      <c r="B118" s="205"/>
      <c r="C118" s="205"/>
      <c r="D118" s="206"/>
      <c r="E118" s="207"/>
      <c r="F118" s="207"/>
      <c r="G118" s="208"/>
      <c r="H118" s="209"/>
      <c r="I118" s="209"/>
      <c r="J118" s="209"/>
      <c r="K118" s="151"/>
      <c r="L118" s="209"/>
      <c r="M118" s="209"/>
      <c r="N118" s="209"/>
      <c r="O118" s="209"/>
      <c r="P118" s="211"/>
      <c r="Q118" s="212"/>
      <c r="R118" s="212"/>
    </row>
    <row r="119" spans="1:18" ht="15.5" x14ac:dyDescent="0.35">
      <c r="A119" s="204"/>
      <c r="B119" s="205"/>
      <c r="C119" s="205"/>
      <c r="D119" s="206"/>
      <c r="E119" s="207"/>
      <c r="F119" s="207"/>
      <c r="G119" s="208"/>
      <c r="H119" s="209"/>
      <c r="I119" s="209"/>
      <c r="J119" s="209"/>
      <c r="K119" s="151"/>
      <c r="L119" s="209"/>
      <c r="M119" s="209"/>
      <c r="N119" s="209"/>
      <c r="O119" s="209"/>
      <c r="P119" s="211"/>
      <c r="Q119" s="212"/>
      <c r="R119" s="212"/>
    </row>
    <row r="120" spans="1:18" ht="15.5" x14ac:dyDescent="0.35">
      <c r="A120" s="204"/>
      <c r="B120" s="205"/>
      <c r="C120" s="205"/>
      <c r="D120" s="206"/>
      <c r="E120" s="207"/>
      <c r="F120" s="207"/>
      <c r="G120" s="208"/>
      <c r="H120" s="209"/>
      <c r="I120" s="209"/>
      <c r="J120" s="209"/>
      <c r="K120" s="151"/>
      <c r="L120" s="209"/>
      <c r="M120" s="209"/>
      <c r="N120" s="209"/>
      <c r="O120" s="209"/>
      <c r="P120" s="211"/>
      <c r="Q120" s="212"/>
      <c r="R120" s="212"/>
    </row>
    <row r="121" spans="1:18" ht="15.5" x14ac:dyDescent="0.35">
      <c r="A121" s="204"/>
      <c r="B121" s="205"/>
      <c r="C121" s="205"/>
      <c r="D121" s="206"/>
      <c r="E121" s="207"/>
      <c r="F121" s="207"/>
      <c r="G121" s="208"/>
      <c r="H121" s="209"/>
      <c r="I121" s="209"/>
      <c r="J121" s="209"/>
      <c r="K121" s="151"/>
      <c r="L121" s="209"/>
      <c r="M121" s="209"/>
      <c r="N121" s="209"/>
      <c r="O121" s="209"/>
      <c r="P121" s="211"/>
      <c r="Q121" s="212"/>
      <c r="R121" s="212"/>
    </row>
    <row r="122" spans="1:18" ht="15.5" x14ac:dyDescent="0.35">
      <c r="A122" s="204"/>
      <c r="B122" s="205"/>
      <c r="C122" s="205"/>
      <c r="D122" s="206"/>
      <c r="E122" s="207"/>
      <c r="F122" s="207"/>
      <c r="G122" s="208"/>
      <c r="H122" s="209"/>
      <c r="I122" s="209"/>
      <c r="J122" s="209"/>
      <c r="K122" s="151"/>
      <c r="L122" s="209"/>
      <c r="M122" s="209"/>
      <c r="N122" s="209"/>
      <c r="O122" s="209"/>
      <c r="P122" s="211"/>
      <c r="Q122" s="212"/>
      <c r="R122" s="212"/>
    </row>
    <row r="123" spans="1:18" ht="15.5" x14ac:dyDescent="0.35">
      <c r="A123" s="204"/>
      <c r="B123" s="205"/>
      <c r="C123" s="205"/>
      <c r="D123" s="206"/>
      <c r="E123" s="207"/>
      <c r="F123" s="207"/>
      <c r="G123" s="208"/>
      <c r="H123" s="209"/>
      <c r="I123" s="209"/>
      <c r="J123" s="209"/>
      <c r="K123" s="151"/>
      <c r="L123" s="209"/>
      <c r="M123" s="209"/>
      <c r="N123" s="209"/>
      <c r="O123" s="209"/>
      <c r="P123" s="211"/>
      <c r="Q123" s="212"/>
      <c r="R123" s="212"/>
    </row>
    <row r="124" spans="1:18" ht="15.5" x14ac:dyDescent="0.35">
      <c r="A124" s="204"/>
      <c r="B124" s="205"/>
      <c r="C124" s="205"/>
      <c r="D124" s="206"/>
      <c r="E124" s="207"/>
      <c r="F124" s="207"/>
      <c r="G124" s="208"/>
      <c r="H124" s="209"/>
      <c r="I124" s="209"/>
      <c r="J124" s="209"/>
      <c r="K124" s="151"/>
      <c r="L124" s="209"/>
      <c r="M124" s="209"/>
      <c r="N124" s="209"/>
      <c r="O124" s="209"/>
      <c r="P124" s="211"/>
      <c r="Q124" s="212"/>
      <c r="R124" s="212"/>
    </row>
    <row r="125" spans="1:18" ht="15.5" x14ac:dyDescent="0.35">
      <c r="A125" s="204"/>
      <c r="B125" s="205"/>
      <c r="C125" s="205"/>
      <c r="D125" s="206"/>
      <c r="E125" s="207"/>
      <c r="F125" s="207"/>
      <c r="G125" s="208"/>
      <c r="H125" s="209"/>
      <c r="I125" s="209"/>
      <c r="J125" s="209"/>
      <c r="K125" s="151"/>
      <c r="L125" s="209"/>
      <c r="M125" s="209"/>
      <c r="N125" s="209"/>
      <c r="O125" s="209"/>
      <c r="P125" s="211"/>
      <c r="Q125" s="212"/>
      <c r="R125" s="212"/>
    </row>
    <row r="126" spans="1:18" ht="15.5" x14ac:dyDescent="0.35">
      <c r="A126" s="204"/>
      <c r="B126" s="205"/>
      <c r="C126" s="205"/>
      <c r="D126" s="206"/>
      <c r="E126" s="207"/>
      <c r="F126" s="207"/>
      <c r="G126" s="208"/>
      <c r="H126" s="209"/>
      <c r="I126" s="209"/>
      <c r="J126" s="209"/>
      <c r="K126" s="151"/>
      <c r="L126" s="209"/>
      <c r="M126" s="209"/>
      <c r="N126" s="209"/>
      <c r="O126" s="209"/>
      <c r="P126" s="211"/>
      <c r="Q126" s="212"/>
      <c r="R126" s="212"/>
    </row>
    <row r="127" spans="1:18" ht="15.5" x14ac:dyDescent="0.35">
      <c r="A127" s="204"/>
      <c r="B127" s="205"/>
      <c r="C127" s="205"/>
      <c r="D127" s="206"/>
      <c r="E127" s="207"/>
      <c r="F127" s="207"/>
      <c r="G127" s="208"/>
      <c r="H127" s="209"/>
      <c r="I127" s="209"/>
      <c r="J127" s="209"/>
      <c r="K127" s="151"/>
      <c r="L127" s="209"/>
      <c r="M127" s="209"/>
      <c r="N127" s="209"/>
      <c r="O127" s="209"/>
      <c r="P127" s="211"/>
      <c r="Q127" s="212"/>
      <c r="R127" s="212"/>
    </row>
    <row r="128" spans="1:18" ht="15.5" x14ac:dyDescent="0.35">
      <c r="A128" s="204"/>
      <c r="B128" s="205"/>
      <c r="C128" s="205"/>
      <c r="D128" s="206"/>
      <c r="E128" s="207"/>
      <c r="F128" s="207"/>
      <c r="G128" s="208"/>
      <c r="H128" s="209"/>
      <c r="I128" s="209"/>
      <c r="J128" s="209"/>
      <c r="K128" s="151"/>
      <c r="L128" s="209"/>
      <c r="M128" s="209"/>
      <c r="N128" s="209"/>
      <c r="O128" s="209"/>
      <c r="P128" s="211"/>
      <c r="Q128" s="212"/>
      <c r="R128" s="212"/>
    </row>
    <row r="129" spans="1:18" ht="15.5" x14ac:dyDescent="0.35">
      <c r="A129" s="204"/>
      <c r="B129" s="205"/>
      <c r="C129" s="205"/>
      <c r="D129" s="206"/>
      <c r="E129" s="207"/>
      <c r="F129" s="207"/>
      <c r="G129" s="208"/>
      <c r="H129" s="209"/>
      <c r="I129" s="209"/>
      <c r="J129" s="209"/>
      <c r="K129" s="151"/>
      <c r="L129" s="209"/>
      <c r="M129" s="209"/>
      <c r="N129" s="209"/>
      <c r="O129" s="209"/>
      <c r="P129" s="211"/>
      <c r="Q129" s="212"/>
      <c r="R129" s="212"/>
    </row>
    <row r="130" spans="1:18" ht="15.5" x14ac:dyDescent="0.35">
      <c r="A130" s="204"/>
      <c r="B130" s="205"/>
      <c r="C130" s="205"/>
      <c r="D130" s="206"/>
      <c r="E130" s="207"/>
      <c r="F130" s="207"/>
      <c r="G130" s="208"/>
      <c r="H130" s="209"/>
      <c r="I130" s="209"/>
      <c r="J130" s="209"/>
      <c r="K130" s="151"/>
      <c r="L130" s="209"/>
      <c r="M130" s="209"/>
      <c r="N130" s="209"/>
      <c r="O130" s="209"/>
      <c r="P130" s="211"/>
      <c r="Q130" s="212"/>
      <c r="R130" s="212"/>
    </row>
    <row r="131" spans="1:18" ht="15.5" x14ac:dyDescent="0.35">
      <c r="A131" s="204"/>
      <c r="B131" s="205"/>
      <c r="C131" s="205"/>
      <c r="D131" s="206"/>
      <c r="E131" s="207"/>
      <c r="F131" s="207"/>
      <c r="G131" s="208"/>
      <c r="H131" s="209"/>
      <c r="I131" s="209"/>
      <c r="J131" s="209"/>
      <c r="K131" s="151"/>
      <c r="L131" s="209"/>
      <c r="M131" s="209"/>
      <c r="N131" s="209"/>
      <c r="O131" s="209"/>
      <c r="P131" s="211"/>
      <c r="Q131" s="212"/>
      <c r="R131" s="212"/>
    </row>
    <row r="132" spans="1:18" ht="15.5" x14ac:dyDescent="0.35">
      <c r="A132" s="204"/>
      <c r="B132" s="205"/>
      <c r="C132" s="205"/>
      <c r="D132" s="206"/>
      <c r="E132" s="207"/>
      <c r="F132" s="207"/>
      <c r="G132" s="208"/>
      <c r="H132" s="209"/>
      <c r="I132" s="209"/>
      <c r="J132" s="209"/>
      <c r="K132" s="151"/>
      <c r="L132" s="209"/>
      <c r="M132" s="209"/>
      <c r="N132" s="209"/>
      <c r="O132" s="209"/>
      <c r="P132" s="211"/>
      <c r="Q132" s="212"/>
      <c r="R132" s="212"/>
    </row>
    <row r="133" spans="1:18" ht="15.5" x14ac:dyDescent="0.35">
      <c r="A133" s="204"/>
      <c r="B133" s="205"/>
      <c r="C133" s="205"/>
      <c r="D133" s="206"/>
      <c r="E133" s="207"/>
      <c r="F133" s="207"/>
      <c r="G133" s="208"/>
      <c r="H133" s="209"/>
      <c r="I133" s="209"/>
      <c r="J133" s="209"/>
      <c r="K133" s="151"/>
      <c r="L133" s="209"/>
      <c r="M133" s="209"/>
      <c r="N133" s="209"/>
      <c r="O133" s="209"/>
      <c r="P133" s="211"/>
      <c r="Q133" s="212"/>
      <c r="R133" s="212"/>
    </row>
    <row r="134" spans="1:18" ht="15.5" x14ac:dyDescent="0.35">
      <c r="A134" s="204"/>
      <c r="B134" s="205"/>
      <c r="C134" s="205"/>
      <c r="D134" s="206"/>
      <c r="E134" s="207"/>
      <c r="F134" s="207"/>
      <c r="G134" s="208"/>
      <c r="H134" s="209"/>
      <c r="I134" s="209"/>
      <c r="J134" s="209"/>
      <c r="K134" s="151"/>
      <c r="L134" s="209"/>
      <c r="M134" s="209"/>
      <c r="N134" s="209"/>
      <c r="O134" s="209"/>
      <c r="P134" s="211"/>
      <c r="Q134" s="212"/>
      <c r="R134" s="212"/>
    </row>
    <row r="135" spans="1:18" ht="15.5" x14ac:dyDescent="0.35">
      <c r="A135" s="204"/>
      <c r="B135" s="205"/>
      <c r="C135" s="205"/>
      <c r="D135" s="206"/>
      <c r="E135" s="207"/>
      <c r="F135" s="207"/>
      <c r="G135" s="208"/>
      <c r="H135" s="209"/>
      <c r="I135" s="209"/>
      <c r="J135" s="209"/>
      <c r="K135" s="151"/>
      <c r="L135" s="209"/>
      <c r="M135" s="209"/>
      <c r="N135" s="209"/>
      <c r="O135" s="209"/>
      <c r="P135" s="211"/>
      <c r="Q135" s="212"/>
      <c r="R135" s="212"/>
    </row>
    <row r="136" spans="1:18" ht="15.5" x14ac:dyDescent="0.35">
      <c r="A136" s="204"/>
      <c r="B136" s="205"/>
      <c r="C136" s="205"/>
      <c r="D136" s="206"/>
      <c r="E136" s="207"/>
      <c r="F136" s="207"/>
      <c r="G136" s="208"/>
      <c r="H136" s="209"/>
      <c r="I136" s="209"/>
      <c r="J136" s="209"/>
      <c r="K136" s="151"/>
      <c r="L136" s="209"/>
      <c r="M136" s="209"/>
      <c r="N136" s="209"/>
      <c r="O136" s="209"/>
      <c r="P136" s="211"/>
      <c r="Q136" s="212"/>
      <c r="R136" s="212"/>
    </row>
    <row r="137" spans="1:18" ht="15.5" x14ac:dyDescent="0.35">
      <c r="A137" s="204"/>
      <c r="B137" s="205"/>
      <c r="C137" s="205"/>
      <c r="D137" s="206"/>
      <c r="E137" s="207"/>
      <c r="F137" s="207"/>
      <c r="G137" s="208"/>
      <c r="H137" s="209"/>
      <c r="I137" s="209"/>
      <c r="J137" s="209"/>
      <c r="K137" s="151"/>
      <c r="L137" s="209"/>
      <c r="M137" s="209"/>
      <c r="N137" s="209"/>
      <c r="O137" s="209"/>
      <c r="P137" s="211"/>
      <c r="Q137" s="212"/>
      <c r="R137" s="212"/>
    </row>
    <row r="138" spans="1:18" ht="15.5" x14ac:dyDescent="0.35">
      <c r="A138" s="204"/>
      <c r="B138" s="205"/>
      <c r="C138" s="205"/>
      <c r="D138" s="206"/>
      <c r="E138" s="207"/>
      <c r="F138" s="207"/>
      <c r="G138" s="208"/>
      <c r="H138" s="209"/>
      <c r="I138" s="209"/>
      <c r="J138" s="209"/>
      <c r="K138" s="151"/>
      <c r="L138" s="209"/>
      <c r="M138" s="209"/>
      <c r="N138" s="209"/>
      <c r="O138" s="209"/>
      <c r="P138" s="211"/>
      <c r="Q138" s="212"/>
      <c r="R138" s="212"/>
    </row>
    <row r="139" spans="1:18" ht="15.5" x14ac:dyDescent="0.35">
      <c r="A139" s="204"/>
      <c r="B139" s="205"/>
      <c r="C139" s="205"/>
      <c r="D139" s="206"/>
      <c r="E139" s="207"/>
      <c r="F139" s="207"/>
      <c r="G139" s="208"/>
      <c r="H139" s="209"/>
      <c r="I139" s="209"/>
      <c r="J139" s="209"/>
      <c r="K139" s="151"/>
      <c r="L139" s="209"/>
      <c r="M139" s="209"/>
      <c r="N139" s="209"/>
      <c r="O139" s="209"/>
      <c r="P139" s="211"/>
      <c r="Q139" s="212"/>
      <c r="R139" s="212"/>
    </row>
    <row r="140" spans="1:18" ht="15.5" x14ac:dyDescent="0.35">
      <c r="A140" s="204"/>
      <c r="B140" s="205"/>
      <c r="C140" s="205"/>
      <c r="D140" s="206"/>
      <c r="E140" s="207"/>
      <c r="F140" s="207"/>
      <c r="G140" s="208"/>
      <c r="H140" s="209"/>
      <c r="I140" s="209"/>
      <c r="J140" s="209"/>
      <c r="K140" s="151"/>
      <c r="L140" s="209"/>
      <c r="M140" s="209"/>
      <c r="N140" s="209"/>
      <c r="O140" s="209"/>
      <c r="P140" s="211"/>
      <c r="Q140" s="212"/>
      <c r="R140" s="212"/>
    </row>
    <row r="141" spans="1:18" ht="15.5" x14ac:dyDescent="0.35">
      <c r="A141" s="204"/>
      <c r="B141" s="205"/>
      <c r="C141" s="205"/>
      <c r="D141" s="206"/>
      <c r="E141" s="207"/>
      <c r="F141" s="207"/>
      <c r="G141" s="208"/>
      <c r="H141" s="209"/>
      <c r="I141" s="209"/>
      <c r="J141" s="209"/>
      <c r="K141" s="151"/>
      <c r="L141" s="209"/>
      <c r="M141" s="209"/>
      <c r="N141" s="209"/>
      <c r="O141" s="209"/>
      <c r="P141" s="211"/>
      <c r="Q141" s="212"/>
      <c r="R141" s="212"/>
    </row>
    <row r="142" spans="1:18" ht="15.5" x14ac:dyDescent="0.35">
      <c r="A142" s="204"/>
      <c r="B142" s="205"/>
      <c r="C142" s="205"/>
      <c r="D142" s="206"/>
      <c r="E142" s="207"/>
      <c r="F142" s="207"/>
      <c r="G142" s="208"/>
      <c r="H142" s="209"/>
      <c r="I142" s="209"/>
      <c r="J142" s="209"/>
      <c r="K142" s="151"/>
      <c r="L142" s="209"/>
      <c r="M142" s="209"/>
      <c r="N142" s="209"/>
      <c r="O142" s="209"/>
      <c r="P142" s="211"/>
      <c r="Q142" s="212"/>
      <c r="R142" s="212"/>
    </row>
    <row r="143" spans="1:18" ht="15.5" x14ac:dyDescent="0.35">
      <c r="A143" s="204"/>
      <c r="B143" s="205"/>
      <c r="C143" s="205"/>
      <c r="D143" s="206"/>
      <c r="E143" s="207"/>
      <c r="F143" s="207"/>
      <c r="G143" s="208"/>
      <c r="H143" s="209"/>
      <c r="I143" s="209"/>
      <c r="J143" s="209"/>
      <c r="K143" s="151"/>
      <c r="L143" s="209"/>
      <c r="M143" s="209"/>
      <c r="N143" s="209"/>
      <c r="O143" s="209"/>
      <c r="P143" s="211"/>
      <c r="Q143" s="212"/>
      <c r="R143" s="212"/>
    </row>
    <row r="144" spans="1:18" ht="15.5" x14ac:dyDescent="0.35">
      <c r="A144" s="204"/>
      <c r="B144" s="205"/>
      <c r="C144" s="205"/>
      <c r="D144" s="206"/>
      <c r="E144" s="207"/>
      <c r="F144" s="207"/>
      <c r="G144" s="208"/>
      <c r="H144" s="209"/>
      <c r="I144" s="209"/>
      <c r="J144" s="209"/>
      <c r="K144" s="151"/>
      <c r="L144" s="209"/>
      <c r="M144" s="209"/>
      <c r="N144" s="209"/>
      <c r="O144" s="209"/>
      <c r="P144" s="211"/>
      <c r="Q144" s="212"/>
      <c r="R144" s="212"/>
    </row>
    <row r="145" spans="1:18" ht="15.5" x14ac:dyDescent="0.35">
      <c r="A145" s="204"/>
      <c r="B145" s="205"/>
      <c r="C145" s="205"/>
      <c r="D145" s="206"/>
      <c r="E145" s="207"/>
      <c r="F145" s="207"/>
      <c r="G145" s="208"/>
      <c r="H145" s="209"/>
      <c r="I145" s="209"/>
      <c r="J145" s="209"/>
      <c r="K145" s="151"/>
      <c r="L145" s="209"/>
      <c r="M145" s="209"/>
      <c r="N145" s="209"/>
      <c r="O145" s="209"/>
      <c r="P145" s="211"/>
      <c r="Q145" s="212"/>
      <c r="R145" s="212"/>
    </row>
    <row r="146" spans="1:18" ht="15.5" x14ac:dyDescent="0.35">
      <c r="A146" s="204"/>
      <c r="B146" s="205"/>
      <c r="C146" s="205"/>
      <c r="D146" s="206"/>
      <c r="E146" s="207"/>
      <c r="F146" s="207"/>
      <c r="G146" s="208"/>
      <c r="H146" s="209"/>
      <c r="I146" s="209"/>
      <c r="J146" s="209"/>
      <c r="K146" s="151"/>
      <c r="L146" s="209"/>
      <c r="M146" s="209"/>
      <c r="N146" s="209"/>
      <c r="O146" s="209"/>
      <c r="P146" s="211"/>
      <c r="Q146" s="212"/>
      <c r="R146" s="212"/>
    </row>
    <row r="147" spans="1:18" ht="15.5" x14ac:dyDescent="0.35">
      <c r="A147" s="204"/>
      <c r="B147" s="205"/>
      <c r="C147" s="205"/>
      <c r="D147" s="206"/>
      <c r="E147" s="207"/>
      <c r="F147" s="207"/>
      <c r="G147" s="208"/>
      <c r="H147" s="209"/>
      <c r="I147" s="209"/>
      <c r="J147" s="209"/>
      <c r="K147" s="151"/>
      <c r="L147" s="209"/>
      <c r="M147" s="209"/>
      <c r="N147" s="209"/>
      <c r="O147" s="209"/>
      <c r="P147" s="211"/>
      <c r="Q147" s="212"/>
      <c r="R147" s="212"/>
    </row>
    <row r="148" spans="1:18" ht="15.5" x14ac:dyDescent="0.35">
      <c r="A148" s="204"/>
      <c r="B148" s="205"/>
      <c r="C148" s="205"/>
      <c r="D148" s="206"/>
      <c r="E148" s="207"/>
      <c r="F148" s="207"/>
      <c r="G148" s="208"/>
      <c r="H148" s="209"/>
      <c r="I148" s="209"/>
      <c r="J148" s="209"/>
      <c r="K148" s="151"/>
      <c r="L148" s="209"/>
      <c r="M148" s="209"/>
      <c r="N148" s="209"/>
      <c r="O148" s="209"/>
      <c r="P148" s="211"/>
      <c r="Q148" s="212"/>
      <c r="R148" s="212"/>
    </row>
    <row r="149" spans="1:18" ht="15.5" x14ac:dyDescent="0.35">
      <c r="A149" s="204"/>
      <c r="B149" s="205"/>
      <c r="C149" s="205"/>
      <c r="D149" s="206"/>
      <c r="E149" s="207"/>
      <c r="F149" s="207"/>
      <c r="G149" s="208"/>
      <c r="H149" s="209"/>
      <c r="I149" s="209"/>
      <c r="J149" s="209"/>
      <c r="K149" s="151"/>
      <c r="L149" s="209"/>
      <c r="M149" s="209"/>
      <c r="N149" s="209"/>
      <c r="O149" s="209"/>
      <c r="P149" s="211"/>
      <c r="Q149" s="212"/>
      <c r="R149" s="212"/>
    </row>
    <row r="150" spans="1:18" ht="15.5" x14ac:dyDescent="0.35">
      <c r="A150" s="204"/>
      <c r="B150" s="205"/>
      <c r="C150" s="205"/>
      <c r="D150" s="206"/>
      <c r="E150" s="207"/>
      <c r="F150" s="207"/>
      <c r="G150" s="208"/>
      <c r="H150" s="209"/>
      <c r="I150" s="209"/>
      <c r="J150" s="209"/>
      <c r="K150" s="151"/>
      <c r="L150" s="209"/>
      <c r="M150" s="209"/>
      <c r="N150" s="209"/>
      <c r="O150" s="209"/>
      <c r="P150" s="211"/>
      <c r="Q150" s="212"/>
      <c r="R150" s="212"/>
    </row>
    <row r="151" spans="1:18" ht="15.5" x14ac:dyDescent="0.35">
      <c r="A151" s="204"/>
      <c r="B151" s="205"/>
      <c r="C151" s="205"/>
      <c r="D151" s="206"/>
      <c r="E151" s="207"/>
      <c r="F151" s="207"/>
      <c r="G151" s="208"/>
      <c r="H151" s="209"/>
      <c r="I151" s="209"/>
      <c r="J151" s="209"/>
      <c r="K151" s="151"/>
      <c r="L151" s="209"/>
      <c r="M151" s="209"/>
      <c r="N151" s="209"/>
      <c r="O151" s="209"/>
      <c r="P151" s="211"/>
      <c r="Q151" s="212"/>
      <c r="R151" s="212"/>
    </row>
    <row r="152" spans="1:18" x14ac:dyDescent="0.35">
      <c r="A152" s="213"/>
      <c r="B152" s="214"/>
      <c r="C152" s="214"/>
      <c r="D152" s="215"/>
      <c r="E152" s="216"/>
      <c r="F152" s="216"/>
      <c r="G152" s="217"/>
      <c r="H152" s="218"/>
      <c r="I152" s="218"/>
      <c r="J152" s="218"/>
      <c r="K152" s="219"/>
      <c r="L152" s="218"/>
      <c r="M152" s="218"/>
      <c r="N152" s="218"/>
      <c r="O152" s="218"/>
      <c r="P152" s="220"/>
      <c r="Q152" s="37"/>
      <c r="R152" s="37"/>
    </row>
    <row r="153" spans="1:18" x14ac:dyDescent="0.35">
      <c r="A153" s="213"/>
      <c r="B153" s="214"/>
      <c r="C153" s="214"/>
      <c r="D153" s="215"/>
      <c r="E153" s="216"/>
      <c r="F153" s="216"/>
      <c r="G153" s="217"/>
      <c r="H153" s="218"/>
      <c r="I153" s="218"/>
      <c r="J153" s="218"/>
      <c r="K153" s="219"/>
      <c r="L153" s="218"/>
      <c r="M153" s="218"/>
      <c r="N153" s="218"/>
      <c r="O153" s="218"/>
      <c r="P153" s="220"/>
      <c r="Q153" s="37"/>
      <c r="R153" s="37"/>
    </row>
    <row r="154" spans="1:18" x14ac:dyDescent="0.35">
      <c r="A154" s="213"/>
      <c r="B154" s="214"/>
      <c r="C154" s="214"/>
      <c r="D154" s="215"/>
      <c r="E154" s="216"/>
      <c r="F154" s="216"/>
      <c r="G154" s="217"/>
      <c r="H154" s="218"/>
      <c r="I154" s="218"/>
      <c r="J154" s="218"/>
      <c r="K154" s="219"/>
      <c r="L154" s="218"/>
      <c r="M154" s="218"/>
      <c r="N154" s="218"/>
      <c r="O154" s="218"/>
      <c r="P154" s="220"/>
      <c r="Q154" s="37"/>
      <c r="R154" s="37"/>
    </row>
    <row r="155" spans="1:18" x14ac:dyDescent="0.35">
      <c r="A155" s="213"/>
      <c r="B155" s="214"/>
      <c r="C155" s="214"/>
      <c r="D155" s="215"/>
      <c r="E155" s="216"/>
      <c r="F155" s="216"/>
      <c r="G155" s="217"/>
      <c r="H155" s="218"/>
      <c r="I155" s="218"/>
      <c r="J155" s="218"/>
      <c r="K155" s="219"/>
      <c r="L155" s="218"/>
      <c r="M155" s="218"/>
      <c r="N155" s="218"/>
      <c r="O155" s="218"/>
      <c r="P155" s="220"/>
      <c r="Q155" s="37"/>
      <c r="R155" s="37"/>
    </row>
    <row r="156" spans="1:18" x14ac:dyDescent="0.35">
      <c r="A156" s="213"/>
      <c r="B156" s="214"/>
      <c r="C156" s="214"/>
      <c r="D156" s="215"/>
      <c r="E156" s="216"/>
      <c r="F156" s="216"/>
      <c r="G156" s="217"/>
      <c r="H156" s="218"/>
      <c r="I156" s="218"/>
      <c r="J156" s="218"/>
      <c r="K156" s="219"/>
      <c r="L156" s="218"/>
      <c r="M156" s="218"/>
      <c r="N156" s="218"/>
      <c r="O156" s="218"/>
      <c r="P156" s="220"/>
      <c r="Q156" s="37"/>
      <c r="R156" s="37"/>
    </row>
    <row r="157" spans="1:18" x14ac:dyDescent="0.35">
      <c r="A157" s="213"/>
      <c r="B157" s="214"/>
      <c r="C157" s="214"/>
      <c r="D157" s="215"/>
      <c r="E157" s="216"/>
      <c r="F157" s="216"/>
      <c r="G157" s="217"/>
      <c r="H157" s="218"/>
      <c r="I157" s="218"/>
      <c r="J157" s="218"/>
      <c r="K157" s="219"/>
      <c r="L157" s="218"/>
      <c r="M157" s="218"/>
      <c r="N157" s="218"/>
      <c r="O157" s="218"/>
      <c r="P157" s="220"/>
      <c r="Q157" s="37"/>
      <c r="R157" s="37"/>
    </row>
    <row r="158" spans="1:18" x14ac:dyDescent="0.35">
      <c r="A158" s="213"/>
      <c r="B158" s="214"/>
      <c r="C158" s="214"/>
      <c r="D158" s="215"/>
      <c r="E158" s="216"/>
      <c r="F158" s="216"/>
      <c r="G158" s="217"/>
      <c r="H158" s="218"/>
      <c r="I158" s="218"/>
      <c r="J158" s="218"/>
      <c r="K158" s="219"/>
      <c r="L158" s="218"/>
      <c r="M158" s="218"/>
      <c r="N158" s="218"/>
      <c r="O158" s="218"/>
      <c r="P158" s="220"/>
      <c r="Q158" s="37"/>
      <c r="R158" s="37"/>
    </row>
    <row r="159" spans="1:18" x14ac:dyDescent="0.35">
      <c r="A159" s="213"/>
      <c r="B159" s="214"/>
      <c r="C159" s="214"/>
      <c r="D159" s="215"/>
      <c r="E159" s="216"/>
      <c r="F159" s="216"/>
      <c r="G159" s="217"/>
      <c r="H159" s="218"/>
      <c r="I159" s="218"/>
      <c r="J159" s="218"/>
      <c r="K159" s="219"/>
      <c r="L159" s="218"/>
      <c r="M159" s="218"/>
      <c r="N159" s="218"/>
      <c r="O159" s="218"/>
      <c r="P159" s="220"/>
      <c r="Q159" s="37"/>
      <c r="R159" s="37"/>
    </row>
    <row r="160" spans="1:18" x14ac:dyDescent="0.35">
      <c r="A160" s="213"/>
      <c r="B160" s="214"/>
      <c r="C160" s="214"/>
      <c r="D160" s="215"/>
      <c r="E160" s="216"/>
      <c r="F160" s="216"/>
      <c r="G160" s="217"/>
      <c r="H160" s="218"/>
      <c r="I160" s="218"/>
      <c r="J160" s="218"/>
      <c r="K160" s="219"/>
      <c r="L160" s="218"/>
      <c r="M160" s="218"/>
      <c r="N160" s="218"/>
      <c r="O160" s="218"/>
      <c r="P160" s="220"/>
      <c r="Q160" s="37"/>
      <c r="R160" s="37"/>
    </row>
    <row r="161" spans="1:18" x14ac:dyDescent="0.35">
      <c r="A161" s="213"/>
      <c r="B161" s="214"/>
      <c r="C161" s="214"/>
      <c r="D161" s="215"/>
      <c r="E161" s="216"/>
      <c r="F161" s="216"/>
      <c r="G161" s="217"/>
      <c r="H161" s="218"/>
      <c r="I161" s="218"/>
      <c r="J161" s="218"/>
      <c r="K161" s="219"/>
      <c r="L161" s="218"/>
      <c r="M161" s="218"/>
      <c r="N161" s="218"/>
      <c r="O161" s="218"/>
      <c r="P161" s="220"/>
      <c r="Q161" s="37"/>
      <c r="R161" s="37"/>
    </row>
    <row r="162" spans="1:18" x14ac:dyDescent="0.35">
      <c r="A162" s="213"/>
      <c r="B162" s="214"/>
      <c r="C162" s="214"/>
      <c r="D162" s="215"/>
      <c r="E162" s="216"/>
      <c r="F162" s="216"/>
      <c r="G162" s="217"/>
      <c r="H162" s="218"/>
      <c r="I162" s="218"/>
      <c r="J162" s="218"/>
      <c r="K162" s="219"/>
      <c r="L162" s="218"/>
      <c r="M162" s="218"/>
      <c r="N162" s="218"/>
      <c r="O162" s="218"/>
      <c r="P162" s="220"/>
      <c r="Q162" s="37"/>
      <c r="R162" s="37"/>
    </row>
    <row r="163" spans="1:18" x14ac:dyDescent="0.35">
      <c r="A163" s="213"/>
      <c r="B163" s="214"/>
      <c r="C163" s="214"/>
      <c r="D163" s="215"/>
      <c r="E163" s="216"/>
      <c r="F163" s="216"/>
      <c r="G163" s="217"/>
      <c r="H163" s="218"/>
      <c r="I163" s="218"/>
      <c r="J163" s="218"/>
      <c r="K163" s="219"/>
      <c r="L163" s="218"/>
      <c r="M163" s="218"/>
      <c r="N163" s="218"/>
      <c r="O163" s="218"/>
      <c r="P163" s="220"/>
      <c r="Q163" s="37"/>
      <c r="R163" s="37"/>
    </row>
    <row r="164" spans="1:18" x14ac:dyDescent="0.35">
      <c r="A164" s="213"/>
      <c r="B164" s="214"/>
      <c r="C164" s="214"/>
      <c r="D164" s="215"/>
      <c r="E164" s="216"/>
      <c r="F164" s="216"/>
      <c r="G164" s="217"/>
      <c r="H164" s="218"/>
      <c r="I164" s="218"/>
      <c r="J164" s="218"/>
      <c r="K164" s="219"/>
      <c r="L164" s="218"/>
      <c r="M164" s="218"/>
      <c r="N164" s="218"/>
      <c r="O164" s="218"/>
      <c r="P164" s="220"/>
      <c r="Q164" s="37"/>
      <c r="R164" s="37"/>
    </row>
    <row r="165" spans="1:18" x14ac:dyDescent="0.35">
      <c r="A165" s="213"/>
      <c r="B165" s="214"/>
      <c r="C165" s="214"/>
      <c r="D165" s="215"/>
      <c r="E165" s="216"/>
      <c r="F165" s="216"/>
      <c r="G165" s="217"/>
      <c r="H165" s="218"/>
      <c r="I165" s="218"/>
      <c r="J165" s="218"/>
      <c r="K165" s="219"/>
      <c r="L165" s="218"/>
      <c r="M165" s="218"/>
      <c r="N165" s="218"/>
      <c r="O165" s="218"/>
      <c r="P165" s="220"/>
      <c r="Q165" s="37"/>
      <c r="R165" s="37"/>
    </row>
    <row r="166" spans="1:18" x14ac:dyDescent="0.35">
      <c r="A166" s="213"/>
      <c r="B166" s="214"/>
      <c r="C166" s="214"/>
      <c r="D166" s="215"/>
      <c r="E166" s="216"/>
      <c r="F166" s="216"/>
      <c r="G166" s="217"/>
      <c r="H166" s="218"/>
      <c r="I166" s="218"/>
      <c r="J166" s="218"/>
      <c r="K166" s="219"/>
      <c r="L166" s="218"/>
      <c r="M166" s="218"/>
      <c r="N166" s="218"/>
      <c r="O166" s="218"/>
      <c r="P166" s="220"/>
      <c r="Q166" s="37"/>
      <c r="R166" s="37"/>
    </row>
    <row r="167" spans="1:18" x14ac:dyDescent="0.35">
      <c r="A167" s="213"/>
      <c r="B167" s="214"/>
      <c r="C167" s="214"/>
      <c r="D167" s="215"/>
      <c r="E167" s="216"/>
      <c r="F167" s="216"/>
      <c r="G167" s="217"/>
      <c r="H167" s="218"/>
      <c r="I167" s="218"/>
      <c r="J167" s="218"/>
      <c r="K167" s="219"/>
      <c r="L167" s="218"/>
      <c r="M167" s="218"/>
      <c r="N167" s="218"/>
      <c r="O167" s="218"/>
      <c r="P167" s="220"/>
      <c r="Q167" s="37"/>
      <c r="R167" s="37"/>
    </row>
    <row r="168" spans="1:18" x14ac:dyDescent="0.35">
      <c r="A168" s="213"/>
      <c r="B168" s="214"/>
      <c r="C168" s="214"/>
      <c r="D168" s="215"/>
      <c r="E168" s="216"/>
      <c r="F168" s="216"/>
      <c r="G168" s="217"/>
      <c r="H168" s="218"/>
      <c r="I168" s="218"/>
      <c r="J168" s="218"/>
      <c r="K168" s="219"/>
      <c r="L168" s="218"/>
      <c r="M168" s="218"/>
      <c r="N168" s="218"/>
      <c r="O168" s="218"/>
      <c r="P168" s="220"/>
      <c r="Q168" s="37"/>
      <c r="R168" s="37"/>
    </row>
    <row r="169" spans="1:18" x14ac:dyDescent="0.35">
      <c r="A169" s="213"/>
      <c r="B169" s="214"/>
      <c r="C169" s="214"/>
      <c r="D169" s="215"/>
      <c r="E169" s="216"/>
      <c r="F169" s="216"/>
      <c r="G169" s="217"/>
      <c r="H169" s="218"/>
      <c r="I169" s="218"/>
      <c r="J169" s="218"/>
      <c r="K169" s="219"/>
      <c r="L169" s="218"/>
      <c r="M169" s="218"/>
      <c r="N169" s="218"/>
      <c r="O169" s="218"/>
      <c r="P169" s="220"/>
      <c r="Q169" s="37"/>
      <c r="R169" s="37"/>
    </row>
    <row r="170" spans="1:18" x14ac:dyDescent="0.35">
      <c r="A170" s="213"/>
      <c r="B170" s="214"/>
      <c r="C170" s="214"/>
      <c r="D170" s="215"/>
      <c r="E170" s="216"/>
      <c r="F170" s="216"/>
      <c r="G170" s="217"/>
      <c r="H170" s="218"/>
      <c r="I170" s="218"/>
      <c r="J170" s="218"/>
      <c r="K170" s="219"/>
      <c r="L170" s="218"/>
      <c r="M170" s="218"/>
      <c r="N170" s="218"/>
      <c r="O170" s="218"/>
      <c r="P170" s="220"/>
      <c r="Q170" s="37"/>
      <c r="R170" s="37"/>
    </row>
    <row r="171" spans="1:18" x14ac:dyDescent="0.35">
      <c r="A171" s="221"/>
      <c r="B171" s="222"/>
      <c r="C171" s="222"/>
      <c r="D171" s="222"/>
      <c r="E171" s="223"/>
      <c r="F171" s="223"/>
      <c r="G171" s="224"/>
      <c r="H171" s="225"/>
      <c r="I171" s="225"/>
      <c r="J171" s="225"/>
      <c r="K171" s="219">
        <f>+H171</f>
        <v>0</v>
      </c>
      <c r="L171" s="225"/>
      <c r="M171" s="225"/>
      <c r="N171" s="225"/>
      <c r="O171" s="225"/>
      <c r="P171" s="226"/>
      <c r="Q171" s="227"/>
      <c r="R171" s="228"/>
    </row>
    <row r="172" spans="1:18" x14ac:dyDescent="0.35">
      <c r="A172" s="221"/>
      <c r="B172" s="222"/>
      <c r="C172" s="222"/>
      <c r="D172" s="222" t="s">
        <v>72</v>
      </c>
      <c r="E172" s="223"/>
      <c r="F172" s="223">
        <f>SUM(F7:F33)</f>
        <v>0</v>
      </c>
      <c r="G172" s="224"/>
      <c r="H172" s="225"/>
      <c r="I172" s="225"/>
      <c r="J172" s="225"/>
      <c r="K172" s="225"/>
      <c r="L172" s="225"/>
      <c r="M172" s="225"/>
      <c r="N172" s="225"/>
      <c r="O172" s="225"/>
      <c r="P172" s="226"/>
      <c r="Q172" s="227"/>
      <c r="R172" s="228"/>
    </row>
    <row r="173" spans="1:18" x14ac:dyDescent="0.35">
      <c r="A173" s="221"/>
      <c r="B173" s="222"/>
      <c r="C173" s="222"/>
      <c r="D173" s="222" t="s">
        <v>73</v>
      </c>
      <c r="E173" s="223"/>
      <c r="F173" s="223">
        <f>F172/15</f>
        <v>0</v>
      </c>
      <c r="G173" s="224"/>
      <c r="H173" s="225"/>
      <c r="I173" s="225"/>
      <c r="J173" s="225"/>
      <c r="K173" s="225"/>
      <c r="L173" s="225"/>
      <c r="M173" s="225"/>
      <c r="N173" s="225"/>
      <c r="O173" s="225"/>
      <c r="P173" s="226"/>
      <c r="Q173" s="227"/>
      <c r="R173" s="228"/>
    </row>
    <row r="174" spans="1:18" x14ac:dyDescent="0.35">
      <c r="A174" s="221"/>
      <c r="B174" s="222"/>
      <c r="C174" s="222"/>
      <c r="D174" s="222"/>
      <c r="E174" s="223"/>
      <c r="F174" s="223"/>
      <c r="G174" s="224"/>
      <c r="H174" s="225"/>
      <c r="I174" s="225"/>
      <c r="J174" s="225"/>
      <c r="K174" s="225"/>
      <c r="L174" s="225"/>
      <c r="M174" s="225"/>
      <c r="N174" s="225"/>
      <c r="O174" s="225"/>
      <c r="P174" s="226"/>
      <c r="Q174" s="227"/>
      <c r="R174" s="228"/>
    </row>
    <row r="175" spans="1:18" x14ac:dyDescent="0.35">
      <c r="A175" s="221"/>
      <c r="B175" s="222"/>
      <c r="C175" s="222"/>
      <c r="D175" s="222"/>
      <c r="E175" s="223"/>
      <c r="F175" s="223"/>
      <c r="G175" s="224"/>
      <c r="H175" s="225"/>
      <c r="I175" s="225"/>
      <c r="J175" s="225"/>
      <c r="K175" s="225"/>
      <c r="L175" s="225"/>
      <c r="M175" s="225"/>
      <c r="N175" s="225"/>
      <c r="O175" s="225"/>
      <c r="P175" s="226"/>
      <c r="Q175" s="227"/>
      <c r="R175" s="228"/>
    </row>
    <row r="176" spans="1:18" x14ac:dyDescent="0.35">
      <c r="A176" s="221"/>
      <c r="B176" s="222"/>
      <c r="C176" s="222"/>
      <c r="D176" s="222"/>
      <c r="E176" s="223"/>
      <c r="F176" s="223"/>
      <c r="G176" s="224"/>
      <c r="H176" s="225"/>
      <c r="I176" s="225"/>
      <c r="J176" s="225"/>
      <c r="K176" s="225"/>
      <c r="L176" s="225"/>
      <c r="M176" s="225"/>
      <c r="N176" s="225"/>
      <c r="O176" s="225"/>
      <c r="P176" s="226"/>
      <c r="Q176" s="227"/>
      <c r="R176" s="228"/>
    </row>
    <row r="177" spans="1:18" x14ac:dyDescent="0.35">
      <c r="A177" s="221"/>
      <c r="B177" s="222"/>
      <c r="C177" s="222"/>
      <c r="D177" s="222"/>
      <c r="E177" s="223"/>
      <c r="F177" s="223"/>
      <c r="G177" s="224"/>
      <c r="H177" s="225"/>
      <c r="I177" s="225"/>
      <c r="J177" s="225"/>
      <c r="K177" s="225"/>
      <c r="L177" s="225"/>
      <c r="M177" s="225"/>
      <c r="N177" s="225"/>
      <c r="O177" s="225"/>
      <c r="P177" s="226"/>
      <c r="Q177" s="227"/>
      <c r="R177" s="228"/>
    </row>
    <row r="178" spans="1:18" x14ac:dyDescent="0.35">
      <c r="A178" s="221"/>
      <c r="B178" s="222"/>
      <c r="C178" s="222"/>
      <c r="D178" s="222"/>
      <c r="E178" s="223"/>
      <c r="F178" s="223"/>
      <c r="G178" s="224"/>
      <c r="H178" s="225"/>
      <c r="I178" s="225"/>
      <c r="J178" s="225"/>
      <c r="K178" s="225"/>
      <c r="L178" s="225"/>
      <c r="M178" s="225"/>
      <c r="N178" s="225"/>
      <c r="O178" s="225"/>
      <c r="P178" s="226"/>
      <c r="Q178" s="227"/>
      <c r="R178" s="228"/>
    </row>
    <row r="179" spans="1:18" x14ac:dyDescent="0.35">
      <c r="A179" s="221"/>
      <c r="B179" s="222"/>
      <c r="C179" s="222"/>
      <c r="D179" s="222"/>
      <c r="E179" s="223"/>
      <c r="F179" s="223"/>
      <c r="G179" s="224"/>
      <c r="H179" s="225"/>
      <c r="I179" s="225"/>
      <c r="J179" s="225"/>
      <c r="K179" s="225"/>
      <c r="L179" s="225"/>
      <c r="M179" s="225"/>
      <c r="N179" s="225"/>
      <c r="O179" s="225"/>
      <c r="P179" s="226"/>
      <c r="Q179" s="227"/>
      <c r="R179" s="228"/>
    </row>
    <row r="180" spans="1:18" x14ac:dyDescent="0.35">
      <c r="A180" s="221"/>
      <c r="B180" s="222"/>
      <c r="C180" s="222"/>
      <c r="D180" s="222"/>
      <c r="E180" s="223"/>
      <c r="F180" s="223"/>
      <c r="G180" s="224"/>
      <c r="H180" s="225"/>
      <c r="I180" s="225"/>
      <c r="J180" s="225"/>
      <c r="K180" s="225"/>
      <c r="L180" s="225"/>
      <c r="M180" s="225"/>
      <c r="N180" s="225"/>
      <c r="O180" s="225"/>
      <c r="P180" s="226"/>
      <c r="Q180" s="227"/>
      <c r="R180" s="228"/>
    </row>
    <row r="181" spans="1:18" x14ac:dyDescent="0.35">
      <c r="A181" s="221"/>
      <c r="B181" s="222"/>
      <c r="C181" s="222"/>
      <c r="D181" s="222"/>
      <c r="E181" s="223"/>
      <c r="F181" s="223"/>
      <c r="G181" s="224"/>
      <c r="H181" s="225"/>
      <c r="I181" s="225"/>
      <c r="J181" s="225"/>
      <c r="K181" s="225"/>
      <c r="L181" s="225"/>
      <c r="M181" s="225"/>
      <c r="N181" s="225"/>
      <c r="O181" s="225"/>
      <c r="P181" s="226"/>
      <c r="Q181" s="227"/>
      <c r="R181" s="228"/>
    </row>
    <row r="182" spans="1:18" x14ac:dyDescent="0.35">
      <c r="A182" s="221"/>
      <c r="B182" s="222"/>
      <c r="C182" s="222"/>
      <c r="D182" s="222"/>
      <c r="E182" s="223"/>
      <c r="F182" s="223"/>
      <c r="G182" s="224"/>
      <c r="H182" s="225"/>
      <c r="I182" s="225"/>
      <c r="J182" s="225"/>
      <c r="K182" s="225"/>
      <c r="L182" s="225"/>
      <c r="M182" s="225"/>
      <c r="N182" s="225"/>
      <c r="O182" s="225"/>
      <c r="P182" s="226"/>
      <c r="Q182" s="227"/>
      <c r="R182" s="228"/>
    </row>
    <row r="183" spans="1:18" x14ac:dyDescent="0.35">
      <c r="A183" s="221"/>
      <c r="B183" s="222"/>
      <c r="C183" s="222"/>
      <c r="D183" s="222"/>
      <c r="E183" s="223"/>
      <c r="F183" s="223"/>
      <c r="G183" s="224"/>
      <c r="H183" s="225"/>
      <c r="I183" s="225"/>
      <c r="J183" s="225"/>
      <c r="K183" s="225"/>
      <c r="L183" s="225"/>
      <c r="M183" s="225"/>
      <c r="N183" s="225"/>
      <c r="O183" s="225"/>
      <c r="P183" s="226"/>
      <c r="Q183" s="227"/>
      <c r="R183" s="228"/>
    </row>
    <row r="184" spans="1:18" x14ac:dyDescent="0.35">
      <c r="A184" s="221"/>
      <c r="B184" s="222"/>
      <c r="C184" s="222"/>
      <c r="D184" s="222"/>
      <c r="E184" s="223"/>
      <c r="F184" s="223"/>
      <c r="G184" s="224"/>
      <c r="H184" s="225"/>
      <c r="I184" s="225"/>
      <c r="J184" s="225"/>
      <c r="K184" s="225"/>
      <c r="L184" s="225"/>
      <c r="M184" s="225"/>
      <c r="N184" s="225"/>
      <c r="O184" s="225"/>
      <c r="P184" s="226"/>
      <c r="Q184" s="227"/>
      <c r="R184" s="228"/>
    </row>
    <row r="185" spans="1:18" x14ac:dyDescent="0.35">
      <c r="A185" s="1"/>
      <c r="B185" s="12"/>
      <c r="C185" s="12"/>
      <c r="D185" s="12"/>
      <c r="E185" s="13"/>
      <c r="F185" s="13"/>
      <c r="G185" s="17"/>
      <c r="H185" s="18"/>
      <c r="I185" s="18"/>
      <c r="J185" s="18"/>
      <c r="K185" s="18"/>
      <c r="L185" s="18"/>
      <c r="M185" s="18"/>
      <c r="N185" s="18"/>
      <c r="O185" s="18"/>
      <c r="P185" s="20"/>
      <c r="Q185" s="15"/>
      <c r="R185"/>
    </row>
    <row r="186" spans="1:18" x14ac:dyDescent="0.35">
      <c r="A186" s="1"/>
      <c r="B186" s="12"/>
      <c r="C186" s="12"/>
      <c r="D186" s="12"/>
      <c r="E186" s="13"/>
      <c r="F186" s="13"/>
      <c r="G186" s="17"/>
      <c r="H186" s="18"/>
      <c r="I186" s="18"/>
      <c r="J186" s="18"/>
      <c r="K186" s="18"/>
      <c r="L186" s="18"/>
      <c r="M186" s="18"/>
      <c r="N186" s="18"/>
      <c r="O186" s="18"/>
      <c r="P186" s="20"/>
      <c r="Q186" s="15"/>
      <c r="R186"/>
    </row>
    <row r="187" spans="1:18" x14ac:dyDescent="0.35">
      <c r="A187" s="1"/>
      <c r="B187" s="12"/>
      <c r="C187" s="12"/>
      <c r="D187" s="12"/>
      <c r="E187" s="13"/>
      <c r="F187" s="13"/>
      <c r="G187" s="17"/>
      <c r="H187" s="18"/>
      <c r="I187" s="18"/>
      <c r="J187" s="18"/>
      <c r="K187" s="18"/>
      <c r="L187" s="18"/>
      <c r="M187" s="18"/>
      <c r="N187" s="18"/>
      <c r="O187" s="18"/>
      <c r="P187" s="20"/>
      <c r="Q187" s="15"/>
      <c r="R187"/>
    </row>
    <row r="188" spans="1:18" x14ac:dyDescent="0.35">
      <c r="A188" s="1"/>
      <c r="B188" s="12"/>
      <c r="C188" s="12"/>
      <c r="D188" s="12"/>
      <c r="E188" s="13"/>
      <c r="F188" s="13"/>
      <c r="G188" s="17"/>
      <c r="H188" s="18"/>
      <c r="I188" s="18"/>
      <c r="J188" s="18"/>
      <c r="K188" s="18"/>
      <c r="L188" s="18"/>
      <c r="M188" s="18"/>
      <c r="N188" s="18"/>
      <c r="O188" s="18"/>
      <c r="P188" s="20"/>
      <c r="Q188" s="15"/>
      <c r="R188"/>
    </row>
    <row r="189" spans="1:18" x14ac:dyDescent="0.35">
      <c r="A189" s="1"/>
      <c r="B189" s="12"/>
      <c r="C189" s="12"/>
      <c r="D189" s="12"/>
      <c r="E189" s="13"/>
      <c r="F189" s="13"/>
      <c r="G189" s="17"/>
      <c r="H189" s="18"/>
      <c r="I189" s="18"/>
      <c r="J189" s="18"/>
      <c r="K189" s="18"/>
      <c r="L189" s="18"/>
      <c r="M189" s="18"/>
      <c r="N189" s="18"/>
      <c r="O189" s="18"/>
      <c r="P189" s="20"/>
      <c r="Q189" s="15"/>
      <c r="R189"/>
    </row>
    <row r="190" spans="1:18" x14ac:dyDescent="0.35">
      <c r="A190" s="1"/>
      <c r="B190" s="12"/>
      <c r="C190" s="12"/>
      <c r="D190" s="12"/>
      <c r="E190" s="13"/>
      <c r="F190" s="13"/>
      <c r="G190" s="17"/>
      <c r="H190" s="18"/>
      <c r="I190" s="18"/>
      <c r="J190" s="18"/>
      <c r="K190" s="18"/>
      <c r="L190" s="18"/>
      <c r="M190" s="18"/>
      <c r="N190" s="18"/>
      <c r="O190" s="18"/>
      <c r="P190" s="20"/>
      <c r="Q190" s="15"/>
      <c r="R190"/>
    </row>
    <row r="191" spans="1:18" x14ac:dyDescent="0.35">
      <c r="A191" s="1"/>
      <c r="B191" s="12"/>
      <c r="C191" s="12"/>
      <c r="D191" s="12"/>
      <c r="E191" s="13"/>
      <c r="F191" s="13"/>
      <c r="G191" s="17"/>
      <c r="H191" s="18"/>
      <c r="I191" s="18"/>
      <c r="J191" s="18"/>
      <c r="K191" s="18"/>
      <c r="L191" s="18"/>
      <c r="M191" s="18"/>
      <c r="N191" s="18"/>
      <c r="O191" s="18"/>
      <c r="P191" s="20"/>
      <c r="Q191" s="15"/>
      <c r="R191"/>
    </row>
    <row r="192" spans="1:18" x14ac:dyDescent="0.35">
      <c r="A192" s="1"/>
      <c r="B192" s="12"/>
      <c r="C192" s="12"/>
      <c r="D192" s="12"/>
      <c r="E192" s="13"/>
      <c r="F192" s="13"/>
      <c r="G192" s="17"/>
      <c r="H192" s="18"/>
      <c r="I192" s="18"/>
      <c r="J192" s="18"/>
      <c r="K192" s="18"/>
      <c r="L192" s="18"/>
      <c r="M192" s="18"/>
      <c r="N192" s="18"/>
      <c r="O192" s="18"/>
      <c r="P192" s="20"/>
      <c r="Q192" s="15"/>
      <c r="R192"/>
    </row>
    <row r="193" spans="1:18" x14ac:dyDescent="0.35">
      <c r="A193" s="1"/>
      <c r="B193" s="12"/>
      <c r="C193" s="12"/>
      <c r="D193" s="12"/>
      <c r="E193" s="13"/>
      <c r="F193" s="13"/>
      <c r="G193" s="17"/>
      <c r="H193" s="18"/>
      <c r="I193" s="18"/>
      <c r="J193" s="18"/>
      <c r="K193" s="18"/>
      <c r="L193" s="18"/>
      <c r="M193" s="18"/>
      <c r="N193" s="18"/>
      <c r="O193" s="18"/>
      <c r="P193" s="20"/>
      <c r="Q193" s="15"/>
      <c r="R193"/>
    </row>
    <row r="194" spans="1:18" x14ac:dyDescent="0.35">
      <c r="A194" s="1"/>
      <c r="B194" s="12"/>
      <c r="C194" s="12"/>
      <c r="D194" s="12"/>
      <c r="E194" s="13"/>
      <c r="F194" s="13"/>
      <c r="G194" s="17"/>
      <c r="H194" s="18"/>
      <c r="I194" s="18"/>
      <c r="J194" s="18"/>
      <c r="K194" s="18"/>
      <c r="L194" s="18"/>
      <c r="M194" s="18"/>
      <c r="N194" s="18"/>
      <c r="O194" s="18"/>
      <c r="P194" s="20"/>
      <c r="Q194" s="15"/>
      <c r="R194"/>
    </row>
    <row r="195" spans="1:18" x14ac:dyDescent="0.35">
      <c r="A195" s="1"/>
      <c r="B195" s="12"/>
      <c r="C195" s="12"/>
      <c r="D195" s="12"/>
      <c r="E195" s="13"/>
      <c r="F195" s="13"/>
      <c r="G195" s="17"/>
      <c r="H195" s="18"/>
      <c r="I195" s="18"/>
      <c r="J195" s="18"/>
      <c r="K195" s="18"/>
      <c r="L195" s="18"/>
      <c r="M195" s="18"/>
      <c r="N195" s="18"/>
      <c r="O195" s="18"/>
      <c r="P195" s="20"/>
      <c r="Q195" s="15"/>
      <c r="R195"/>
    </row>
    <row r="196" spans="1:18" x14ac:dyDescent="0.35">
      <c r="A196" s="1"/>
      <c r="B196" s="12"/>
      <c r="C196" s="12"/>
      <c r="D196" s="12"/>
      <c r="E196" s="13"/>
      <c r="F196" s="13"/>
      <c r="G196" s="17"/>
      <c r="H196" s="18"/>
      <c r="I196" s="18"/>
      <c r="J196" s="18"/>
      <c r="K196" s="18"/>
      <c r="L196" s="18"/>
      <c r="M196" s="18"/>
      <c r="N196" s="18"/>
      <c r="O196" s="18"/>
      <c r="P196" s="20"/>
      <c r="Q196" s="15"/>
      <c r="R196"/>
    </row>
    <row r="197" spans="1:18" x14ac:dyDescent="0.35">
      <c r="A197" s="1"/>
      <c r="B197" s="12"/>
      <c r="C197" s="12"/>
      <c r="D197" s="12"/>
      <c r="E197" s="13"/>
      <c r="F197" s="13"/>
      <c r="G197" s="17"/>
      <c r="H197" s="18"/>
      <c r="I197" s="18"/>
      <c r="J197" s="18"/>
      <c r="K197" s="18"/>
      <c r="L197" s="18"/>
      <c r="M197" s="18"/>
      <c r="N197" s="18"/>
      <c r="O197" s="18"/>
      <c r="P197" s="20"/>
      <c r="Q197" s="15"/>
      <c r="R197"/>
    </row>
    <row r="198" spans="1:18" x14ac:dyDescent="0.35">
      <c r="A198" s="1"/>
      <c r="B198" s="12"/>
      <c r="C198" s="12"/>
      <c r="D198" s="12"/>
      <c r="E198" s="13"/>
      <c r="F198" s="13"/>
      <c r="G198" s="17"/>
      <c r="H198" s="18"/>
      <c r="I198" s="18"/>
      <c r="J198" s="18"/>
      <c r="K198" s="18"/>
      <c r="L198" s="18"/>
      <c r="M198" s="18"/>
      <c r="N198" s="18"/>
      <c r="O198" s="18"/>
      <c r="P198" s="20"/>
      <c r="Q198" s="15"/>
      <c r="R198"/>
    </row>
    <row r="199" spans="1:18" x14ac:dyDescent="0.35">
      <c r="A199" s="1"/>
      <c r="B199" s="12"/>
      <c r="C199" s="12"/>
      <c r="D199" s="12"/>
      <c r="E199" s="13"/>
      <c r="F199" s="13"/>
      <c r="G199" s="17"/>
      <c r="H199" s="18"/>
      <c r="I199" s="18"/>
      <c r="J199" s="18"/>
      <c r="K199" s="18"/>
      <c r="L199" s="18"/>
      <c r="M199" s="18"/>
      <c r="N199" s="18"/>
      <c r="O199" s="18"/>
      <c r="P199" s="20"/>
      <c r="Q199" s="15"/>
      <c r="R199"/>
    </row>
    <row r="200" spans="1:18" x14ac:dyDescent="0.35">
      <c r="A200" s="1"/>
      <c r="B200" s="12"/>
      <c r="C200" s="12"/>
      <c r="D200" s="12"/>
      <c r="E200" s="13"/>
      <c r="F200" s="13"/>
      <c r="G200" s="17"/>
      <c r="H200"/>
      <c r="I200"/>
      <c r="J200"/>
      <c r="K200"/>
      <c r="L200" s="18"/>
      <c r="M200" s="14"/>
      <c r="N200" s="14"/>
      <c r="O200" s="14"/>
      <c r="P200" s="21"/>
      <c r="Q200" s="15"/>
      <c r="R200"/>
    </row>
    <row r="201" spans="1:18" x14ac:dyDescent="0.35">
      <c r="A201" s="1"/>
      <c r="B201" s="12"/>
      <c r="C201" s="12"/>
      <c r="D201" s="12"/>
      <c r="E201" s="13"/>
      <c r="F201" s="13"/>
      <c r="G201" s="17"/>
      <c r="H201"/>
      <c r="I201"/>
      <c r="J201"/>
      <c r="K201"/>
      <c r="L201" s="18"/>
      <c r="M201" s="14"/>
      <c r="N201" s="14"/>
      <c r="O201" s="14"/>
      <c r="P201" s="21"/>
      <c r="Q201" s="15"/>
      <c r="R201"/>
    </row>
    <row r="202" spans="1:18" x14ac:dyDescent="0.35">
      <c r="A202" s="1"/>
      <c r="B202" s="12"/>
      <c r="C202" s="12"/>
      <c r="D202" s="12"/>
      <c r="E202" s="13"/>
      <c r="F202" s="13"/>
      <c r="G202" s="17"/>
      <c r="H202"/>
      <c r="I202"/>
      <c r="J202"/>
      <c r="K202"/>
      <c r="L202" s="14"/>
      <c r="M202" s="14"/>
      <c r="N202" s="14"/>
      <c r="O202" s="14"/>
      <c r="P202" s="21"/>
      <c r="Q202" s="15"/>
      <c r="R202"/>
    </row>
    <row r="203" spans="1:18" x14ac:dyDescent="0.35">
      <c r="A203" s="1"/>
      <c r="B203" s="12"/>
      <c r="C203" s="12"/>
      <c r="D203" s="12"/>
      <c r="E203" s="13"/>
      <c r="F203" s="13"/>
      <c r="G203" s="17"/>
      <c r="H203"/>
      <c r="I203"/>
      <c r="J203"/>
      <c r="K203"/>
      <c r="L203" s="14"/>
      <c r="M203" s="14"/>
      <c r="N203" s="14"/>
      <c r="O203" s="14"/>
      <c r="P203" s="21"/>
      <c r="Q203" s="15"/>
      <c r="R203"/>
    </row>
    <row r="204" spans="1:18" x14ac:dyDescent="0.35">
      <c r="A204" s="1"/>
      <c r="B204" s="12"/>
      <c r="C204" s="12"/>
      <c r="D204" s="12"/>
      <c r="E204" s="13"/>
      <c r="F204" s="13"/>
      <c r="G204" s="13"/>
      <c r="H204"/>
      <c r="I204"/>
      <c r="J204"/>
      <c r="K204"/>
      <c r="L204" s="14"/>
      <c r="M204" s="14"/>
      <c r="N204" s="14"/>
      <c r="O204" s="14"/>
      <c r="P204" s="21"/>
      <c r="Q204" s="15"/>
      <c r="R204"/>
    </row>
    <row r="205" spans="1:18" x14ac:dyDescent="0.35">
      <c r="A205" s="1"/>
      <c r="B205" s="12"/>
      <c r="C205" s="12"/>
      <c r="D205" s="12"/>
      <c r="E205" s="13"/>
      <c r="F205" s="13"/>
      <c r="G205" s="13"/>
      <c r="H205"/>
      <c r="I205"/>
      <c r="J205"/>
      <c r="K205"/>
      <c r="L205" s="14"/>
      <c r="M205" s="14"/>
      <c r="N205" s="14"/>
      <c r="O205" s="14"/>
      <c r="P205" s="21"/>
      <c r="Q205" s="15"/>
      <c r="R205"/>
    </row>
    <row r="206" spans="1:18" x14ac:dyDescent="0.35">
      <c r="A206" s="1"/>
      <c r="B206" s="12"/>
      <c r="C206" s="12"/>
      <c r="D206" s="12"/>
      <c r="E206" s="13"/>
      <c r="F206" s="13"/>
      <c r="G206" s="13"/>
      <c r="H206"/>
      <c r="I206"/>
      <c r="J206"/>
      <c r="K206"/>
      <c r="L206" s="14"/>
      <c r="M206" s="14"/>
      <c r="N206" s="14"/>
      <c r="O206" s="14"/>
      <c r="P206" s="21"/>
      <c r="Q206" s="15"/>
      <c r="R206"/>
    </row>
    <row r="207" spans="1:18" x14ac:dyDescent="0.35">
      <c r="A207" s="1"/>
      <c r="B207" s="12"/>
      <c r="C207" s="12"/>
      <c r="D207" s="12"/>
      <c r="E207" s="13"/>
      <c r="F207" s="13"/>
      <c r="G207" s="13"/>
      <c r="H207"/>
      <c r="I207"/>
      <c r="J207"/>
      <c r="K207"/>
      <c r="L207" s="14"/>
      <c r="M207" s="14"/>
      <c r="N207" s="14"/>
      <c r="O207" s="14"/>
      <c r="P207" s="21"/>
      <c r="Q207" s="15"/>
      <c r="R207"/>
    </row>
    <row r="208" spans="1:18" x14ac:dyDescent="0.35">
      <c r="A208" s="1"/>
      <c r="B208" s="12"/>
      <c r="C208" s="12"/>
      <c r="D208" s="12"/>
      <c r="E208" s="13"/>
      <c r="F208" s="13"/>
      <c r="G208" s="13"/>
      <c r="H208"/>
      <c r="I208"/>
      <c r="J208"/>
      <c r="K208"/>
      <c r="L208" s="14"/>
      <c r="M208" s="14"/>
      <c r="N208" s="14"/>
      <c r="O208" s="14"/>
      <c r="P208" s="21"/>
      <c r="Q208" s="15"/>
      <c r="R208"/>
    </row>
    <row r="209" spans="1:18" x14ac:dyDescent="0.35">
      <c r="A209" s="1"/>
      <c r="B209" s="12"/>
      <c r="C209" s="12"/>
      <c r="D209" s="12"/>
      <c r="E209" s="13"/>
      <c r="F209" s="13"/>
      <c r="G209" s="13"/>
      <c r="H209"/>
      <c r="I209"/>
      <c r="J209"/>
      <c r="K209"/>
      <c r="L209" s="14"/>
      <c r="M209" s="14"/>
      <c r="N209" s="14"/>
      <c r="O209" s="14"/>
      <c r="P209" s="21"/>
      <c r="Q209" s="15"/>
      <c r="R209"/>
    </row>
    <row r="210" spans="1:18" x14ac:dyDescent="0.35">
      <c r="A210" s="1"/>
      <c r="B210" s="12"/>
      <c r="C210" s="12"/>
      <c r="D210" s="12"/>
      <c r="E210" s="13"/>
      <c r="F210" s="13"/>
      <c r="G210" s="13"/>
      <c r="H210"/>
      <c r="I210"/>
      <c r="J210"/>
      <c r="K210"/>
      <c r="L210" s="14"/>
      <c r="M210" s="14"/>
      <c r="N210" s="14"/>
      <c r="O210" s="14"/>
      <c r="P210" s="21"/>
      <c r="Q210" s="15"/>
      <c r="R210"/>
    </row>
    <row r="211" spans="1:18" x14ac:dyDescent="0.35">
      <c r="A211" s="1"/>
      <c r="B211" s="12"/>
      <c r="C211" s="12"/>
      <c r="D211" s="12"/>
      <c r="E211" s="13"/>
      <c r="F211" s="13"/>
      <c r="G211" s="13"/>
      <c r="H211"/>
      <c r="I211"/>
      <c r="J211"/>
      <c r="K211"/>
      <c r="L211" s="14"/>
      <c r="M211" s="14"/>
      <c r="N211" s="14"/>
      <c r="O211" s="14"/>
      <c r="P211" s="21"/>
      <c r="Q211" s="15"/>
      <c r="R211"/>
    </row>
    <row r="212" spans="1:18" x14ac:dyDescent="0.35">
      <c r="A212" s="1"/>
      <c r="B212" s="12"/>
      <c r="C212" s="12"/>
      <c r="D212" s="12"/>
      <c r="E212" s="13"/>
      <c r="F212" s="13"/>
      <c r="G212" s="13"/>
      <c r="H212"/>
      <c r="I212"/>
      <c r="J212"/>
      <c r="K212"/>
      <c r="L212" s="14"/>
      <c r="M212" s="14"/>
      <c r="N212" s="14"/>
      <c r="O212" s="14"/>
      <c r="P212" s="21"/>
      <c r="Q212" s="15"/>
      <c r="R212"/>
    </row>
    <row r="213" spans="1:18" x14ac:dyDescent="0.35">
      <c r="A213" s="1"/>
      <c r="B213" s="12"/>
      <c r="C213" s="12"/>
      <c r="D213" s="12"/>
      <c r="E213" s="13"/>
      <c r="F213" s="13"/>
      <c r="G213" s="13"/>
      <c r="H213"/>
      <c r="I213"/>
      <c r="J213"/>
      <c r="K213"/>
      <c r="L213" s="14"/>
      <c r="M213" s="14"/>
      <c r="N213" s="14"/>
      <c r="O213" s="14"/>
      <c r="P213" s="21"/>
      <c r="Q213" s="15"/>
      <c r="R213"/>
    </row>
    <row r="214" spans="1:18" x14ac:dyDescent="0.35">
      <c r="A214" s="1"/>
      <c r="B214" s="12"/>
      <c r="C214" s="12"/>
      <c r="D214" s="12"/>
      <c r="E214" s="13"/>
      <c r="F214" s="13"/>
      <c r="G214" s="13"/>
      <c r="H214"/>
      <c r="I214"/>
      <c r="J214"/>
      <c r="K214"/>
      <c r="L214" s="14"/>
      <c r="M214" s="14"/>
      <c r="N214" s="14"/>
      <c r="O214" s="14"/>
      <c r="P214" s="21"/>
      <c r="Q214" s="15"/>
      <c r="R214"/>
    </row>
    <row r="215" spans="1:18" x14ac:dyDescent="0.35">
      <c r="A215" s="1"/>
      <c r="B215" s="12"/>
      <c r="C215" s="12"/>
      <c r="D215" s="12"/>
      <c r="E215" s="13"/>
      <c r="F215" s="13"/>
      <c r="G215" s="13"/>
      <c r="H215"/>
      <c r="I215"/>
      <c r="J215"/>
      <c r="K215"/>
      <c r="L215" s="14"/>
      <c r="M215" s="14"/>
      <c r="N215" s="14"/>
      <c r="O215" s="14"/>
      <c r="P215" s="21"/>
      <c r="Q215" s="15"/>
      <c r="R215"/>
    </row>
    <row r="216" spans="1:18" x14ac:dyDescent="0.35">
      <c r="A216" s="1"/>
      <c r="B216" s="12"/>
      <c r="C216" s="12"/>
      <c r="D216" s="12"/>
      <c r="E216" s="13"/>
      <c r="F216" s="13"/>
      <c r="G216" s="13"/>
      <c r="H216"/>
      <c r="I216"/>
      <c r="J216"/>
      <c r="K216"/>
      <c r="L216" s="14"/>
      <c r="M216" s="14"/>
      <c r="N216" s="14"/>
      <c r="O216" s="14"/>
      <c r="P216" s="21"/>
      <c r="Q216" s="15"/>
      <c r="R216"/>
    </row>
    <row r="217" spans="1:18" x14ac:dyDescent="0.35">
      <c r="A217" s="1"/>
      <c r="B217" s="12"/>
      <c r="C217" s="12"/>
      <c r="D217" s="12"/>
      <c r="E217" s="13"/>
      <c r="F217" s="13"/>
      <c r="G217" s="13"/>
      <c r="H217"/>
      <c r="I217"/>
      <c r="J217"/>
      <c r="K217"/>
      <c r="L217" s="14"/>
      <c r="M217" s="14"/>
      <c r="N217" s="14"/>
      <c r="O217" s="14"/>
      <c r="P217" s="21"/>
      <c r="Q217" s="15"/>
      <c r="R217"/>
    </row>
    <row r="218" spans="1:18" x14ac:dyDescent="0.35">
      <c r="A218" s="1"/>
      <c r="B218" s="12"/>
      <c r="C218" s="12"/>
      <c r="D218" s="12"/>
      <c r="E218" s="13"/>
      <c r="F218" s="13"/>
      <c r="G218" s="13"/>
      <c r="H218"/>
      <c r="I218"/>
      <c r="J218"/>
      <c r="K218"/>
      <c r="L218"/>
      <c r="M218"/>
      <c r="N218"/>
      <c r="O218"/>
      <c r="P218" s="21"/>
      <c r="Q218" s="15"/>
      <c r="R218"/>
    </row>
    <row r="219" spans="1:18" x14ac:dyDescent="0.35">
      <c r="A219" s="1"/>
      <c r="B219" s="12"/>
      <c r="C219" s="12"/>
      <c r="D219" s="12"/>
      <c r="E219" s="13"/>
      <c r="F219" s="13"/>
      <c r="G219" s="13"/>
      <c r="H219"/>
      <c r="I219"/>
      <c r="J219"/>
      <c r="K219"/>
      <c r="L219"/>
      <c r="M219"/>
      <c r="N219"/>
      <c r="O219"/>
      <c r="P219" s="21"/>
      <c r="Q219" s="15"/>
      <c r="R219"/>
    </row>
    <row r="220" spans="1:18" x14ac:dyDescent="0.35">
      <c r="A220" s="1"/>
      <c r="B220" s="12"/>
      <c r="C220" s="12"/>
      <c r="D220" s="12"/>
      <c r="E220" s="13"/>
      <c r="F220" s="13"/>
      <c r="G220" s="13"/>
      <c r="H220"/>
      <c r="I220"/>
      <c r="J220"/>
      <c r="K220"/>
      <c r="L220"/>
      <c r="M220"/>
      <c r="N220"/>
      <c r="O220"/>
      <c r="P220" s="21"/>
      <c r="Q220" s="15"/>
      <c r="R220"/>
    </row>
    <row r="221" spans="1:18" x14ac:dyDescent="0.35">
      <c r="A221" s="1"/>
      <c r="B221" s="12"/>
      <c r="C221" s="12"/>
      <c r="D221" s="12"/>
      <c r="E221" s="13"/>
      <c r="F221" s="13"/>
      <c r="G221" s="13"/>
      <c r="H221"/>
      <c r="I221"/>
      <c r="J221"/>
      <c r="K221"/>
      <c r="L221"/>
      <c r="M221"/>
      <c r="N221"/>
      <c r="O221"/>
      <c r="P221" s="21"/>
      <c r="Q221" s="15"/>
      <c r="R221"/>
    </row>
    <row r="222" spans="1:18" x14ac:dyDescent="0.35">
      <c r="A222" s="1"/>
      <c r="B222" s="12"/>
      <c r="C222" s="12"/>
      <c r="D222" s="12"/>
      <c r="E222" s="13"/>
      <c r="F222" s="13"/>
      <c r="G222" s="13"/>
      <c r="H222"/>
      <c r="I222"/>
      <c r="J222"/>
      <c r="K222"/>
      <c r="L222"/>
      <c r="M222"/>
      <c r="N222"/>
      <c r="O222"/>
      <c r="P222" s="21"/>
      <c r="Q222" s="15"/>
      <c r="R222"/>
    </row>
    <row r="223" spans="1:18" x14ac:dyDescent="0.35">
      <c r="A223" s="1"/>
      <c r="B223" s="12"/>
      <c r="C223" s="12"/>
      <c r="D223" s="12"/>
      <c r="E223" s="13"/>
      <c r="F223" s="13"/>
      <c r="G223" s="13"/>
      <c r="H223"/>
      <c r="I223"/>
      <c r="J223"/>
      <c r="K223"/>
      <c r="L223"/>
      <c r="M223"/>
      <c r="N223"/>
      <c r="O223"/>
      <c r="P223" s="21"/>
      <c r="Q223" s="15"/>
      <c r="R223"/>
    </row>
    <row r="224" spans="1:18" x14ac:dyDescent="0.35">
      <c r="A224" s="1"/>
      <c r="B224" s="12"/>
      <c r="C224" s="12"/>
      <c r="D224" s="12"/>
      <c r="E224" s="13"/>
      <c r="F224" s="13"/>
      <c r="G224" s="13"/>
      <c r="H224"/>
      <c r="I224"/>
      <c r="J224"/>
      <c r="K224"/>
      <c r="L224"/>
      <c r="M224"/>
      <c r="N224"/>
      <c r="O224"/>
      <c r="P224" s="21"/>
      <c r="Q224" s="15"/>
      <c r="R224"/>
    </row>
    <row r="225" spans="1:18" x14ac:dyDescent="0.35">
      <c r="A225" s="1"/>
      <c r="B225" s="12"/>
      <c r="C225" s="12"/>
      <c r="D225" s="12"/>
      <c r="E225" s="13"/>
      <c r="F225" s="13"/>
      <c r="G225" s="13"/>
      <c r="H225"/>
      <c r="I225"/>
      <c r="J225"/>
      <c r="K225"/>
      <c r="L225"/>
      <c r="M225"/>
      <c r="N225"/>
      <c r="O225"/>
      <c r="P225" s="21"/>
      <c r="Q225" s="15"/>
      <c r="R225"/>
    </row>
    <row r="226" spans="1:18" x14ac:dyDescent="0.35">
      <c r="A226" s="1"/>
      <c r="B226" s="12"/>
      <c r="C226" s="12"/>
      <c r="D226" s="12"/>
      <c r="E226" s="13"/>
      <c r="F226" s="13"/>
      <c r="G226" s="13"/>
      <c r="H226"/>
      <c r="I226"/>
      <c r="J226"/>
      <c r="K226"/>
      <c r="L226"/>
      <c r="M226"/>
      <c r="N226"/>
      <c r="O226"/>
      <c r="P226" s="21"/>
      <c r="Q226" s="15"/>
      <c r="R226"/>
    </row>
    <row r="227" spans="1:18" x14ac:dyDescent="0.35">
      <c r="A227" s="1"/>
      <c r="B227" s="12"/>
      <c r="C227" s="12"/>
      <c r="D227" s="12"/>
      <c r="E227" s="13"/>
      <c r="F227" s="13"/>
      <c r="G227" s="13"/>
      <c r="H227"/>
      <c r="I227"/>
      <c r="J227"/>
      <c r="K227"/>
      <c r="L227"/>
      <c r="M227"/>
      <c r="N227"/>
      <c r="O227"/>
      <c r="P227" s="21"/>
      <c r="Q227" s="15"/>
      <c r="R227"/>
    </row>
    <row r="228" spans="1:18" x14ac:dyDescent="0.35">
      <c r="A228" s="1"/>
      <c r="B228" s="12"/>
      <c r="C228" s="12"/>
      <c r="D228" s="12"/>
      <c r="E228" s="13"/>
      <c r="F228" s="13"/>
      <c r="G228" s="13"/>
      <c r="H228"/>
      <c r="I228"/>
      <c r="J228"/>
      <c r="K228"/>
      <c r="L228"/>
      <c r="M228"/>
      <c r="N228"/>
      <c r="O228"/>
      <c r="P228" s="21"/>
      <c r="Q228" s="15"/>
      <c r="R228"/>
    </row>
    <row r="229" spans="1:18" x14ac:dyDescent="0.35">
      <c r="A229" s="1"/>
      <c r="B229" s="12"/>
      <c r="C229" s="12"/>
      <c r="D229" s="12"/>
      <c r="E229" s="13"/>
      <c r="F229" s="13"/>
      <c r="G229" s="13"/>
      <c r="H229"/>
      <c r="I229"/>
      <c r="J229"/>
      <c r="K229"/>
      <c r="L229"/>
      <c r="M229"/>
      <c r="N229"/>
      <c r="O229"/>
      <c r="P229" s="21"/>
      <c r="Q229" s="15"/>
      <c r="R229"/>
    </row>
    <row r="230" spans="1:18" x14ac:dyDescent="0.35">
      <c r="A230" s="1"/>
      <c r="B230" s="12"/>
      <c r="C230" s="12"/>
      <c r="D230" s="12"/>
      <c r="E230" s="13"/>
      <c r="F230" s="13"/>
      <c r="G230" s="13"/>
      <c r="H230"/>
      <c r="I230"/>
      <c r="J230"/>
      <c r="K230"/>
      <c r="L230"/>
      <c r="M230"/>
      <c r="N230"/>
      <c r="O230"/>
      <c r="P230" s="21"/>
      <c r="Q230" s="15"/>
      <c r="R230"/>
    </row>
    <row r="231" spans="1:18" x14ac:dyDescent="0.35">
      <c r="A231" s="1"/>
      <c r="B231" s="12"/>
      <c r="C231" s="12"/>
      <c r="D231" s="12"/>
      <c r="E231" s="13"/>
      <c r="F231" s="13"/>
      <c r="G231" s="13"/>
      <c r="H231"/>
      <c r="I231"/>
      <c r="J231"/>
      <c r="K231"/>
      <c r="L231"/>
      <c r="M231"/>
      <c r="N231"/>
      <c r="O231"/>
      <c r="P231" s="21"/>
      <c r="Q231" s="15"/>
      <c r="R231"/>
    </row>
    <row r="232" spans="1:18" x14ac:dyDescent="0.35">
      <c r="A232" s="1"/>
      <c r="B232" s="12"/>
      <c r="C232" s="12"/>
      <c r="D232" s="12"/>
      <c r="E232" s="13"/>
      <c r="F232" s="13"/>
      <c r="G232" s="13"/>
      <c r="H232"/>
      <c r="I232"/>
      <c r="J232"/>
      <c r="K232"/>
      <c r="L232"/>
      <c r="M232"/>
      <c r="N232"/>
      <c r="O232"/>
      <c r="P232" s="21"/>
      <c r="Q232" s="15"/>
      <c r="R232"/>
    </row>
    <row r="233" spans="1:18" x14ac:dyDescent="0.35">
      <c r="A233" s="1"/>
      <c r="B233" s="12"/>
      <c r="C233" s="12"/>
      <c r="D233" s="12"/>
      <c r="E233" s="13"/>
      <c r="F233" s="13"/>
      <c r="G233" s="13"/>
      <c r="H233"/>
      <c r="I233"/>
      <c r="J233"/>
      <c r="K233"/>
      <c r="L233"/>
      <c r="M233"/>
      <c r="N233"/>
      <c r="O233"/>
      <c r="P233" s="21"/>
      <c r="Q233" s="15"/>
      <c r="R233"/>
    </row>
    <row r="234" spans="1:18" x14ac:dyDescent="0.35">
      <c r="A234" s="1"/>
      <c r="B234" s="12"/>
      <c r="C234" s="12"/>
      <c r="D234" s="12"/>
      <c r="E234" s="13"/>
      <c r="F234" s="13"/>
      <c r="G234" s="13"/>
      <c r="H234"/>
      <c r="I234"/>
      <c r="J234"/>
      <c r="K234"/>
      <c r="L234"/>
      <c r="M234"/>
      <c r="N234"/>
      <c r="O234"/>
      <c r="P234" s="21"/>
      <c r="Q234" s="15"/>
      <c r="R234"/>
    </row>
    <row r="235" spans="1:18" x14ac:dyDescent="0.35">
      <c r="A235" s="1"/>
      <c r="B235" s="12"/>
      <c r="C235" s="12"/>
      <c r="D235" s="12"/>
      <c r="E235" s="13"/>
      <c r="F235" s="13"/>
      <c r="G235" s="13"/>
      <c r="H235"/>
      <c r="I235"/>
      <c r="J235"/>
      <c r="K235"/>
      <c r="L235"/>
      <c r="M235"/>
      <c r="N235"/>
      <c r="O235"/>
      <c r="P235" s="21"/>
      <c r="Q235" s="15"/>
      <c r="R235"/>
    </row>
    <row r="236" spans="1:18" x14ac:dyDescent="0.35">
      <c r="A236" s="1"/>
      <c r="B236" s="12"/>
      <c r="C236" s="12"/>
      <c r="D236" s="12"/>
      <c r="E236" s="13"/>
      <c r="F236" s="13"/>
      <c r="G236" s="13"/>
      <c r="H236"/>
      <c r="I236"/>
      <c r="J236"/>
      <c r="K236"/>
      <c r="L236"/>
      <c r="M236"/>
      <c r="N236"/>
      <c r="O236"/>
      <c r="P236" s="21"/>
      <c r="Q236" s="15"/>
      <c r="R236"/>
    </row>
    <row r="237" spans="1:18" x14ac:dyDescent="0.35">
      <c r="A237" s="1"/>
      <c r="B237" s="12"/>
      <c r="C237" s="12"/>
      <c r="D237" s="12"/>
      <c r="E237" s="13"/>
      <c r="F237" s="13"/>
      <c r="G237" s="13"/>
      <c r="H237"/>
      <c r="I237"/>
      <c r="J237"/>
      <c r="K237"/>
      <c r="L237"/>
      <c r="M237"/>
      <c r="N237"/>
      <c r="O237"/>
      <c r="P237" s="21"/>
      <c r="Q237" s="15"/>
      <c r="R237"/>
    </row>
    <row r="238" spans="1:18" x14ac:dyDescent="0.35">
      <c r="A238" s="1"/>
      <c r="B238" s="12"/>
      <c r="C238" s="12"/>
      <c r="D238" s="12"/>
      <c r="E238" s="13"/>
      <c r="F238" s="13"/>
      <c r="G238" s="13"/>
      <c r="H238"/>
      <c r="I238"/>
      <c r="J238"/>
      <c r="K238"/>
      <c r="L238"/>
      <c r="M238"/>
      <c r="N238"/>
      <c r="O238"/>
      <c r="P238" s="21"/>
      <c r="Q238" s="15"/>
      <c r="R238"/>
    </row>
    <row r="239" spans="1:18" x14ac:dyDescent="0.35">
      <c r="A239" s="1"/>
      <c r="B239" s="12"/>
      <c r="C239" s="12"/>
      <c r="D239" s="12"/>
      <c r="E239" s="13"/>
      <c r="F239" s="13"/>
      <c r="G239" s="13"/>
      <c r="H239"/>
      <c r="I239"/>
      <c r="J239"/>
      <c r="K239"/>
      <c r="L239"/>
      <c r="M239"/>
      <c r="N239"/>
      <c r="O239"/>
      <c r="P239" s="21"/>
      <c r="Q239" s="15"/>
      <c r="R239"/>
    </row>
    <row r="240" spans="1:18" x14ac:dyDescent="0.35">
      <c r="A240" s="1"/>
      <c r="B240" s="12"/>
      <c r="C240" s="12"/>
      <c r="D240" s="12"/>
      <c r="E240" s="13"/>
      <c r="F240" s="13"/>
      <c r="G240" s="13"/>
      <c r="H240"/>
      <c r="I240"/>
      <c r="J240"/>
      <c r="K240"/>
      <c r="L240"/>
      <c r="M240"/>
      <c r="N240"/>
      <c r="O240"/>
      <c r="P240" s="21"/>
      <c r="Q240" s="15"/>
      <c r="R240"/>
    </row>
    <row r="241" spans="1:18" x14ac:dyDescent="0.35">
      <c r="A241" s="1"/>
      <c r="B241" s="12"/>
      <c r="C241" s="12"/>
      <c r="D241" s="12"/>
      <c r="E241" s="13"/>
      <c r="F241" s="13"/>
      <c r="G241" s="13"/>
      <c r="H241"/>
      <c r="I241"/>
      <c r="J241"/>
      <c r="K241"/>
      <c r="L241"/>
      <c r="M241"/>
      <c r="N241"/>
      <c r="O241"/>
      <c r="P241" s="21"/>
      <c r="Q241"/>
      <c r="R241"/>
    </row>
    <row r="242" spans="1:18" x14ac:dyDescent="0.35">
      <c r="A242" s="1"/>
      <c r="B242" s="12"/>
      <c r="C242" s="12"/>
      <c r="D242" s="12"/>
      <c r="E242" s="13"/>
      <c r="F242" s="13"/>
      <c r="G242" s="13"/>
      <c r="H242"/>
      <c r="I242"/>
      <c r="J242"/>
      <c r="K242"/>
      <c r="L242"/>
      <c r="M242"/>
      <c r="N242"/>
      <c r="O242"/>
      <c r="P242" s="21"/>
      <c r="Q242"/>
      <c r="R242"/>
    </row>
    <row r="243" spans="1:18" x14ac:dyDescent="0.35">
      <c r="A243" s="1"/>
      <c r="B243" s="12"/>
      <c r="C243" s="12"/>
      <c r="D243" s="12"/>
      <c r="E243" s="13"/>
      <c r="F243" s="13"/>
      <c r="G243" s="13"/>
      <c r="H243"/>
      <c r="I243"/>
      <c r="J243"/>
      <c r="K243"/>
      <c r="L243"/>
      <c r="M243"/>
      <c r="N243"/>
      <c r="O243"/>
      <c r="P243" s="21"/>
      <c r="Q243"/>
      <c r="R243"/>
    </row>
    <row r="244" spans="1:18" x14ac:dyDescent="0.35">
      <c r="A244" s="1"/>
      <c r="B244" s="12"/>
      <c r="C244" s="12"/>
      <c r="D244" s="12"/>
      <c r="E244" s="13"/>
      <c r="F244" s="13"/>
      <c r="G244" s="13"/>
      <c r="H244"/>
      <c r="I244"/>
      <c r="J244"/>
      <c r="K244"/>
      <c r="L244"/>
      <c r="M244"/>
      <c r="N244"/>
      <c r="O244"/>
      <c r="P244" s="21"/>
      <c r="Q244"/>
      <c r="R244"/>
    </row>
    <row r="245" spans="1:18" x14ac:dyDescent="0.35">
      <c r="A245" s="1"/>
      <c r="B245" s="12"/>
      <c r="C245" s="12"/>
      <c r="D245" s="12"/>
      <c r="E245" s="13"/>
      <c r="F245" s="13"/>
      <c r="G245" s="13"/>
      <c r="H245"/>
      <c r="I245"/>
      <c r="J245"/>
      <c r="K245"/>
      <c r="L245"/>
      <c r="M245"/>
      <c r="N245"/>
      <c r="O245"/>
      <c r="P245" s="21"/>
      <c r="Q245"/>
      <c r="R245"/>
    </row>
    <row r="246" spans="1:18" x14ac:dyDescent="0.35">
      <c r="A246" s="1"/>
      <c r="B246" s="12"/>
      <c r="C246" s="12"/>
      <c r="D246" s="12"/>
      <c r="E246" s="13"/>
      <c r="F246" s="13"/>
      <c r="G246" s="13"/>
      <c r="H246"/>
      <c r="I246"/>
      <c r="J246"/>
      <c r="K246"/>
      <c r="L246"/>
      <c r="M246"/>
      <c r="N246"/>
      <c r="O246"/>
      <c r="P246" s="21"/>
      <c r="Q246"/>
      <c r="R246"/>
    </row>
    <row r="247" spans="1:18" x14ac:dyDescent="0.35">
      <c r="A247" s="1"/>
      <c r="B247" s="12"/>
      <c r="C247" s="12"/>
      <c r="D247" s="12"/>
      <c r="E247" s="13"/>
      <c r="F247" s="13"/>
      <c r="G247" s="13"/>
      <c r="H247"/>
      <c r="I247"/>
      <c r="J247"/>
      <c r="K247"/>
      <c r="L247"/>
      <c r="M247"/>
      <c r="N247"/>
      <c r="O247"/>
      <c r="P247" s="21"/>
      <c r="Q247"/>
      <c r="R247"/>
    </row>
    <row r="248" spans="1:18" x14ac:dyDescent="0.35">
      <c r="A248" s="1"/>
      <c r="B248" s="12"/>
      <c r="C248" s="12"/>
      <c r="D248" s="12"/>
      <c r="E248" s="13"/>
      <c r="F248" s="13"/>
      <c r="G248" s="13"/>
      <c r="H248"/>
      <c r="I248"/>
      <c r="J248"/>
      <c r="K248"/>
      <c r="L248"/>
      <c r="M248"/>
      <c r="N248"/>
      <c r="O248"/>
      <c r="P248" s="21"/>
      <c r="Q248"/>
      <c r="R248"/>
    </row>
    <row r="249" spans="1:18" x14ac:dyDescent="0.35">
      <c r="A249" s="1"/>
      <c r="B249" s="12"/>
      <c r="C249" s="12"/>
      <c r="D249" s="12"/>
      <c r="E249" s="13"/>
      <c r="F249" s="13"/>
      <c r="G249" s="13"/>
      <c r="H249"/>
      <c r="I249"/>
      <c r="J249"/>
      <c r="K249"/>
      <c r="L249"/>
      <c r="M249"/>
      <c r="N249"/>
      <c r="O249"/>
      <c r="P249" s="21"/>
      <c r="Q249"/>
      <c r="R249"/>
    </row>
    <row r="250" spans="1:18" x14ac:dyDescent="0.35">
      <c r="A250" s="1"/>
      <c r="B250" s="12"/>
      <c r="C250" s="12"/>
      <c r="D250" s="12"/>
      <c r="E250" s="13"/>
      <c r="F250" s="13"/>
      <c r="G250" s="13"/>
      <c r="H250"/>
      <c r="I250"/>
      <c r="J250"/>
      <c r="K250"/>
      <c r="L250"/>
      <c r="M250"/>
      <c r="N250"/>
      <c r="O250"/>
      <c r="P250" s="21"/>
      <c r="Q250"/>
      <c r="R250"/>
    </row>
    <row r="251" spans="1:18" x14ac:dyDescent="0.35">
      <c r="A251" s="1"/>
      <c r="B251" s="12"/>
      <c r="C251" s="12"/>
      <c r="D251" s="12"/>
      <c r="E251" s="13"/>
      <c r="F251" s="13"/>
      <c r="G251" s="13"/>
      <c r="H251"/>
      <c r="I251"/>
      <c r="J251"/>
      <c r="K251"/>
      <c r="L251"/>
      <c r="M251"/>
      <c r="N251"/>
      <c r="O251"/>
      <c r="P251" s="21"/>
      <c r="Q251"/>
      <c r="R251"/>
    </row>
    <row r="252" spans="1:18" x14ac:dyDescent="0.35">
      <c r="A252" s="1"/>
      <c r="B252" s="12"/>
      <c r="C252" s="12"/>
      <c r="D252" s="12"/>
      <c r="E252" s="13"/>
      <c r="F252" s="13"/>
      <c r="G252" s="13"/>
      <c r="H252"/>
      <c r="I252"/>
      <c r="J252"/>
      <c r="K252"/>
      <c r="L252"/>
      <c r="M252"/>
      <c r="N252"/>
      <c r="O252"/>
      <c r="P252" s="21"/>
      <c r="Q252"/>
      <c r="R252"/>
    </row>
    <row r="253" spans="1:18" x14ac:dyDescent="0.35">
      <c r="A253" s="1"/>
      <c r="B253" s="12"/>
      <c r="C253" s="12"/>
      <c r="D253" s="12"/>
      <c r="E253" s="13"/>
      <c r="F253" s="13"/>
      <c r="G253" s="13"/>
      <c r="H253"/>
      <c r="I253"/>
      <c r="J253"/>
      <c r="K253"/>
      <c r="L253"/>
      <c r="M253"/>
      <c r="N253"/>
      <c r="O253"/>
      <c r="P253" s="21"/>
      <c r="Q253"/>
      <c r="R253"/>
    </row>
    <row r="254" spans="1:18" x14ac:dyDescent="0.35">
      <c r="A254" s="1"/>
      <c r="B254" s="12"/>
      <c r="C254" s="12"/>
      <c r="D254" s="12"/>
      <c r="E254" s="13"/>
      <c r="F254" s="13"/>
      <c r="G254" s="13"/>
      <c r="H254"/>
      <c r="I254"/>
      <c r="J254"/>
      <c r="K254"/>
      <c r="L254"/>
      <c r="M254"/>
      <c r="N254"/>
      <c r="O254"/>
      <c r="P254" s="21"/>
      <c r="Q254"/>
      <c r="R254"/>
    </row>
    <row r="255" spans="1:18" x14ac:dyDescent="0.35">
      <c r="A255" s="1"/>
      <c r="B255" s="12"/>
      <c r="C255" s="12"/>
      <c r="D255" s="12"/>
      <c r="E255" s="13"/>
      <c r="F255" s="13"/>
      <c r="G255" s="13"/>
      <c r="H255"/>
      <c r="I255"/>
      <c r="J255"/>
      <c r="K255"/>
      <c r="L255"/>
      <c r="M255"/>
      <c r="N255"/>
      <c r="O255"/>
      <c r="P255" s="21"/>
      <c r="Q255"/>
      <c r="R255"/>
    </row>
    <row r="256" spans="1:18" x14ac:dyDescent="0.35">
      <c r="A256" s="1"/>
      <c r="B256" s="12"/>
      <c r="C256" s="12"/>
      <c r="D256" s="12"/>
      <c r="E256" s="13"/>
      <c r="F256" s="13"/>
      <c r="G256" s="13"/>
      <c r="H256"/>
      <c r="I256"/>
      <c r="J256"/>
      <c r="K256"/>
      <c r="L256"/>
      <c r="M256"/>
      <c r="N256"/>
      <c r="O256"/>
      <c r="P256" s="21"/>
      <c r="Q256"/>
      <c r="R256"/>
    </row>
    <row r="257" spans="1:18" x14ac:dyDescent="0.35">
      <c r="A257" s="1"/>
      <c r="B257" s="12"/>
      <c r="C257" s="12"/>
      <c r="D257" s="12"/>
      <c r="E257" s="13"/>
      <c r="F257" s="13"/>
      <c r="G257" s="13"/>
      <c r="H257"/>
      <c r="I257"/>
      <c r="J257"/>
      <c r="K257"/>
      <c r="L257"/>
      <c r="M257"/>
      <c r="N257"/>
      <c r="O257"/>
      <c r="P257" s="21"/>
      <c r="Q257"/>
      <c r="R257"/>
    </row>
    <row r="258" spans="1:18" x14ac:dyDescent="0.35">
      <c r="A258" s="1"/>
      <c r="B258" s="12"/>
      <c r="C258" s="12"/>
      <c r="D258" s="12"/>
      <c r="E258" s="13"/>
      <c r="F258" s="13"/>
      <c r="G258" s="13"/>
      <c r="H258"/>
      <c r="I258"/>
      <c r="J258"/>
      <c r="K258"/>
      <c r="L258"/>
      <c r="M258"/>
      <c r="N258"/>
      <c r="O258"/>
      <c r="P258" s="21"/>
      <c r="Q258"/>
      <c r="R258"/>
    </row>
    <row r="259" spans="1:18" x14ac:dyDescent="0.35">
      <c r="A259" s="1"/>
      <c r="B259" s="12"/>
      <c r="C259" s="12"/>
      <c r="D259" s="12"/>
      <c r="E259" s="13"/>
      <c r="F259" s="13"/>
      <c r="G259" s="13"/>
      <c r="H259"/>
      <c r="I259"/>
      <c r="J259"/>
      <c r="K259"/>
      <c r="L259"/>
      <c r="M259"/>
      <c r="N259"/>
      <c r="O259"/>
      <c r="P259" s="21"/>
      <c r="Q259"/>
      <c r="R259"/>
    </row>
    <row r="260" spans="1:18" x14ac:dyDescent="0.35">
      <c r="A260" s="1"/>
      <c r="B260" s="12"/>
      <c r="C260" s="12"/>
      <c r="D260" s="12"/>
      <c r="E260"/>
      <c r="F260"/>
      <c r="G260"/>
      <c r="H260"/>
      <c r="I260"/>
      <c r="J260"/>
      <c r="K260"/>
      <c r="L260"/>
      <c r="M260"/>
      <c r="N260"/>
      <c r="O260"/>
      <c r="P260" s="21"/>
      <c r="Q260"/>
      <c r="R260"/>
    </row>
    <row r="261" spans="1:18" x14ac:dyDescent="0.35">
      <c r="A261" s="1"/>
      <c r="B261" s="12"/>
      <c r="C261" s="12"/>
      <c r="D261" s="12"/>
      <c r="E261"/>
      <c r="F261"/>
      <c r="G261"/>
      <c r="H261"/>
      <c r="I261"/>
      <c r="J261"/>
      <c r="K261"/>
      <c r="L261"/>
      <c r="M261"/>
      <c r="N261"/>
      <c r="O261"/>
      <c r="P261" s="21"/>
      <c r="Q261"/>
      <c r="R261"/>
    </row>
    <row r="262" spans="1:18" x14ac:dyDescent="0.35">
      <c r="A262" s="1"/>
      <c r="B262" s="12"/>
      <c r="C262" s="12"/>
      <c r="D262" s="12"/>
      <c r="E262"/>
      <c r="F262"/>
      <c r="G262"/>
      <c r="H262"/>
      <c r="I262"/>
      <c r="J262"/>
      <c r="K262"/>
      <c r="L262"/>
      <c r="M262"/>
      <c r="N262"/>
      <c r="O262"/>
      <c r="P262" s="21"/>
      <c r="Q262"/>
      <c r="R262"/>
    </row>
    <row r="263" spans="1:18" x14ac:dyDescent="0.35">
      <c r="A263" s="1"/>
      <c r="B263" s="12"/>
      <c r="C263" s="12"/>
      <c r="D263" s="12"/>
      <c r="E263"/>
      <c r="F263"/>
      <c r="G263"/>
      <c r="H263"/>
      <c r="I263"/>
      <c r="J263"/>
      <c r="K263"/>
      <c r="L263"/>
      <c r="M263"/>
      <c r="N263"/>
      <c r="O263"/>
      <c r="P263" s="21"/>
      <c r="Q263"/>
      <c r="R263"/>
    </row>
    <row r="264" spans="1:18" x14ac:dyDescent="0.35">
      <c r="A264" s="1"/>
      <c r="B264" s="12"/>
      <c r="C264" s="12"/>
      <c r="D264" s="12"/>
      <c r="E264"/>
      <c r="F264"/>
      <c r="G264"/>
      <c r="H264"/>
      <c r="I264"/>
      <c r="J264"/>
      <c r="K264"/>
      <c r="L264"/>
      <c r="M264"/>
      <c r="N264"/>
      <c r="O264"/>
      <c r="P264" s="21"/>
      <c r="Q264"/>
      <c r="R264"/>
    </row>
    <row r="265" spans="1:18" x14ac:dyDescent="0.35">
      <c r="A265" s="1"/>
      <c r="B265" s="12"/>
      <c r="C265" s="12"/>
      <c r="D265" s="12"/>
      <c r="E265"/>
      <c r="F265"/>
      <c r="G265"/>
      <c r="H265"/>
      <c r="I265"/>
      <c r="J265"/>
      <c r="K265"/>
      <c r="L265"/>
      <c r="M265"/>
      <c r="N265"/>
      <c r="O265"/>
      <c r="P265" s="21"/>
      <c r="Q265"/>
      <c r="R265"/>
    </row>
    <row r="266" spans="1:18" x14ac:dyDescent="0.35">
      <c r="A266" s="1"/>
      <c r="B266" s="12"/>
      <c r="C266" s="12"/>
      <c r="D266" s="12"/>
      <c r="E266"/>
      <c r="F266"/>
      <c r="G266"/>
      <c r="H266"/>
      <c r="I266"/>
      <c r="J266"/>
      <c r="K266"/>
      <c r="L266"/>
      <c r="M266"/>
      <c r="N266"/>
      <c r="O266"/>
      <c r="P266" s="21"/>
      <c r="Q266"/>
      <c r="R266"/>
    </row>
    <row r="267" spans="1:18" x14ac:dyDescent="0.35">
      <c r="A267" s="1"/>
      <c r="B267" s="12"/>
      <c r="C267" s="12"/>
      <c r="D267" s="12"/>
      <c r="E267"/>
      <c r="F267"/>
      <c r="G267"/>
      <c r="H267"/>
      <c r="I267"/>
      <c r="J267"/>
      <c r="K267"/>
      <c r="L267"/>
      <c r="M267"/>
      <c r="N267"/>
      <c r="O267"/>
      <c r="P267" s="21"/>
      <c r="Q267"/>
      <c r="R267"/>
    </row>
    <row r="268" spans="1:18" x14ac:dyDescent="0.35">
      <c r="A268" s="1"/>
      <c r="B268" s="12"/>
      <c r="C268" s="12"/>
      <c r="D268" s="12"/>
      <c r="E268"/>
      <c r="F268"/>
      <c r="G268"/>
      <c r="H268"/>
      <c r="I268"/>
      <c r="J268"/>
      <c r="K268"/>
      <c r="L268"/>
      <c r="M268"/>
      <c r="N268"/>
      <c r="O268"/>
      <c r="P268" s="21"/>
      <c r="Q268"/>
      <c r="R268"/>
    </row>
    <row r="269" spans="1:18" x14ac:dyDescent="0.35">
      <c r="A269" s="1"/>
      <c r="B269" s="12"/>
      <c r="C269" s="12"/>
      <c r="D269" s="12"/>
      <c r="E269"/>
      <c r="F269"/>
      <c r="G269"/>
      <c r="H269"/>
      <c r="I269"/>
      <c r="J269"/>
      <c r="K269"/>
      <c r="L269"/>
      <c r="M269"/>
      <c r="N269"/>
      <c r="O269"/>
      <c r="P269" s="21"/>
      <c r="Q269"/>
      <c r="R269"/>
    </row>
    <row r="270" spans="1:18" x14ac:dyDescent="0.35">
      <c r="A270" s="1"/>
      <c r="B270" s="12"/>
      <c r="C270" s="12"/>
      <c r="D270" s="12"/>
      <c r="E270"/>
      <c r="F270"/>
      <c r="G270"/>
      <c r="H270"/>
      <c r="I270"/>
      <c r="J270"/>
      <c r="K270"/>
      <c r="L270"/>
      <c r="M270"/>
      <c r="N270"/>
      <c r="O270"/>
      <c r="P270" s="21"/>
      <c r="Q270"/>
      <c r="R270"/>
    </row>
    <row r="271" spans="1:18" x14ac:dyDescent="0.35">
      <c r="A271" s="1"/>
      <c r="B271" s="12"/>
      <c r="C271" s="12"/>
      <c r="D271" s="12"/>
      <c r="E271"/>
      <c r="F271"/>
      <c r="G271"/>
      <c r="H271"/>
      <c r="I271"/>
      <c r="J271"/>
      <c r="K271"/>
      <c r="L271"/>
      <c r="M271"/>
      <c r="N271"/>
      <c r="O271"/>
      <c r="P271" s="21"/>
      <c r="Q271"/>
      <c r="R271"/>
    </row>
    <row r="272" spans="1:18" x14ac:dyDescent="0.35">
      <c r="A272" s="1"/>
      <c r="B272" s="12"/>
      <c r="C272" s="12"/>
      <c r="D272" s="12"/>
      <c r="E272"/>
      <c r="F272"/>
      <c r="G272"/>
      <c r="H272"/>
      <c r="I272"/>
      <c r="J272"/>
      <c r="K272"/>
      <c r="L272"/>
      <c r="M272"/>
      <c r="N272"/>
      <c r="O272"/>
      <c r="P272" s="21"/>
      <c r="Q272"/>
      <c r="R272"/>
    </row>
    <row r="273" spans="1:18" x14ac:dyDescent="0.35">
      <c r="A273" s="1"/>
      <c r="B273" s="12"/>
      <c r="C273" s="12"/>
      <c r="D273" s="12"/>
      <c r="E273"/>
      <c r="F273"/>
      <c r="G273"/>
      <c r="H273"/>
      <c r="I273"/>
      <c r="J273"/>
      <c r="K273"/>
      <c r="L273"/>
      <c r="M273"/>
      <c r="N273"/>
      <c r="O273"/>
      <c r="P273" s="21"/>
      <c r="Q273"/>
      <c r="R273"/>
    </row>
    <row r="274" spans="1:18" x14ac:dyDescent="0.35">
      <c r="A274" s="1"/>
      <c r="B274" s="12"/>
      <c r="C274" s="12"/>
      <c r="D274" s="12"/>
      <c r="E274"/>
      <c r="F274"/>
      <c r="G274"/>
      <c r="H274"/>
      <c r="I274"/>
      <c r="J274"/>
      <c r="K274"/>
      <c r="L274"/>
      <c r="M274"/>
      <c r="N274"/>
      <c r="O274"/>
      <c r="P274" s="21"/>
      <c r="Q274"/>
      <c r="R274"/>
    </row>
    <row r="275" spans="1:18" x14ac:dyDescent="0.35">
      <c r="A275" s="1"/>
      <c r="B275" s="12"/>
      <c r="C275" s="12"/>
      <c r="D275" s="12"/>
      <c r="E275"/>
      <c r="F275"/>
      <c r="G275"/>
      <c r="H275"/>
      <c r="I275"/>
      <c r="J275"/>
      <c r="K275"/>
      <c r="L275"/>
      <c r="M275"/>
      <c r="N275"/>
      <c r="O275"/>
      <c r="P275" s="21"/>
      <c r="Q275"/>
      <c r="R275"/>
    </row>
    <row r="276" spans="1:18" x14ac:dyDescent="0.35">
      <c r="A276" s="1"/>
      <c r="B276" s="12"/>
      <c r="C276" s="12"/>
      <c r="D276" s="12"/>
      <c r="E276"/>
      <c r="F276"/>
      <c r="G276"/>
      <c r="H276"/>
      <c r="I276"/>
      <c r="J276"/>
      <c r="K276"/>
      <c r="L276"/>
      <c r="M276"/>
      <c r="N276"/>
      <c r="O276"/>
      <c r="P276" s="21"/>
      <c r="Q276"/>
      <c r="R276"/>
    </row>
    <row r="277" spans="1:18" x14ac:dyDescent="0.35">
      <c r="A277" s="1"/>
      <c r="B277" s="12"/>
      <c r="C277" s="12"/>
      <c r="D277" s="12"/>
      <c r="E277"/>
      <c r="F277"/>
      <c r="G277"/>
      <c r="H277"/>
      <c r="I277"/>
      <c r="J277"/>
      <c r="K277"/>
      <c r="L277"/>
      <c r="M277"/>
      <c r="N277"/>
      <c r="O277"/>
      <c r="P277" s="21"/>
      <c r="Q277"/>
      <c r="R277"/>
    </row>
    <row r="278" spans="1:18" x14ac:dyDescent="0.35">
      <c r="A278" s="1"/>
      <c r="B278" s="12"/>
      <c r="C278" s="12"/>
      <c r="D278" s="12"/>
      <c r="E278"/>
      <c r="F278"/>
      <c r="G278"/>
      <c r="H278"/>
      <c r="I278"/>
      <c r="J278"/>
      <c r="K278"/>
      <c r="L278"/>
      <c r="M278"/>
      <c r="N278"/>
      <c r="O278"/>
      <c r="P278" s="21"/>
      <c r="Q278"/>
      <c r="R278"/>
    </row>
    <row r="279" spans="1:18" x14ac:dyDescent="0.35">
      <c r="A279" s="1"/>
      <c r="B279" s="12"/>
      <c r="C279" s="12"/>
      <c r="D279" s="12"/>
      <c r="E279"/>
      <c r="F279"/>
      <c r="G279"/>
      <c r="H279"/>
      <c r="I279"/>
      <c r="J279"/>
      <c r="K279"/>
      <c r="L279"/>
      <c r="M279"/>
      <c r="N279"/>
      <c r="O279"/>
      <c r="P279" s="21"/>
      <c r="Q279"/>
      <c r="R279"/>
    </row>
    <row r="280" spans="1:18" x14ac:dyDescent="0.35">
      <c r="A280" s="1"/>
      <c r="B280" s="12"/>
      <c r="C280" s="12"/>
      <c r="D280" s="12"/>
      <c r="E280"/>
      <c r="F280"/>
      <c r="G280"/>
      <c r="H280"/>
      <c r="I280"/>
      <c r="J280"/>
      <c r="K280"/>
      <c r="L280"/>
      <c r="M280"/>
      <c r="N280"/>
      <c r="O280"/>
      <c r="P280" s="21"/>
      <c r="Q280"/>
      <c r="R280"/>
    </row>
    <row r="281" spans="1:18" x14ac:dyDescent="0.35">
      <c r="A281" s="1"/>
      <c r="B281" s="12"/>
      <c r="C281" s="12"/>
      <c r="D281" s="12"/>
      <c r="E281"/>
      <c r="F281"/>
      <c r="G281"/>
      <c r="H281"/>
      <c r="I281"/>
      <c r="J281"/>
      <c r="K281"/>
      <c r="L281"/>
      <c r="M281"/>
      <c r="N281"/>
      <c r="O281"/>
      <c r="P281" s="21"/>
      <c r="Q281"/>
      <c r="R281"/>
    </row>
    <row r="282" spans="1:18" x14ac:dyDescent="0.35">
      <c r="A282" s="1"/>
      <c r="B282" s="12"/>
      <c r="C282" s="12"/>
      <c r="D282" s="12"/>
      <c r="E282"/>
      <c r="F282"/>
      <c r="G282"/>
      <c r="H282"/>
      <c r="I282"/>
      <c r="J282"/>
      <c r="K282"/>
      <c r="L282"/>
      <c r="M282"/>
      <c r="N282"/>
      <c r="O282"/>
      <c r="P282" s="21"/>
      <c r="Q282"/>
      <c r="R282"/>
    </row>
    <row r="283" spans="1:18" x14ac:dyDescent="0.35">
      <c r="A283" s="1"/>
      <c r="B283" s="12"/>
      <c r="C283" s="12"/>
      <c r="D283" s="12"/>
      <c r="E283"/>
      <c r="F283"/>
      <c r="G283"/>
      <c r="H283"/>
      <c r="I283"/>
      <c r="J283"/>
      <c r="K283"/>
      <c r="L283"/>
      <c r="M283"/>
      <c r="N283"/>
      <c r="O283"/>
      <c r="P283" s="21"/>
      <c r="Q283"/>
      <c r="R283"/>
    </row>
    <row r="284" spans="1:18" x14ac:dyDescent="0.35">
      <c r="A284" s="1"/>
      <c r="B284" s="12"/>
      <c r="C284" s="12"/>
      <c r="D284" s="12"/>
      <c r="E284"/>
      <c r="F284"/>
      <c r="G284"/>
      <c r="H284"/>
      <c r="I284"/>
      <c r="J284"/>
      <c r="K284"/>
      <c r="L284"/>
      <c r="M284"/>
      <c r="N284"/>
      <c r="O284"/>
      <c r="P284" s="21"/>
      <c r="Q284"/>
      <c r="R284"/>
    </row>
    <row r="285" spans="1:18" x14ac:dyDescent="0.35">
      <c r="A285" s="1"/>
      <c r="B285" s="12"/>
      <c r="C285" s="12"/>
      <c r="D285" s="12"/>
      <c r="E285"/>
      <c r="F285"/>
      <c r="G285"/>
      <c r="H285"/>
      <c r="I285"/>
      <c r="J285"/>
      <c r="K285"/>
      <c r="L285"/>
      <c r="M285"/>
      <c r="N285"/>
      <c r="O285"/>
      <c r="P285" s="21"/>
      <c r="Q285"/>
      <c r="R285"/>
    </row>
    <row r="286" spans="1:18" x14ac:dyDescent="0.35">
      <c r="A286" s="1"/>
      <c r="B286" s="12"/>
      <c r="C286" s="12"/>
      <c r="D286" s="12"/>
      <c r="E286"/>
      <c r="F286"/>
      <c r="G286"/>
      <c r="H286"/>
      <c r="I286"/>
      <c r="J286"/>
      <c r="K286"/>
      <c r="L286"/>
      <c r="M286"/>
      <c r="N286"/>
      <c r="O286"/>
      <c r="P286" s="21"/>
      <c r="Q286"/>
      <c r="R286"/>
    </row>
    <row r="287" spans="1:18" x14ac:dyDescent="0.35">
      <c r="A287" s="1"/>
      <c r="B287" s="12"/>
      <c r="C287" s="12"/>
      <c r="D287" s="12"/>
      <c r="E287"/>
      <c r="F287"/>
      <c r="G287"/>
      <c r="H287"/>
      <c r="I287"/>
      <c r="J287"/>
      <c r="K287"/>
      <c r="L287"/>
      <c r="M287"/>
      <c r="N287"/>
      <c r="O287"/>
      <c r="P287" s="21"/>
      <c r="Q287"/>
      <c r="R287"/>
    </row>
    <row r="288" spans="1:18" x14ac:dyDescent="0.35">
      <c r="A288" s="1"/>
      <c r="B288" s="12"/>
      <c r="C288" s="12"/>
      <c r="D288" s="12"/>
      <c r="E288"/>
      <c r="F288"/>
      <c r="G288"/>
      <c r="H288"/>
      <c r="I288"/>
      <c r="J288"/>
      <c r="K288"/>
      <c r="L288"/>
      <c r="M288"/>
      <c r="N288"/>
      <c r="O288"/>
      <c r="P288" s="21"/>
      <c r="Q288"/>
      <c r="R288"/>
    </row>
    <row r="289" spans="1:18" x14ac:dyDescent="0.35">
      <c r="A289" s="1"/>
      <c r="B289" s="12"/>
      <c r="C289" s="12"/>
      <c r="D289" s="12"/>
      <c r="E289"/>
      <c r="F289"/>
      <c r="G289"/>
      <c r="H289"/>
      <c r="I289"/>
      <c r="J289"/>
      <c r="K289"/>
      <c r="L289"/>
      <c r="M289"/>
      <c r="N289"/>
      <c r="O289"/>
      <c r="P289" s="21"/>
      <c r="Q289"/>
      <c r="R289"/>
    </row>
    <row r="290" spans="1:18" x14ac:dyDescent="0.35">
      <c r="A290" s="1"/>
      <c r="B290" s="12"/>
      <c r="C290" s="12"/>
      <c r="D290" s="12"/>
      <c r="E290"/>
      <c r="F290"/>
      <c r="G290"/>
      <c r="H290"/>
      <c r="I290"/>
      <c r="J290"/>
      <c r="K290"/>
      <c r="L290"/>
      <c r="M290"/>
      <c r="N290"/>
      <c r="O290"/>
      <c r="P290" s="21"/>
      <c r="Q290"/>
      <c r="R290"/>
    </row>
    <row r="291" spans="1:18" x14ac:dyDescent="0.35">
      <c r="A291" s="1"/>
      <c r="B291" s="12"/>
      <c r="C291" s="12"/>
      <c r="D291" s="12"/>
      <c r="E291"/>
      <c r="F291"/>
      <c r="G291"/>
      <c r="H291"/>
      <c r="I291"/>
      <c r="J291"/>
      <c r="K291"/>
      <c r="L291"/>
      <c r="M291"/>
      <c r="N291"/>
      <c r="O291"/>
      <c r="P291" s="21"/>
      <c r="Q291"/>
      <c r="R291"/>
    </row>
    <row r="292" spans="1:18" x14ac:dyDescent="0.35">
      <c r="A292" s="1"/>
      <c r="B292" s="12"/>
      <c r="C292" s="12"/>
      <c r="D292" s="12"/>
      <c r="E292"/>
      <c r="F292"/>
      <c r="G292"/>
      <c r="H292"/>
      <c r="I292"/>
      <c r="J292"/>
      <c r="K292"/>
      <c r="L292"/>
      <c r="M292"/>
      <c r="N292"/>
      <c r="O292"/>
      <c r="P292" s="21"/>
      <c r="Q292"/>
      <c r="R292"/>
    </row>
    <row r="293" spans="1:18" x14ac:dyDescent="0.35">
      <c r="A293" s="1"/>
      <c r="B293" s="12"/>
      <c r="C293" s="12"/>
      <c r="D293" s="12"/>
      <c r="E293"/>
      <c r="F293"/>
      <c r="G293"/>
      <c r="H293"/>
      <c r="I293"/>
      <c r="J293"/>
      <c r="K293"/>
      <c r="L293"/>
      <c r="M293"/>
      <c r="N293"/>
      <c r="O293"/>
      <c r="P293" s="21"/>
      <c r="Q293"/>
      <c r="R293"/>
    </row>
    <row r="294" spans="1:18" x14ac:dyDescent="0.35">
      <c r="A294" s="1"/>
      <c r="B294" s="12"/>
      <c r="C294" s="12"/>
      <c r="D294" s="12"/>
      <c r="E294"/>
      <c r="F294"/>
      <c r="G294"/>
      <c r="H294"/>
      <c r="I294"/>
      <c r="J294"/>
      <c r="K294"/>
      <c r="L294"/>
      <c r="M294"/>
      <c r="N294"/>
      <c r="O294"/>
      <c r="P294" s="21"/>
      <c r="Q294"/>
      <c r="R294"/>
    </row>
    <row r="295" spans="1:18" x14ac:dyDescent="0.35">
      <c r="A295" s="1"/>
      <c r="B295" s="12"/>
      <c r="C295" s="12"/>
      <c r="D295" s="12"/>
      <c r="E295"/>
      <c r="F295"/>
      <c r="G295"/>
      <c r="H295"/>
      <c r="I295"/>
      <c r="J295"/>
      <c r="K295"/>
      <c r="L295"/>
      <c r="M295"/>
      <c r="N295"/>
      <c r="O295"/>
      <c r="P295" s="21"/>
      <c r="Q295"/>
      <c r="R295"/>
    </row>
    <row r="296" spans="1:18" x14ac:dyDescent="0.35">
      <c r="A296" s="1"/>
      <c r="B296" s="12"/>
      <c r="C296" s="12"/>
      <c r="D296" s="12"/>
      <c r="E296"/>
      <c r="F296"/>
      <c r="G296"/>
      <c r="H296"/>
      <c r="I296"/>
      <c r="J296"/>
      <c r="K296"/>
      <c r="L296"/>
      <c r="M296"/>
      <c r="N296"/>
      <c r="O296"/>
      <c r="P296" s="21"/>
      <c r="Q296"/>
      <c r="R296"/>
    </row>
    <row r="297" spans="1:18" x14ac:dyDescent="0.35">
      <c r="A297" s="1"/>
      <c r="B297" s="12"/>
      <c r="C297" s="12"/>
      <c r="D297" s="12"/>
      <c r="E297"/>
      <c r="F297"/>
      <c r="G297"/>
      <c r="H297"/>
      <c r="I297"/>
      <c r="J297"/>
      <c r="K297"/>
      <c r="L297"/>
      <c r="M297"/>
      <c r="N297"/>
      <c r="O297"/>
      <c r="P297" s="21"/>
      <c r="Q297"/>
      <c r="R297"/>
    </row>
    <row r="298" spans="1:18" x14ac:dyDescent="0.35">
      <c r="A298" s="1"/>
      <c r="B298" s="12"/>
      <c r="C298" s="12"/>
      <c r="D298" s="12"/>
      <c r="E298"/>
      <c r="F298"/>
      <c r="G298"/>
      <c r="H298"/>
      <c r="I298"/>
      <c r="J298"/>
      <c r="K298"/>
      <c r="L298"/>
      <c r="M298"/>
      <c r="N298"/>
      <c r="O298"/>
      <c r="P298" s="21"/>
      <c r="Q298"/>
      <c r="R298"/>
    </row>
    <row r="299" spans="1:18" x14ac:dyDescent="0.35">
      <c r="A299" s="1"/>
      <c r="B299" s="12"/>
      <c r="C299" s="12"/>
      <c r="D299" s="12"/>
      <c r="E299"/>
      <c r="F299"/>
      <c r="G299"/>
      <c r="H299"/>
      <c r="I299"/>
      <c r="J299"/>
      <c r="K299"/>
      <c r="L299"/>
      <c r="M299"/>
      <c r="N299"/>
      <c r="O299"/>
      <c r="P299" s="21"/>
      <c r="Q299"/>
      <c r="R299"/>
    </row>
    <row r="300" spans="1:18" x14ac:dyDescent="0.35">
      <c r="A300" s="1"/>
      <c r="B300" s="12"/>
      <c r="C300" s="12"/>
      <c r="D300" s="12"/>
      <c r="E300"/>
      <c r="F300"/>
      <c r="G300"/>
      <c r="H300"/>
      <c r="I300"/>
      <c r="J300"/>
      <c r="K300"/>
      <c r="L300"/>
      <c r="M300"/>
      <c r="N300"/>
      <c r="O300"/>
      <c r="P300" s="21"/>
      <c r="Q300"/>
      <c r="R300"/>
    </row>
    <row r="301" spans="1:18" x14ac:dyDescent="0.35">
      <c r="A301" s="1"/>
      <c r="B301" s="12"/>
      <c r="C301" s="12"/>
      <c r="D301" s="12"/>
      <c r="E301"/>
      <c r="F301"/>
      <c r="G301"/>
      <c r="H301"/>
      <c r="I301"/>
      <c r="J301"/>
      <c r="K301"/>
      <c r="L301"/>
      <c r="M301"/>
      <c r="N301"/>
      <c r="O301"/>
      <c r="P301" s="21"/>
      <c r="Q301"/>
      <c r="R301"/>
    </row>
    <row r="302" spans="1:18" x14ac:dyDescent="0.35">
      <c r="A302" s="1"/>
      <c r="B302" s="12"/>
      <c r="C302" s="12"/>
      <c r="D302" s="12"/>
      <c r="E302"/>
      <c r="F302"/>
      <c r="G302"/>
      <c r="H302"/>
      <c r="I302"/>
      <c r="J302"/>
      <c r="K302"/>
      <c r="L302"/>
      <c r="M302"/>
      <c r="N302"/>
      <c r="O302"/>
      <c r="P302" s="21"/>
      <c r="Q302"/>
      <c r="R302"/>
    </row>
    <row r="303" spans="1:18" x14ac:dyDescent="0.35">
      <c r="A303" s="1"/>
      <c r="B303" s="12"/>
      <c r="C303" s="12"/>
      <c r="D303" s="12"/>
      <c r="E303"/>
      <c r="F303"/>
      <c r="G303"/>
      <c r="H303"/>
      <c r="I303"/>
      <c r="J303"/>
      <c r="K303"/>
      <c r="L303"/>
      <c r="M303"/>
      <c r="N303"/>
      <c r="O303"/>
      <c r="P303" s="21"/>
      <c r="Q303"/>
      <c r="R303"/>
    </row>
    <row r="304" spans="1:18" x14ac:dyDescent="0.35">
      <c r="A304" s="1"/>
      <c r="B304" s="12"/>
      <c r="C304" s="12"/>
      <c r="D304" s="12"/>
      <c r="E304"/>
      <c r="F304"/>
      <c r="G304"/>
      <c r="H304"/>
      <c r="I304"/>
      <c r="J304"/>
      <c r="K304"/>
      <c r="L304"/>
      <c r="M304"/>
      <c r="N304"/>
      <c r="O304"/>
      <c r="P304" s="21"/>
      <c r="Q304"/>
      <c r="R304"/>
    </row>
    <row r="305" spans="1:18" x14ac:dyDescent="0.35">
      <c r="A305" s="1"/>
      <c r="B305" s="12"/>
      <c r="C305" s="12"/>
      <c r="D305" s="12"/>
      <c r="E305"/>
      <c r="F305"/>
      <c r="G305"/>
      <c r="H305"/>
      <c r="I305"/>
      <c r="J305"/>
      <c r="K305"/>
      <c r="L305"/>
      <c r="M305"/>
      <c r="N305"/>
      <c r="O305"/>
      <c r="P305" s="21"/>
      <c r="Q305"/>
      <c r="R305"/>
    </row>
    <row r="306" spans="1:18" x14ac:dyDescent="0.35">
      <c r="A306" s="1"/>
      <c r="B306" s="12"/>
      <c r="C306" s="12"/>
      <c r="D306" s="12"/>
      <c r="E306"/>
      <c r="F306"/>
      <c r="G306"/>
      <c r="H306"/>
      <c r="I306"/>
      <c r="J306"/>
      <c r="K306"/>
      <c r="L306"/>
      <c r="M306"/>
      <c r="N306"/>
      <c r="O306"/>
      <c r="P306" s="21"/>
      <c r="Q306"/>
      <c r="R306"/>
    </row>
    <row r="307" spans="1:18" x14ac:dyDescent="0.35">
      <c r="A307" s="1"/>
      <c r="B307" s="12"/>
      <c r="C307" s="12"/>
      <c r="D307" s="12"/>
      <c r="E307"/>
      <c r="F307"/>
      <c r="G307"/>
      <c r="H307"/>
      <c r="I307"/>
      <c r="J307"/>
      <c r="K307"/>
      <c r="L307"/>
      <c r="M307"/>
      <c r="N307"/>
      <c r="O307"/>
      <c r="P307" s="21"/>
      <c r="Q307"/>
      <c r="R307"/>
    </row>
    <row r="308" spans="1:18" x14ac:dyDescent="0.35">
      <c r="A308" s="1"/>
      <c r="B308" s="12"/>
      <c r="C308" s="12"/>
      <c r="D308" s="12"/>
      <c r="E308"/>
      <c r="F308"/>
      <c r="G308"/>
      <c r="H308"/>
      <c r="I308"/>
      <c r="J308"/>
      <c r="K308"/>
      <c r="L308"/>
      <c r="M308"/>
      <c r="N308"/>
      <c r="O308"/>
      <c r="P308" s="21"/>
      <c r="Q308"/>
      <c r="R308"/>
    </row>
    <row r="309" spans="1:18" x14ac:dyDescent="0.35">
      <c r="A309" s="1"/>
      <c r="B309" s="12"/>
      <c r="C309" s="12"/>
      <c r="D309" s="12"/>
      <c r="E309"/>
      <c r="F309"/>
      <c r="G309"/>
      <c r="H309"/>
      <c r="I309"/>
      <c r="J309"/>
      <c r="K309"/>
      <c r="L309"/>
      <c r="M309"/>
      <c r="N309"/>
      <c r="O309"/>
      <c r="P309" s="21"/>
      <c r="Q309"/>
      <c r="R309"/>
    </row>
    <row r="310" spans="1:18" x14ac:dyDescent="0.35">
      <c r="A310" s="1"/>
      <c r="B310" s="12"/>
      <c r="C310" s="12"/>
      <c r="D310" s="12"/>
      <c r="E310"/>
      <c r="F310"/>
      <c r="G310"/>
      <c r="H310"/>
      <c r="I310"/>
      <c r="J310"/>
      <c r="K310"/>
      <c r="L310"/>
      <c r="M310"/>
      <c r="N310"/>
      <c r="O310"/>
      <c r="P310" s="21"/>
      <c r="Q310"/>
      <c r="R310"/>
    </row>
    <row r="311" spans="1:18" x14ac:dyDescent="0.35">
      <c r="A311" s="1"/>
      <c r="B311" s="12"/>
      <c r="C311" s="12"/>
      <c r="D311" s="12"/>
      <c r="E311"/>
      <c r="F311"/>
      <c r="G311"/>
      <c r="H311"/>
      <c r="I311"/>
      <c r="J311"/>
      <c r="K311"/>
      <c r="L311"/>
      <c r="M311"/>
      <c r="N311"/>
      <c r="O311"/>
      <c r="P311" s="21"/>
      <c r="Q311"/>
      <c r="R311"/>
    </row>
    <row r="312" spans="1:18" x14ac:dyDescent="0.35">
      <c r="A312" s="1"/>
      <c r="B312" s="12"/>
      <c r="C312" s="12"/>
      <c r="D312" s="12"/>
      <c r="E312"/>
      <c r="F312"/>
      <c r="G312"/>
      <c r="H312"/>
      <c r="I312"/>
      <c r="J312"/>
      <c r="K312"/>
      <c r="L312"/>
      <c r="M312"/>
      <c r="N312"/>
      <c r="O312"/>
      <c r="P312" s="21"/>
      <c r="Q312"/>
      <c r="R312"/>
    </row>
    <row r="313" spans="1:18" x14ac:dyDescent="0.35">
      <c r="A313" s="1"/>
      <c r="B313" s="12"/>
      <c r="C313" s="12"/>
      <c r="D313" s="12"/>
      <c r="E313"/>
      <c r="F313"/>
      <c r="G313"/>
      <c r="H313"/>
      <c r="I313"/>
      <c r="J313"/>
      <c r="K313"/>
      <c r="L313"/>
      <c r="M313"/>
      <c r="N313"/>
      <c r="O313"/>
      <c r="P313" s="21"/>
      <c r="Q313"/>
      <c r="R313"/>
    </row>
    <row r="314" spans="1:18" x14ac:dyDescent="0.35">
      <c r="A314" s="1"/>
      <c r="B314" s="12"/>
      <c r="C314" s="12"/>
      <c r="D314" s="12"/>
      <c r="E314"/>
      <c r="F314"/>
      <c r="G314"/>
      <c r="H314"/>
      <c r="I314"/>
      <c r="J314"/>
      <c r="K314"/>
      <c r="L314"/>
      <c r="M314"/>
      <c r="N314"/>
      <c r="O314"/>
      <c r="P314" s="21"/>
      <c r="Q314"/>
      <c r="R314"/>
    </row>
    <row r="315" spans="1:18" x14ac:dyDescent="0.35">
      <c r="A315" s="1"/>
      <c r="B315" s="12"/>
      <c r="C315" s="12"/>
      <c r="D315" s="12"/>
      <c r="E315"/>
      <c r="F315"/>
      <c r="G315"/>
      <c r="H315"/>
      <c r="I315"/>
      <c r="J315"/>
      <c r="K315"/>
      <c r="L315"/>
      <c r="M315"/>
      <c r="N315"/>
      <c r="O315"/>
      <c r="P315" s="21"/>
      <c r="Q315"/>
      <c r="R315"/>
    </row>
    <row r="316" spans="1:18" x14ac:dyDescent="0.35">
      <c r="A316" s="1"/>
      <c r="B316" s="12"/>
      <c r="C316" s="12"/>
      <c r="D316" s="12"/>
      <c r="E316"/>
      <c r="F316"/>
      <c r="G316"/>
      <c r="H316"/>
      <c r="I316"/>
      <c r="J316"/>
      <c r="K316"/>
      <c r="L316"/>
      <c r="M316"/>
      <c r="N316"/>
      <c r="O316"/>
      <c r="P316" s="21"/>
      <c r="Q316"/>
      <c r="R316"/>
    </row>
    <row r="317" spans="1:18" x14ac:dyDescent="0.35">
      <c r="A317" s="1"/>
      <c r="B317" s="12"/>
      <c r="C317" s="12"/>
      <c r="D317" s="12"/>
      <c r="E317"/>
      <c r="F317"/>
      <c r="G317"/>
      <c r="H317"/>
      <c r="I317"/>
      <c r="J317"/>
      <c r="K317"/>
      <c r="L317"/>
      <c r="M317"/>
      <c r="N317"/>
      <c r="O317"/>
      <c r="P317" s="21"/>
      <c r="Q317"/>
      <c r="R317"/>
    </row>
    <row r="318" spans="1:18" x14ac:dyDescent="0.35">
      <c r="A318" s="1"/>
      <c r="B318" s="12"/>
      <c r="C318" s="12"/>
      <c r="D318" s="12"/>
      <c r="E318"/>
      <c r="F318"/>
      <c r="G318"/>
      <c r="H318"/>
      <c r="I318"/>
      <c r="J318"/>
      <c r="K318"/>
      <c r="L318"/>
      <c r="M318"/>
      <c r="N318"/>
      <c r="O318"/>
      <c r="P318" s="21"/>
      <c r="Q318"/>
      <c r="R318"/>
    </row>
    <row r="319" spans="1:18" x14ac:dyDescent="0.35">
      <c r="A319" s="1"/>
      <c r="B319" s="12"/>
      <c r="C319" s="12"/>
      <c r="D319" s="12"/>
      <c r="E319"/>
      <c r="F319"/>
      <c r="G319"/>
      <c r="H319"/>
      <c r="I319"/>
      <c r="J319"/>
      <c r="K319"/>
      <c r="L319"/>
      <c r="M319"/>
      <c r="N319"/>
      <c r="O319"/>
      <c r="P319" s="21"/>
      <c r="Q319"/>
      <c r="R319"/>
    </row>
    <row r="320" spans="1:18" x14ac:dyDescent="0.35">
      <c r="A320" s="1"/>
      <c r="B320" s="12"/>
      <c r="C320" s="12"/>
      <c r="D320" s="12"/>
      <c r="E320"/>
      <c r="F320"/>
      <c r="G320"/>
      <c r="H320"/>
      <c r="I320"/>
      <c r="J320"/>
      <c r="K320"/>
      <c r="L320"/>
      <c r="M320"/>
      <c r="N320"/>
      <c r="O320"/>
      <c r="P320" s="21"/>
      <c r="Q320"/>
      <c r="R320"/>
    </row>
    <row r="321" spans="1:18" x14ac:dyDescent="0.35">
      <c r="A321" s="1"/>
      <c r="B321" s="12"/>
      <c r="C321" s="12"/>
      <c r="D321" s="12"/>
      <c r="E321"/>
      <c r="F321"/>
      <c r="G321"/>
      <c r="H321"/>
      <c r="I321"/>
      <c r="J321"/>
      <c r="K321"/>
      <c r="L321"/>
      <c r="M321"/>
      <c r="N321"/>
      <c r="O321"/>
      <c r="P321" s="21"/>
      <c r="Q321"/>
      <c r="R321"/>
    </row>
    <row r="322" spans="1:18" x14ac:dyDescent="0.35">
      <c r="A322" s="1"/>
      <c r="B322" s="12"/>
      <c r="C322" s="12"/>
      <c r="D322" s="12"/>
      <c r="E322"/>
      <c r="F322"/>
      <c r="G322"/>
      <c r="H322"/>
      <c r="I322"/>
      <c r="J322"/>
      <c r="K322"/>
      <c r="L322"/>
      <c r="M322"/>
      <c r="N322"/>
      <c r="O322"/>
      <c r="P322" s="21"/>
      <c r="Q322"/>
      <c r="R322"/>
    </row>
    <row r="323" spans="1:18" x14ac:dyDescent="0.35">
      <c r="A323" s="1"/>
      <c r="B323" s="12"/>
      <c r="C323" s="12"/>
      <c r="D323" s="12"/>
      <c r="E323"/>
      <c r="F323"/>
      <c r="G323"/>
      <c r="H323"/>
      <c r="I323"/>
      <c r="J323"/>
      <c r="K323"/>
      <c r="L323"/>
      <c r="M323"/>
      <c r="N323"/>
      <c r="O323"/>
      <c r="P323" s="21"/>
      <c r="Q323"/>
      <c r="R323"/>
    </row>
    <row r="324" spans="1:18" x14ac:dyDescent="0.35">
      <c r="A324" s="1"/>
      <c r="B324" s="12"/>
      <c r="C324" s="12"/>
      <c r="D324" s="12"/>
      <c r="E324"/>
      <c r="F324"/>
      <c r="G324"/>
      <c r="H324"/>
      <c r="I324"/>
      <c r="J324"/>
      <c r="K324"/>
      <c r="L324"/>
      <c r="M324"/>
      <c r="N324"/>
      <c r="O324"/>
      <c r="P324" s="21"/>
      <c r="Q324"/>
      <c r="R324"/>
    </row>
    <row r="325" spans="1:18" x14ac:dyDescent="0.35">
      <c r="A325" s="1"/>
      <c r="B325" s="12"/>
      <c r="C325" s="12"/>
      <c r="D325" s="12"/>
      <c r="E325"/>
      <c r="F325"/>
      <c r="G325"/>
      <c r="H325"/>
      <c r="I325"/>
      <c r="J325"/>
      <c r="K325"/>
      <c r="L325"/>
      <c r="M325"/>
      <c r="N325"/>
      <c r="O325"/>
      <c r="P325" s="21"/>
      <c r="Q325"/>
      <c r="R325"/>
    </row>
    <row r="326" spans="1:18" x14ac:dyDescent="0.35">
      <c r="A326" s="1"/>
      <c r="B326" s="12"/>
      <c r="C326" s="12"/>
      <c r="D326" s="12"/>
      <c r="E326"/>
      <c r="F326"/>
      <c r="G326"/>
      <c r="H326"/>
      <c r="I326"/>
      <c r="J326"/>
      <c r="K326"/>
      <c r="L326"/>
      <c r="M326"/>
      <c r="N326"/>
      <c r="O326"/>
      <c r="P326" s="21"/>
      <c r="Q326"/>
      <c r="R326"/>
    </row>
    <row r="327" spans="1:18" x14ac:dyDescent="0.35">
      <c r="A327" s="1"/>
      <c r="B327" s="12"/>
      <c r="C327" s="12"/>
      <c r="D327" s="12"/>
      <c r="E327"/>
      <c r="F327"/>
      <c r="G327"/>
      <c r="H327"/>
      <c r="I327"/>
      <c r="J327"/>
      <c r="K327"/>
      <c r="L327"/>
      <c r="M327"/>
      <c r="N327"/>
      <c r="O327"/>
      <c r="P327" s="21"/>
      <c r="Q327"/>
      <c r="R327"/>
    </row>
    <row r="328" spans="1:18" x14ac:dyDescent="0.35">
      <c r="A328" s="1"/>
      <c r="B328" s="12"/>
      <c r="C328" s="12"/>
      <c r="D328" s="12"/>
      <c r="E328"/>
      <c r="F328"/>
      <c r="G328"/>
      <c r="H328"/>
      <c r="I328"/>
      <c r="J328"/>
      <c r="K328"/>
      <c r="L328"/>
      <c r="M328"/>
      <c r="N328"/>
      <c r="O328"/>
      <c r="P328" s="21"/>
      <c r="Q328"/>
      <c r="R328"/>
    </row>
    <row r="329" spans="1:18" x14ac:dyDescent="0.35">
      <c r="A329" s="1"/>
      <c r="B329" s="12"/>
      <c r="C329" s="12"/>
      <c r="D329" s="12"/>
      <c r="E329"/>
      <c r="F329"/>
      <c r="G329"/>
      <c r="H329"/>
      <c r="I329"/>
      <c r="J329"/>
      <c r="K329"/>
      <c r="L329"/>
      <c r="M329"/>
      <c r="N329"/>
      <c r="O329"/>
      <c r="P329" s="21"/>
      <c r="Q329"/>
      <c r="R329"/>
    </row>
    <row r="330" spans="1:18" x14ac:dyDescent="0.35">
      <c r="A330" s="1"/>
      <c r="B330" s="12"/>
      <c r="C330" s="12"/>
      <c r="D330" s="12"/>
      <c r="E330"/>
      <c r="F330"/>
      <c r="G330"/>
      <c r="H330"/>
      <c r="I330"/>
      <c r="J330"/>
      <c r="K330"/>
      <c r="L330"/>
      <c r="M330"/>
      <c r="N330"/>
      <c r="O330"/>
      <c r="P330" s="21"/>
      <c r="Q330"/>
      <c r="R330"/>
    </row>
    <row r="331" spans="1:18" x14ac:dyDescent="0.35">
      <c r="A331" s="1"/>
      <c r="B331" s="12"/>
      <c r="C331" s="12"/>
      <c r="D331" s="12"/>
      <c r="E331"/>
      <c r="F331"/>
      <c r="G331"/>
      <c r="H331"/>
      <c r="I331"/>
      <c r="J331"/>
      <c r="K331"/>
      <c r="L331"/>
      <c r="M331"/>
      <c r="N331"/>
      <c r="O331"/>
      <c r="P331" s="21"/>
      <c r="Q331"/>
      <c r="R331"/>
    </row>
    <row r="332" spans="1:18" x14ac:dyDescent="0.35">
      <c r="A332" s="1"/>
      <c r="B332" s="12"/>
      <c r="C332" s="12"/>
      <c r="D332" s="12"/>
      <c r="E332"/>
      <c r="F332"/>
      <c r="G332"/>
      <c r="H332"/>
      <c r="I332"/>
      <c r="J332"/>
      <c r="K332"/>
      <c r="L332"/>
      <c r="M332"/>
      <c r="N332"/>
      <c r="O332"/>
      <c r="P332" s="21"/>
      <c r="Q332"/>
      <c r="R332"/>
    </row>
    <row r="333" spans="1:18" x14ac:dyDescent="0.35">
      <c r="A333" s="1"/>
      <c r="B333" s="12"/>
      <c r="C333" s="12"/>
      <c r="D333" s="12"/>
      <c r="E333"/>
      <c r="F333"/>
      <c r="G333"/>
      <c r="H333"/>
      <c r="I333"/>
      <c r="J333"/>
      <c r="K333"/>
      <c r="L333"/>
      <c r="M333"/>
      <c r="N333"/>
      <c r="O333"/>
      <c r="P333" s="21"/>
      <c r="Q333"/>
      <c r="R333"/>
    </row>
    <row r="334" spans="1:18" x14ac:dyDescent="0.35">
      <c r="A334" s="1"/>
      <c r="B334" s="12"/>
      <c r="C334" s="12"/>
      <c r="D334" s="12"/>
      <c r="E334"/>
      <c r="F334"/>
      <c r="G334"/>
      <c r="H334"/>
      <c r="I334"/>
      <c r="J334"/>
      <c r="K334"/>
      <c r="L334"/>
      <c r="M334"/>
      <c r="N334"/>
      <c r="O334"/>
      <c r="P334" s="21"/>
      <c r="Q334"/>
      <c r="R334"/>
    </row>
    <row r="335" spans="1:18" x14ac:dyDescent="0.35">
      <c r="A335" s="1"/>
      <c r="B335" s="12"/>
      <c r="C335" s="12"/>
      <c r="D335" s="12"/>
      <c r="E335"/>
      <c r="F335"/>
      <c r="G335"/>
      <c r="H335"/>
      <c r="I335"/>
      <c r="J335"/>
      <c r="K335"/>
      <c r="L335"/>
      <c r="M335"/>
      <c r="N335"/>
      <c r="O335"/>
      <c r="P335" s="21"/>
      <c r="Q335"/>
      <c r="R335"/>
    </row>
    <row r="336" spans="1:18" x14ac:dyDescent="0.35">
      <c r="A336" s="1"/>
      <c r="B336" s="12"/>
      <c r="C336" s="12"/>
      <c r="D336" s="12"/>
      <c r="E336"/>
      <c r="F336"/>
      <c r="G336"/>
      <c r="H336"/>
      <c r="I336"/>
      <c r="J336"/>
      <c r="K336"/>
      <c r="L336"/>
      <c r="M336"/>
      <c r="N336"/>
      <c r="O336"/>
      <c r="P336" s="21"/>
      <c r="Q336"/>
      <c r="R336"/>
    </row>
    <row r="337" spans="1:18" x14ac:dyDescent="0.35">
      <c r="A337" s="1"/>
      <c r="B337" s="12"/>
      <c r="C337" s="12"/>
      <c r="D337" s="12"/>
      <c r="E337"/>
      <c r="F337"/>
      <c r="G337"/>
      <c r="H337"/>
      <c r="I337"/>
      <c r="J337"/>
      <c r="K337"/>
      <c r="L337"/>
      <c r="M337"/>
      <c r="N337"/>
      <c r="O337"/>
      <c r="P337" s="21"/>
      <c r="Q337"/>
      <c r="R337"/>
    </row>
    <row r="338" spans="1:18" x14ac:dyDescent="0.35">
      <c r="A338" s="1"/>
      <c r="B338" s="12"/>
      <c r="C338" s="12"/>
      <c r="D338" s="12"/>
      <c r="E338"/>
      <c r="F338"/>
      <c r="G338"/>
      <c r="H338"/>
      <c r="I338"/>
      <c r="J338"/>
      <c r="K338"/>
      <c r="L338"/>
      <c r="M338"/>
      <c r="N338"/>
      <c r="O338"/>
      <c r="P338" s="21"/>
      <c r="Q338"/>
      <c r="R338"/>
    </row>
    <row r="339" spans="1:18" x14ac:dyDescent="0.35">
      <c r="A339" s="1"/>
      <c r="B339" s="12"/>
      <c r="C339" s="12"/>
      <c r="D339" s="12"/>
      <c r="E339"/>
      <c r="F339"/>
      <c r="G339"/>
      <c r="H339"/>
      <c r="I339"/>
      <c r="J339"/>
      <c r="K339"/>
      <c r="L339"/>
      <c r="M339"/>
      <c r="N339"/>
      <c r="O339"/>
      <c r="P339" s="21"/>
      <c r="Q339"/>
      <c r="R339"/>
    </row>
    <row r="340" spans="1:18" x14ac:dyDescent="0.35">
      <c r="A340" s="1"/>
      <c r="B340" s="12"/>
      <c r="C340" s="12"/>
      <c r="D340" s="12"/>
      <c r="E340"/>
      <c r="F340"/>
      <c r="G340"/>
      <c r="H340"/>
      <c r="I340"/>
      <c r="J340"/>
      <c r="K340"/>
      <c r="L340"/>
      <c r="M340"/>
      <c r="N340"/>
      <c r="O340"/>
      <c r="P340" s="21"/>
      <c r="Q340"/>
      <c r="R340"/>
    </row>
    <row r="341" spans="1:18" x14ac:dyDescent="0.35">
      <c r="A341" s="1"/>
      <c r="B341" s="12"/>
      <c r="C341" s="12"/>
      <c r="D341" s="12"/>
      <c r="E341"/>
      <c r="F341"/>
      <c r="G341"/>
      <c r="H341"/>
      <c r="I341"/>
      <c r="J341"/>
      <c r="K341"/>
      <c r="L341"/>
      <c r="M341"/>
      <c r="N341"/>
      <c r="O341"/>
      <c r="P341" s="21"/>
      <c r="Q341"/>
      <c r="R341"/>
    </row>
    <row r="342" spans="1:18" x14ac:dyDescent="0.35">
      <c r="A342" s="1"/>
      <c r="B342" s="12"/>
      <c r="C342" s="12"/>
      <c r="D342" s="12"/>
      <c r="E342"/>
      <c r="F342"/>
      <c r="G342"/>
      <c r="H342"/>
      <c r="I342"/>
      <c r="J342"/>
      <c r="K342"/>
      <c r="L342"/>
      <c r="M342"/>
      <c r="N342"/>
      <c r="O342"/>
      <c r="P342" s="21"/>
      <c r="Q342"/>
      <c r="R342"/>
    </row>
    <row r="343" spans="1:18" x14ac:dyDescent="0.35">
      <c r="A343" s="1"/>
      <c r="B343" s="12"/>
      <c r="C343" s="12"/>
      <c r="D343" s="12"/>
      <c r="E343"/>
      <c r="F343"/>
      <c r="G343"/>
      <c r="H343"/>
      <c r="I343"/>
      <c r="J343"/>
      <c r="K343"/>
      <c r="L343"/>
      <c r="M343"/>
      <c r="N343"/>
      <c r="O343"/>
      <c r="P343" s="21"/>
      <c r="Q343"/>
      <c r="R343"/>
    </row>
    <row r="344" spans="1:18" x14ac:dyDescent="0.35">
      <c r="A344" s="1"/>
      <c r="B344" s="12"/>
      <c r="C344" s="12"/>
      <c r="D344" s="12"/>
      <c r="E344"/>
      <c r="F344"/>
      <c r="G344"/>
      <c r="H344"/>
      <c r="I344"/>
      <c r="J344"/>
      <c r="K344"/>
      <c r="L344"/>
      <c r="M344"/>
      <c r="N344"/>
      <c r="O344"/>
      <c r="P344" s="21"/>
      <c r="Q344"/>
      <c r="R344"/>
    </row>
    <row r="345" spans="1:18" x14ac:dyDescent="0.35">
      <c r="A345" s="1"/>
      <c r="B345" s="12"/>
      <c r="C345" s="12"/>
      <c r="D345" s="12"/>
      <c r="E345"/>
      <c r="F345"/>
      <c r="G345"/>
      <c r="H345"/>
      <c r="I345"/>
      <c r="J345"/>
      <c r="K345"/>
      <c r="L345"/>
      <c r="M345"/>
      <c r="N345"/>
      <c r="O345"/>
      <c r="P345" s="21"/>
      <c r="Q345"/>
      <c r="R345"/>
    </row>
    <row r="346" spans="1:18" x14ac:dyDescent="0.35">
      <c r="A346" s="1"/>
      <c r="B346" s="12"/>
      <c r="C346" s="12"/>
      <c r="D346" s="12"/>
      <c r="E346"/>
      <c r="F346"/>
      <c r="G346"/>
      <c r="H346"/>
      <c r="I346"/>
      <c r="J346"/>
      <c r="K346"/>
      <c r="L346"/>
      <c r="M346"/>
      <c r="N346"/>
      <c r="O346"/>
      <c r="P346" s="21"/>
      <c r="Q346"/>
      <c r="R346"/>
    </row>
    <row r="347" spans="1:18" x14ac:dyDescent="0.35">
      <c r="A347" s="1"/>
      <c r="B347" s="12"/>
      <c r="C347" s="12"/>
      <c r="D347" s="12"/>
      <c r="E347"/>
      <c r="F347"/>
      <c r="G347"/>
      <c r="H347"/>
      <c r="I347"/>
      <c r="J347"/>
      <c r="K347"/>
      <c r="L347"/>
      <c r="M347"/>
      <c r="N347"/>
      <c r="O347"/>
      <c r="P347" s="21"/>
      <c r="Q347"/>
      <c r="R347"/>
    </row>
    <row r="348" spans="1:18" x14ac:dyDescent="0.35">
      <c r="A348" s="1"/>
      <c r="B348" s="12"/>
      <c r="C348" s="12"/>
      <c r="D348" s="12"/>
      <c r="E348"/>
      <c r="F348"/>
      <c r="G348"/>
      <c r="H348"/>
      <c r="I348"/>
      <c r="J348"/>
      <c r="K348"/>
      <c r="L348"/>
      <c r="M348"/>
      <c r="N348"/>
      <c r="O348"/>
      <c r="P348" s="21"/>
      <c r="Q348"/>
      <c r="R348"/>
    </row>
    <row r="349" spans="1:18" x14ac:dyDescent="0.35">
      <c r="A349" s="1"/>
      <c r="B349" s="12"/>
      <c r="C349" s="12"/>
      <c r="D349" s="12"/>
      <c r="E349"/>
      <c r="F349"/>
      <c r="G349"/>
      <c r="H349"/>
      <c r="I349"/>
      <c r="J349"/>
      <c r="K349"/>
      <c r="L349"/>
      <c r="M349"/>
      <c r="N349"/>
      <c r="O349"/>
      <c r="P349" s="21"/>
      <c r="Q349"/>
      <c r="R349"/>
    </row>
    <row r="350" spans="1:18" x14ac:dyDescent="0.35">
      <c r="A350" s="1"/>
      <c r="B350" s="12"/>
      <c r="C350" s="12"/>
      <c r="D350" s="12"/>
      <c r="E350"/>
      <c r="F350"/>
      <c r="G350"/>
      <c r="H350"/>
      <c r="I350"/>
      <c r="J350"/>
      <c r="K350"/>
      <c r="L350"/>
      <c r="M350"/>
      <c r="N350"/>
      <c r="O350"/>
      <c r="P350" s="21"/>
      <c r="Q350"/>
      <c r="R350"/>
    </row>
    <row r="351" spans="1:18" x14ac:dyDescent="0.35">
      <c r="A351" s="1"/>
      <c r="B351" s="12"/>
      <c r="C351" s="12"/>
      <c r="D351" s="12"/>
      <c r="E351"/>
      <c r="F351"/>
      <c r="G351"/>
      <c r="H351"/>
      <c r="I351"/>
      <c r="J351"/>
      <c r="K351"/>
      <c r="L351"/>
      <c r="M351"/>
      <c r="N351"/>
      <c r="O351"/>
      <c r="P351" s="21"/>
      <c r="Q351"/>
      <c r="R351"/>
    </row>
    <row r="352" spans="1:18" x14ac:dyDescent="0.35">
      <c r="A352" s="1"/>
      <c r="B352" s="12"/>
      <c r="C352" s="12"/>
      <c r="D352" s="12"/>
      <c r="E352"/>
      <c r="F352"/>
      <c r="G352"/>
      <c r="H352"/>
      <c r="I352"/>
      <c r="J352"/>
      <c r="K352"/>
      <c r="L352"/>
      <c r="M352"/>
      <c r="N352"/>
      <c r="O352"/>
      <c r="P352" s="21"/>
      <c r="Q352"/>
      <c r="R352"/>
    </row>
    <row r="353" spans="1:18" x14ac:dyDescent="0.35">
      <c r="A353" s="1"/>
      <c r="B353" s="12"/>
      <c r="C353" s="12"/>
      <c r="D353" s="12"/>
      <c r="E353"/>
      <c r="F353"/>
      <c r="G353"/>
      <c r="H353"/>
      <c r="I353"/>
      <c r="J353"/>
      <c r="K353"/>
      <c r="L353"/>
      <c r="M353"/>
      <c r="N353"/>
      <c r="O353"/>
      <c r="P353" s="21"/>
      <c r="Q353"/>
      <c r="R353"/>
    </row>
    <row r="354" spans="1:18" x14ac:dyDescent="0.35">
      <c r="A354" s="1"/>
      <c r="B354" s="12"/>
      <c r="C354" s="12"/>
      <c r="D354" s="12"/>
      <c r="E354"/>
      <c r="F354"/>
      <c r="G354"/>
      <c r="H354"/>
      <c r="I354"/>
      <c r="J354"/>
      <c r="K354"/>
      <c r="L354"/>
      <c r="M354"/>
      <c r="N354"/>
      <c r="O354"/>
      <c r="P354" s="21"/>
      <c r="Q354"/>
      <c r="R354"/>
    </row>
    <row r="355" spans="1:18" x14ac:dyDescent="0.35">
      <c r="A355" s="1"/>
      <c r="B355" s="12"/>
      <c r="C355" s="12"/>
      <c r="D355" s="12"/>
      <c r="E355"/>
      <c r="F355"/>
      <c r="G355"/>
      <c r="H355"/>
      <c r="I355"/>
      <c r="J355"/>
      <c r="K355"/>
      <c r="L355"/>
      <c r="M355"/>
      <c r="N355"/>
      <c r="O355"/>
      <c r="P355" s="21"/>
      <c r="Q355"/>
      <c r="R355"/>
    </row>
    <row r="356" spans="1:18" x14ac:dyDescent="0.35">
      <c r="A356" s="1"/>
      <c r="B356" s="12"/>
      <c r="C356" s="12"/>
      <c r="D356" s="12"/>
      <c r="E356"/>
      <c r="F356"/>
      <c r="G356"/>
      <c r="H356"/>
      <c r="I356"/>
      <c r="J356"/>
      <c r="K356"/>
      <c r="L356"/>
      <c r="M356"/>
      <c r="N356"/>
      <c r="O356"/>
      <c r="P356" s="21"/>
      <c r="Q356"/>
      <c r="R356"/>
    </row>
    <row r="357" spans="1:18" x14ac:dyDescent="0.35">
      <c r="A357" s="1"/>
      <c r="B357" s="12"/>
      <c r="C357" s="12"/>
      <c r="D357" s="12"/>
      <c r="E357"/>
      <c r="F357"/>
      <c r="G357"/>
      <c r="H357"/>
      <c r="I357"/>
      <c r="J357"/>
      <c r="K357"/>
      <c r="L357"/>
      <c r="M357"/>
      <c r="N357"/>
      <c r="O357"/>
      <c r="P357" s="21"/>
      <c r="Q357"/>
      <c r="R357"/>
    </row>
    <row r="358" spans="1:18" x14ac:dyDescent="0.35">
      <c r="A358" s="1"/>
      <c r="B358" s="12"/>
      <c r="C358" s="12"/>
      <c r="D358" s="12"/>
      <c r="E358"/>
      <c r="F358"/>
      <c r="G358"/>
      <c r="H358"/>
      <c r="I358"/>
      <c r="J358"/>
      <c r="K358"/>
      <c r="L358"/>
      <c r="M358"/>
      <c r="N358"/>
      <c r="O358"/>
      <c r="P358" s="21"/>
      <c r="Q358"/>
      <c r="R358"/>
    </row>
    <row r="359" spans="1:18" x14ac:dyDescent="0.35">
      <c r="A359" s="1"/>
      <c r="B359" s="12"/>
      <c r="C359" s="12"/>
      <c r="D359" s="12"/>
      <c r="E359"/>
      <c r="F359"/>
      <c r="G359"/>
      <c r="H359"/>
      <c r="I359"/>
      <c r="J359"/>
      <c r="K359"/>
      <c r="L359"/>
      <c r="M359"/>
      <c r="N359"/>
      <c r="O359"/>
      <c r="P359" s="21"/>
      <c r="Q359"/>
      <c r="R359"/>
    </row>
    <row r="360" spans="1:18" x14ac:dyDescent="0.35">
      <c r="A360" s="1"/>
      <c r="B360" s="12"/>
      <c r="C360" s="12"/>
      <c r="D360" s="12"/>
      <c r="E360"/>
      <c r="F360"/>
      <c r="G360"/>
      <c r="H360"/>
      <c r="I360"/>
      <c r="J360"/>
      <c r="K360"/>
      <c r="L360"/>
      <c r="M360"/>
      <c r="N360"/>
      <c r="O360"/>
      <c r="P360" s="21"/>
      <c r="Q360"/>
      <c r="R360"/>
    </row>
    <row r="361" spans="1:18" x14ac:dyDescent="0.35">
      <c r="A361" s="1"/>
      <c r="B361" s="12"/>
      <c r="C361" s="12"/>
      <c r="D361" s="12"/>
      <c r="E361"/>
      <c r="F361"/>
      <c r="G361"/>
      <c r="H361"/>
      <c r="I361"/>
      <c r="J361"/>
      <c r="K361"/>
      <c r="L361"/>
      <c r="M361"/>
      <c r="N361"/>
      <c r="O361"/>
      <c r="P361" s="21"/>
      <c r="Q361"/>
      <c r="R361"/>
    </row>
    <row r="362" spans="1:18" x14ac:dyDescent="0.35">
      <c r="A362" s="1"/>
      <c r="B362" s="12"/>
      <c r="C362" s="12"/>
      <c r="D362" s="12"/>
      <c r="E362"/>
      <c r="F362"/>
      <c r="G362"/>
      <c r="H362"/>
      <c r="I362"/>
      <c r="J362"/>
      <c r="K362"/>
      <c r="L362"/>
      <c r="M362"/>
      <c r="N362"/>
      <c r="O362"/>
      <c r="P362" s="21"/>
      <c r="Q362"/>
      <c r="R362"/>
    </row>
    <row r="363" spans="1:18" x14ac:dyDescent="0.35">
      <c r="A363" s="1"/>
      <c r="B363" s="12"/>
      <c r="C363" s="12"/>
      <c r="D363" s="12"/>
      <c r="E363"/>
      <c r="F363"/>
      <c r="G363"/>
      <c r="H363"/>
      <c r="I363"/>
      <c r="J363"/>
      <c r="K363"/>
      <c r="L363"/>
      <c r="M363"/>
      <c r="N363"/>
      <c r="O363"/>
      <c r="P363" s="21"/>
      <c r="Q363"/>
      <c r="R363"/>
    </row>
    <row r="364" spans="1:18" x14ac:dyDescent="0.35">
      <c r="A364" s="1"/>
      <c r="B364" s="12"/>
      <c r="C364" s="12"/>
      <c r="D364" s="12"/>
      <c r="E364"/>
      <c r="F364"/>
      <c r="G364"/>
      <c r="H364"/>
      <c r="I364"/>
      <c r="J364"/>
      <c r="K364"/>
      <c r="L364"/>
      <c r="M364"/>
      <c r="N364"/>
      <c r="O364"/>
      <c r="P364" s="21"/>
      <c r="Q364"/>
      <c r="R364"/>
    </row>
    <row r="365" spans="1:18" x14ac:dyDescent="0.35">
      <c r="A365" s="1"/>
      <c r="B365" s="12"/>
      <c r="C365" s="12"/>
      <c r="D365" s="12"/>
      <c r="E365"/>
      <c r="F365"/>
      <c r="G365"/>
      <c r="H365"/>
      <c r="I365"/>
      <c r="J365"/>
      <c r="K365"/>
      <c r="L365"/>
      <c r="M365"/>
      <c r="N365"/>
      <c r="O365"/>
      <c r="P365" s="21"/>
      <c r="Q365"/>
      <c r="R365"/>
    </row>
    <row r="366" spans="1:18" x14ac:dyDescent="0.35">
      <c r="A366" s="1"/>
      <c r="B366" s="12"/>
      <c r="C366" s="12"/>
      <c r="D366" s="12"/>
      <c r="E366"/>
      <c r="F366"/>
      <c r="G366"/>
      <c r="H366"/>
      <c r="I366"/>
      <c r="J366"/>
      <c r="K366"/>
      <c r="L366"/>
      <c r="M366"/>
      <c r="N366"/>
      <c r="O366"/>
      <c r="P366" s="21"/>
      <c r="Q366"/>
      <c r="R366"/>
    </row>
    <row r="367" spans="1:18" x14ac:dyDescent="0.35">
      <c r="A367" s="1"/>
      <c r="B367" s="12"/>
      <c r="C367" s="12"/>
      <c r="D367" s="12"/>
      <c r="E367"/>
      <c r="F367"/>
      <c r="G367"/>
      <c r="H367"/>
      <c r="I367"/>
      <c r="J367"/>
      <c r="K367"/>
      <c r="L367"/>
      <c r="M367"/>
      <c r="N367"/>
      <c r="O367"/>
      <c r="P367" s="21"/>
      <c r="Q367"/>
      <c r="R367"/>
    </row>
    <row r="368" spans="1:18" x14ac:dyDescent="0.35">
      <c r="A368" s="1"/>
      <c r="B368" s="12"/>
      <c r="C368" s="12"/>
      <c r="D368" s="12"/>
      <c r="E368"/>
      <c r="F368"/>
      <c r="G368"/>
      <c r="H368"/>
      <c r="I368"/>
      <c r="J368"/>
      <c r="K368"/>
      <c r="L368"/>
      <c r="M368"/>
      <c r="N368"/>
      <c r="O368"/>
      <c r="P368" s="21"/>
      <c r="Q368"/>
      <c r="R368"/>
    </row>
    <row r="369" spans="1:18" x14ac:dyDescent="0.35">
      <c r="A369" s="1"/>
      <c r="B369" s="12"/>
      <c r="C369" s="12"/>
      <c r="D369" s="12"/>
      <c r="E369"/>
      <c r="F369"/>
      <c r="G369"/>
      <c r="H369"/>
      <c r="I369"/>
      <c r="J369"/>
      <c r="K369"/>
      <c r="L369"/>
      <c r="M369"/>
      <c r="N369"/>
      <c r="O369"/>
      <c r="P369" s="21"/>
      <c r="Q369"/>
      <c r="R369"/>
    </row>
    <row r="370" spans="1:18" x14ac:dyDescent="0.35">
      <c r="A370" s="1"/>
      <c r="B370" s="12"/>
      <c r="C370" s="12"/>
      <c r="D370" s="12"/>
      <c r="E370"/>
      <c r="F370"/>
      <c r="G370"/>
      <c r="H370"/>
      <c r="I370"/>
      <c r="J370"/>
      <c r="K370"/>
      <c r="L370"/>
      <c r="M370"/>
      <c r="N370"/>
      <c r="O370"/>
      <c r="P370" s="21"/>
      <c r="Q370"/>
      <c r="R370"/>
    </row>
    <row r="371" spans="1:18" x14ac:dyDescent="0.35">
      <c r="A371" s="1"/>
      <c r="B371" s="12"/>
      <c r="C371" s="12"/>
      <c r="D371" s="12"/>
      <c r="E371"/>
      <c r="F371"/>
      <c r="G371"/>
      <c r="H371"/>
      <c r="I371"/>
      <c r="J371"/>
      <c r="K371"/>
      <c r="L371"/>
      <c r="M371"/>
      <c r="N371"/>
      <c r="O371"/>
      <c r="P371" s="21"/>
      <c r="Q371"/>
      <c r="R371"/>
    </row>
    <row r="372" spans="1:18" x14ac:dyDescent="0.35">
      <c r="A372" s="1"/>
      <c r="B372" s="12"/>
      <c r="C372" s="12"/>
      <c r="D372" s="12"/>
      <c r="E372"/>
      <c r="F372"/>
      <c r="G372"/>
      <c r="H372"/>
      <c r="I372"/>
      <c r="J372"/>
      <c r="K372"/>
      <c r="L372"/>
      <c r="M372"/>
      <c r="N372"/>
      <c r="O372"/>
      <c r="P372" s="21"/>
      <c r="Q372"/>
      <c r="R372"/>
    </row>
    <row r="373" spans="1:18" x14ac:dyDescent="0.35">
      <c r="A373" s="1"/>
      <c r="B373" s="12"/>
      <c r="C373" s="12"/>
      <c r="D373" s="12"/>
      <c r="E373"/>
      <c r="F373"/>
      <c r="G373"/>
      <c r="H373"/>
      <c r="I373"/>
      <c r="J373"/>
      <c r="K373"/>
      <c r="L373"/>
      <c r="M373"/>
      <c r="N373"/>
      <c r="O373"/>
      <c r="P373" s="21"/>
      <c r="Q373"/>
      <c r="R373"/>
    </row>
    <row r="374" spans="1:18" x14ac:dyDescent="0.35">
      <c r="A374" s="1"/>
      <c r="B374" s="12"/>
      <c r="C374" s="12"/>
      <c r="D374" s="12"/>
      <c r="E374"/>
      <c r="F374"/>
      <c r="G374"/>
      <c r="H374"/>
      <c r="I374"/>
      <c r="J374"/>
      <c r="K374"/>
      <c r="L374"/>
      <c r="M374"/>
      <c r="N374"/>
      <c r="O374"/>
      <c r="P374" s="21"/>
      <c r="Q374"/>
      <c r="R374"/>
    </row>
    <row r="375" spans="1:18" x14ac:dyDescent="0.35">
      <c r="A375" s="1"/>
      <c r="B375" s="12"/>
      <c r="C375" s="12"/>
      <c r="D375" s="12"/>
      <c r="E375"/>
      <c r="F375"/>
      <c r="G375"/>
      <c r="H375"/>
      <c r="I375"/>
      <c r="J375"/>
      <c r="K375"/>
      <c r="L375"/>
      <c r="M375"/>
      <c r="N375"/>
      <c r="O375"/>
      <c r="P375" s="21"/>
      <c r="Q375"/>
      <c r="R375"/>
    </row>
    <row r="376" spans="1:18" x14ac:dyDescent="0.35">
      <c r="A376" s="1"/>
      <c r="B376" s="12"/>
      <c r="C376" s="12"/>
      <c r="D376" s="12"/>
      <c r="E376"/>
      <c r="F376"/>
      <c r="G376"/>
      <c r="H376"/>
      <c r="I376"/>
      <c r="J376"/>
      <c r="K376"/>
      <c r="L376"/>
      <c r="M376"/>
      <c r="N376"/>
      <c r="O376"/>
      <c r="P376" s="21"/>
      <c r="Q376"/>
      <c r="R376"/>
    </row>
    <row r="377" spans="1:18" x14ac:dyDescent="0.35">
      <c r="A377" s="1"/>
      <c r="B377" s="12"/>
      <c r="C377" s="12"/>
      <c r="D377" s="12"/>
      <c r="E377"/>
      <c r="F377"/>
      <c r="G377"/>
      <c r="H377"/>
      <c r="I377"/>
      <c r="J377"/>
      <c r="K377"/>
      <c r="L377"/>
      <c r="M377"/>
      <c r="N377"/>
      <c r="O377"/>
      <c r="P377" s="21"/>
      <c r="Q377"/>
      <c r="R377"/>
    </row>
    <row r="378" spans="1:18" x14ac:dyDescent="0.35">
      <c r="A378" s="1"/>
      <c r="B378" s="12"/>
      <c r="C378" s="12"/>
      <c r="D378" s="12"/>
      <c r="E378"/>
      <c r="F378"/>
      <c r="G378"/>
      <c r="H378"/>
      <c r="I378"/>
      <c r="J378"/>
      <c r="K378"/>
      <c r="L378"/>
      <c r="M378"/>
      <c r="N378"/>
      <c r="O378"/>
      <c r="P378" s="21"/>
      <c r="Q378"/>
      <c r="R378"/>
    </row>
    <row r="379" spans="1:18" x14ac:dyDescent="0.35">
      <c r="A379" s="1"/>
      <c r="B379" s="12"/>
      <c r="C379" s="12"/>
      <c r="D379" s="12"/>
      <c r="E379"/>
      <c r="F379"/>
      <c r="G379"/>
      <c r="H379"/>
      <c r="I379"/>
      <c r="J379"/>
      <c r="K379"/>
      <c r="L379"/>
      <c r="M379"/>
      <c r="N379"/>
      <c r="O379"/>
      <c r="P379" s="21"/>
      <c r="Q379"/>
      <c r="R379"/>
    </row>
    <row r="380" spans="1:18" x14ac:dyDescent="0.35">
      <c r="A380" s="1"/>
      <c r="B380" s="12"/>
      <c r="C380" s="12"/>
      <c r="D380" s="12"/>
      <c r="E380"/>
      <c r="F380"/>
      <c r="G380"/>
      <c r="H380"/>
      <c r="I380"/>
      <c r="J380"/>
      <c r="K380"/>
      <c r="L380"/>
      <c r="M380"/>
      <c r="N380"/>
      <c r="O380"/>
      <c r="P380" s="21"/>
      <c r="Q380"/>
      <c r="R380"/>
    </row>
    <row r="381" spans="1:18" x14ac:dyDescent="0.35">
      <c r="A381" s="1"/>
      <c r="B381" s="12"/>
      <c r="C381" s="12"/>
      <c r="D381" s="12"/>
      <c r="E381"/>
      <c r="F381"/>
      <c r="G381"/>
      <c r="H381"/>
      <c r="I381"/>
      <c r="J381"/>
      <c r="K381"/>
      <c r="L381"/>
      <c r="M381"/>
      <c r="N381"/>
      <c r="O381"/>
      <c r="P381" s="21"/>
      <c r="Q381"/>
      <c r="R381"/>
    </row>
    <row r="382" spans="1:18" x14ac:dyDescent="0.35">
      <c r="A382" s="1"/>
      <c r="B382" s="12"/>
      <c r="C382" s="12"/>
      <c r="D382" s="12"/>
      <c r="E382"/>
      <c r="F382"/>
      <c r="G382"/>
      <c r="H382"/>
      <c r="I382"/>
      <c r="J382"/>
      <c r="K382"/>
      <c r="L382"/>
      <c r="M382"/>
      <c r="N382"/>
      <c r="O382"/>
      <c r="P382" s="21"/>
      <c r="Q382"/>
      <c r="R382"/>
    </row>
    <row r="383" spans="1:18" x14ac:dyDescent="0.35">
      <c r="A383" s="1"/>
      <c r="B383" s="12"/>
      <c r="C383" s="12"/>
      <c r="D383" s="12"/>
      <c r="E383"/>
      <c r="F383"/>
      <c r="G383"/>
      <c r="H383"/>
      <c r="I383"/>
      <c r="J383"/>
      <c r="K383"/>
      <c r="L383"/>
      <c r="M383"/>
      <c r="N383"/>
      <c r="O383"/>
      <c r="P383" s="21"/>
      <c r="Q383"/>
      <c r="R383"/>
    </row>
    <row r="384" spans="1:18" x14ac:dyDescent="0.35">
      <c r="A384" s="1"/>
      <c r="B384" s="12"/>
      <c r="C384" s="12"/>
      <c r="D384" s="12"/>
      <c r="E384"/>
      <c r="F384"/>
      <c r="G384"/>
      <c r="H384"/>
      <c r="I384"/>
      <c r="J384"/>
      <c r="K384"/>
      <c r="L384"/>
      <c r="M384"/>
      <c r="N384"/>
      <c r="O384"/>
      <c r="P384" s="21"/>
      <c r="Q384"/>
      <c r="R384"/>
    </row>
    <row r="385" spans="1:18" x14ac:dyDescent="0.35">
      <c r="A385" s="1"/>
      <c r="B385" s="12"/>
      <c r="C385" s="12"/>
      <c r="D385" s="12"/>
      <c r="E385"/>
      <c r="F385"/>
      <c r="G385"/>
      <c r="H385"/>
      <c r="I385"/>
      <c r="J385"/>
      <c r="K385"/>
      <c r="L385"/>
      <c r="M385"/>
      <c r="N385"/>
      <c r="O385"/>
      <c r="P385" s="21"/>
      <c r="Q385"/>
      <c r="R385"/>
    </row>
    <row r="386" spans="1:18" x14ac:dyDescent="0.35">
      <c r="A386" s="1"/>
      <c r="B386" s="12"/>
      <c r="C386" s="12"/>
      <c r="D386" s="12"/>
      <c r="E386"/>
      <c r="F386"/>
      <c r="G386"/>
      <c r="H386"/>
      <c r="I386"/>
      <c r="J386"/>
      <c r="K386"/>
      <c r="L386"/>
      <c r="M386"/>
      <c r="N386"/>
      <c r="O386"/>
      <c r="P386" s="21"/>
      <c r="Q386"/>
      <c r="R386"/>
    </row>
    <row r="387" spans="1:18" x14ac:dyDescent="0.35">
      <c r="A387" s="1"/>
      <c r="B387" s="12"/>
      <c r="C387" s="12"/>
      <c r="D387" s="12"/>
      <c r="E387"/>
      <c r="F387"/>
      <c r="G387"/>
      <c r="H387"/>
      <c r="I387"/>
      <c r="J387"/>
      <c r="K387"/>
      <c r="L387"/>
      <c r="M387"/>
      <c r="N387"/>
      <c r="O387"/>
      <c r="P387" s="21"/>
      <c r="Q387"/>
      <c r="R387"/>
    </row>
    <row r="388" spans="1:18" x14ac:dyDescent="0.35">
      <c r="A388" s="1"/>
      <c r="B388" s="12"/>
      <c r="C388" s="12"/>
      <c r="D388" s="12"/>
      <c r="E388"/>
      <c r="F388"/>
      <c r="G388"/>
      <c r="H388"/>
      <c r="I388"/>
      <c r="J388"/>
      <c r="K388"/>
      <c r="L388"/>
      <c r="M388"/>
      <c r="N388"/>
      <c r="O388"/>
      <c r="P388" s="21"/>
      <c r="Q388"/>
      <c r="R388"/>
    </row>
    <row r="389" spans="1:18" x14ac:dyDescent="0.35">
      <c r="A389" s="1"/>
      <c r="B389" s="3"/>
      <c r="C389" s="3"/>
      <c r="D389" s="3"/>
    </row>
    <row r="390" spans="1:18" x14ac:dyDescent="0.35">
      <c r="A390" s="1"/>
      <c r="B390" s="3"/>
      <c r="C390" s="3"/>
      <c r="D390" s="3"/>
    </row>
    <row r="391" spans="1:18" x14ac:dyDescent="0.35">
      <c r="A391" s="1"/>
      <c r="B391" s="3"/>
      <c r="C391" s="3"/>
      <c r="D391" s="3"/>
    </row>
    <row r="392" spans="1:18" x14ac:dyDescent="0.35">
      <c r="A392" s="1"/>
      <c r="B392" s="3"/>
      <c r="C392" s="3"/>
      <c r="D392" s="3"/>
    </row>
    <row r="393" spans="1:18" x14ac:dyDescent="0.35">
      <c r="A393" s="1"/>
      <c r="B393" s="3"/>
      <c r="C393" s="3"/>
      <c r="D393" s="3"/>
    </row>
    <row r="394" spans="1:18" x14ac:dyDescent="0.35">
      <c r="A394" s="1"/>
      <c r="B394" s="3"/>
      <c r="C394" s="3"/>
      <c r="D394" s="3"/>
    </row>
    <row r="395" spans="1:18" x14ac:dyDescent="0.35">
      <c r="A395" s="1"/>
      <c r="B395" s="3"/>
      <c r="C395" s="3"/>
      <c r="D395" s="3"/>
    </row>
    <row r="396" spans="1:18" x14ac:dyDescent="0.35">
      <c r="A396" s="1"/>
      <c r="B396" s="3"/>
      <c r="C396" s="3"/>
      <c r="D396" s="3"/>
    </row>
    <row r="397" spans="1:18" x14ac:dyDescent="0.35">
      <c r="A397" s="1"/>
      <c r="B397" s="3"/>
      <c r="C397" s="3"/>
      <c r="D397" s="3"/>
    </row>
    <row r="398" spans="1:18" x14ac:dyDescent="0.35">
      <c r="A398" s="1"/>
      <c r="B398" s="3"/>
      <c r="C398" s="3"/>
      <c r="D398" s="3"/>
    </row>
  </sheetData>
  <mergeCells count="5">
    <mergeCell ref="B4:D4"/>
    <mergeCell ref="E4:G4"/>
    <mergeCell ref="H4:L4"/>
    <mergeCell ref="Q4:R4"/>
    <mergeCell ref="F1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F387-C886-4E19-8F23-11DFCB6BCF3C}">
  <sheetPr>
    <tabColor theme="2" tint="-0.89999084444715716"/>
  </sheetPr>
  <dimension ref="A1:HO1048574"/>
  <sheetViews>
    <sheetView topLeftCell="A46" zoomScale="110" zoomScaleNormal="110" workbookViewId="0">
      <selection activeCell="A60" sqref="A60"/>
    </sheetView>
  </sheetViews>
  <sheetFormatPr baseColWidth="10" defaultRowHeight="14.5" x14ac:dyDescent="0.35"/>
  <cols>
    <col min="1" max="1" width="17.7265625" customWidth="1"/>
    <col min="2" max="3" width="17.453125" customWidth="1"/>
    <col min="4" max="4" width="16.54296875" bestFit="1" customWidth="1"/>
    <col min="5" max="6" width="17.81640625" customWidth="1"/>
    <col min="7" max="7" width="21.453125" customWidth="1"/>
    <col min="8" max="9" width="24.54296875" customWidth="1"/>
    <col min="10" max="10" width="22.54296875" customWidth="1"/>
    <col min="11" max="11" width="18.1796875" customWidth="1"/>
    <col min="12" max="12" width="19.1796875" customWidth="1"/>
    <col min="13" max="13" width="20" customWidth="1"/>
    <col min="14" max="14" width="18" customWidth="1"/>
    <col min="15" max="15" width="19.81640625" customWidth="1"/>
    <col min="16" max="16" width="28.453125" customWidth="1"/>
    <col min="17" max="17" width="67.26953125" customWidth="1"/>
  </cols>
  <sheetData>
    <row r="1" spans="1:18" ht="15.5" x14ac:dyDescent="0.35">
      <c r="A1" s="356" t="s">
        <v>8</v>
      </c>
      <c r="B1" s="356"/>
      <c r="C1" s="356"/>
      <c r="D1" s="356"/>
      <c r="E1" s="357" t="s">
        <v>94</v>
      </c>
      <c r="F1" s="357"/>
      <c r="G1" s="357"/>
      <c r="H1" s="38"/>
      <c r="I1" s="38"/>
      <c r="J1" s="15"/>
      <c r="K1" s="15"/>
      <c r="L1" s="19"/>
      <c r="M1" s="15"/>
      <c r="N1" s="15"/>
      <c r="O1" s="15"/>
    </row>
    <row r="2" spans="1:18" ht="15.5" x14ac:dyDescent="0.35">
      <c r="A2" s="356" t="s">
        <v>0</v>
      </c>
      <c r="B2" s="356"/>
      <c r="C2" s="356"/>
      <c r="D2" s="356"/>
      <c r="E2" s="357"/>
      <c r="F2" s="357"/>
      <c r="G2" s="357"/>
      <c r="H2" s="38"/>
      <c r="I2" s="38"/>
      <c r="J2" s="15"/>
      <c r="K2" s="15"/>
      <c r="L2" s="19"/>
      <c r="M2" s="15"/>
      <c r="N2" s="15"/>
      <c r="O2" s="15"/>
    </row>
    <row r="3" spans="1:18" ht="15.5" x14ac:dyDescent="0.35">
      <c r="A3" s="359" t="s">
        <v>9</v>
      </c>
      <c r="B3" s="359"/>
      <c r="C3" s="359"/>
      <c r="D3" s="359"/>
      <c r="E3" s="358"/>
      <c r="F3" s="358"/>
      <c r="G3" s="358"/>
      <c r="H3" s="38"/>
      <c r="I3" s="38"/>
      <c r="J3" s="15"/>
      <c r="K3" s="15"/>
      <c r="L3" s="19"/>
      <c r="M3" s="15"/>
      <c r="N3" s="15"/>
      <c r="O3" s="15"/>
    </row>
    <row r="4" spans="1:18" ht="15.5" x14ac:dyDescent="0.35">
      <c r="A4" s="105"/>
      <c r="B4" s="360" t="s">
        <v>10</v>
      </c>
      <c r="C4" s="360"/>
      <c r="D4" s="360"/>
      <c r="E4" s="361" t="s">
        <v>12</v>
      </c>
      <c r="F4" s="361"/>
      <c r="G4" s="361"/>
      <c r="H4" s="354" t="s">
        <v>13</v>
      </c>
      <c r="I4" s="354"/>
      <c r="J4" s="354"/>
      <c r="K4" s="354"/>
      <c r="L4" s="354"/>
      <c r="M4" s="354"/>
      <c r="N4" s="354"/>
      <c r="O4" s="354"/>
      <c r="P4" s="355" t="s">
        <v>21</v>
      </c>
      <c r="Q4" s="355"/>
    </row>
    <row r="5" spans="1:18" ht="15.5" x14ac:dyDescent="0.35">
      <c r="A5" s="105" t="s">
        <v>1</v>
      </c>
      <c r="B5" s="106" t="s">
        <v>87</v>
      </c>
      <c r="C5" s="106" t="s">
        <v>3</v>
      </c>
      <c r="D5" s="170" t="s">
        <v>11</v>
      </c>
      <c r="E5" s="171" t="s">
        <v>4</v>
      </c>
      <c r="F5" s="172" t="s">
        <v>5</v>
      </c>
      <c r="G5" s="173" t="s">
        <v>6</v>
      </c>
      <c r="H5" s="174" t="s">
        <v>161</v>
      </c>
      <c r="I5" s="174" t="s">
        <v>96</v>
      </c>
      <c r="J5" s="106" t="s">
        <v>95</v>
      </c>
      <c r="K5" s="106" t="s">
        <v>16</v>
      </c>
      <c r="L5" s="92" t="s">
        <v>17</v>
      </c>
      <c r="M5" s="106" t="s">
        <v>18</v>
      </c>
      <c r="N5" s="105" t="s">
        <v>19</v>
      </c>
      <c r="O5" s="105" t="s">
        <v>23</v>
      </c>
      <c r="P5" s="105" t="s">
        <v>22</v>
      </c>
      <c r="Q5" s="105" t="s">
        <v>7</v>
      </c>
    </row>
    <row r="6" spans="1:18" ht="15.5" x14ac:dyDescent="0.35">
      <c r="A6" s="71"/>
      <c r="B6" s="175"/>
      <c r="C6" s="175"/>
      <c r="D6" s="170"/>
      <c r="E6" s="176"/>
      <c r="F6" s="172"/>
      <c r="G6" s="177"/>
      <c r="H6" s="131">
        <v>1.5</v>
      </c>
      <c r="I6" s="131">
        <v>3</v>
      </c>
      <c r="J6" s="131">
        <v>14</v>
      </c>
      <c r="K6" s="131">
        <v>7</v>
      </c>
      <c r="L6" s="178">
        <v>15</v>
      </c>
      <c r="M6" s="131">
        <v>25</v>
      </c>
      <c r="N6" s="165"/>
      <c r="O6" s="165" t="s">
        <v>24</v>
      </c>
      <c r="P6" s="105"/>
      <c r="Q6" s="105"/>
    </row>
    <row r="7" spans="1:18" ht="15.5" x14ac:dyDescent="0.35">
      <c r="A7" s="103">
        <v>46082</v>
      </c>
      <c r="B7" s="79">
        <v>0.28472222222222221</v>
      </c>
      <c r="C7" s="79">
        <v>0.73611111111111116</v>
      </c>
      <c r="D7" s="111">
        <f t="shared" ref="D7:D34" si="0">1+C7-B7</f>
        <v>1.4513888888888888</v>
      </c>
      <c r="E7" s="322">
        <v>2336532</v>
      </c>
      <c r="F7" s="318">
        <v>2337679</v>
      </c>
      <c r="G7" s="328">
        <f t="shared" ref="G7:G70" si="1">(F7-E7)/100</f>
        <v>11.47</v>
      </c>
      <c r="H7" s="112"/>
      <c r="I7" s="112"/>
      <c r="J7" s="112"/>
      <c r="K7" s="112"/>
      <c r="L7" s="231"/>
      <c r="M7" s="112">
        <v>174</v>
      </c>
      <c r="N7" s="96">
        <f>+(($H$6*H7)+($J$6*J7)+($K$6*K7)+($L$6*L7)+($M$6*M7)+(I7*3))</f>
        <v>4350</v>
      </c>
      <c r="O7" s="96">
        <f>N7/G7</f>
        <v>379.25021795989534</v>
      </c>
      <c r="P7" s="149" t="s">
        <v>171</v>
      </c>
      <c r="Q7" t="s">
        <v>203</v>
      </c>
    </row>
    <row r="8" spans="1:18" ht="15.5" x14ac:dyDescent="0.35">
      <c r="A8" s="103">
        <v>46082</v>
      </c>
      <c r="B8" s="79">
        <v>0.75694444444444442</v>
      </c>
      <c r="C8" s="79">
        <v>0.24444444444444444</v>
      </c>
      <c r="D8" s="111">
        <f t="shared" si="0"/>
        <v>0.48750000000000004</v>
      </c>
      <c r="E8" s="322">
        <f t="shared" ref="E8:E71" si="2">F7</f>
        <v>2337679</v>
      </c>
      <c r="F8" s="320">
        <v>2338900</v>
      </c>
      <c r="G8" s="328">
        <f t="shared" si="1"/>
        <v>12.21</v>
      </c>
      <c r="H8" s="109"/>
      <c r="I8" s="109"/>
      <c r="J8" s="112"/>
      <c r="K8" s="112"/>
      <c r="L8" s="112"/>
      <c r="M8" s="112">
        <v>192</v>
      </c>
      <c r="N8" s="96">
        <f>+(($H$6*H8)+($J$6*J8)+($K$6*K8)+($L$6*L8)+($M$6*M8)+(I8*3))</f>
        <v>4800</v>
      </c>
      <c r="O8" s="96">
        <f t="shared" ref="O8:O42" si="3">N8/G8</f>
        <v>393.12039312039309</v>
      </c>
      <c r="P8" s="149" t="s">
        <v>167</v>
      </c>
      <c r="Q8" s="239"/>
    </row>
    <row r="9" spans="1:18" ht="15.5" x14ac:dyDescent="0.35">
      <c r="A9" s="103">
        <v>46083</v>
      </c>
      <c r="B9" s="79">
        <v>0.26111111111111113</v>
      </c>
      <c r="C9" s="79">
        <v>0.56944444444444442</v>
      </c>
      <c r="D9" s="111">
        <f t="shared" si="0"/>
        <v>1.3083333333333333</v>
      </c>
      <c r="E9" s="322">
        <f t="shared" si="2"/>
        <v>2338900</v>
      </c>
      <c r="F9" s="318">
        <v>2339712</v>
      </c>
      <c r="G9" s="328">
        <f t="shared" si="1"/>
        <v>8.1199999999999992</v>
      </c>
      <c r="H9" s="112"/>
      <c r="I9" s="112"/>
      <c r="J9" s="112"/>
      <c r="K9" s="112"/>
      <c r="L9" s="112"/>
      <c r="M9" s="112">
        <v>115</v>
      </c>
      <c r="N9" s="96">
        <f t="shared" ref="N9:N71" si="4">+(($H$6*H9)+($J$6*J9)+($K$6*K9)+($L$6*L9)+($M$6*M9)+(I9*3))</f>
        <v>2875</v>
      </c>
      <c r="O9" s="96">
        <f t="shared" si="3"/>
        <v>354.06403940886702</v>
      </c>
      <c r="P9" s="149" t="s">
        <v>186</v>
      </c>
      <c r="Q9" s="239"/>
    </row>
    <row r="10" spans="1:18" ht="15.5" x14ac:dyDescent="0.35">
      <c r="A10" s="103">
        <v>46083</v>
      </c>
      <c r="B10" s="79">
        <v>0.58680555555555558</v>
      </c>
      <c r="C10" s="79">
        <v>0.73402777777777772</v>
      </c>
      <c r="D10" s="111">
        <f t="shared" si="0"/>
        <v>1.1472222222222221</v>
      </c>
      <c r="E10" s="322">
        <f t="shared" si="2"/>
        <v>2339712</v>
      </c>
      <c r="F10" s="318">
        <v>2340065</v>
      </c>
      <c r="G10" s="328">
        <f t="shared" si="1"/>
        <v>3.53</v>
      </c>
      <c r="H10" s="112"/>
      <c r="I10" s="112"/>
      <c r="J10" s="112"/>
      <c r="K10" s="112"/>
      <c r="L10" s="231"/>
      <c r="M10" s="112">
        <v>24</v>
      </c>
      <c r="N10" s="96">
        <f t="shared" si="4"/>
        <v>600</v>
      </c>
      <c r="O10" s="96">
        <f>N10/G10</f>
        <v>169.97167138810198</v>
      </c>
      <c r="P10" s="149" t="s">
        <v>201</v>
      </c>
      <c r="Q10" s="239"/>
    </row>
    <row r="11" spans="1:18" ht="15.5" x14ac:dyDescent="0.35">
      <c r="A11" s="103">
        <v>46083</v>
      </c>
      <c r="B11" s="79">
        <v>0.76388888888888884</v>
      </c>
      <c r="C11" s="79">
        <v>0.90347222222222223</v>
      </c>
      <c r="D11" s="111">
        <f t="shared" si="0"/>
        <v>1.1395833333333334</v>
      </c>
      <c r="E11" s="322">
        <f t="shared" si="2"/>
        <v>2340065</v>
      </c>
      <c r="F11" s="318">
        <v>2340432</v>
      </c>
      <c r="G11" s="328">
        <f t="shared" si="1"/>
        <v>3.67</v>
      </c>
      <c r="H11" s="112"/>
      <c r="I11" s="112"/>
      <c r="J11" s="112"/>
      <c r="K11" s="112"/>
      <c r="L11" s="231"/>
      <c r="M11" s="112">
        <v>64</v>
      </c>
      <c r="N11" s="96">
        <f t="shared" si="4"/>
        <v>1600</v>
      </c>
      <c r="O11" s="96">
        <f t="shared" si="3"/>
        <v>435.96730245231606</v>
      </c>
      <c r="P11" s="149" t="s">
        <v>188</v>
      </c>
      <c r="Q11" s="239"/>
      <c r="R11" t="s">
        <v>156</v>
      </c>
    </row>
    <row r="12" spans="1:18" s="228" customFormat="1" ht="15.5" x14ac:dyDescent="0.35">
      <c r="A12" s="103">
        <v>46083</v>
      </c>
      <c r="B12" s="79">
        <v>0.91874999999999996</v>
      </c>
      <c r="C12" s="79">
        <v>0.2326388888888889</v>
      </c>
      <c r="D12" s="111">
        <f t="shared" si="0"/>
        <v>0.31388888888888888</v>
      </c>
      <c r="E12" s="322">
        <f t="shared" si="2"/>
        <v>2340432</v>
      </c>
      <c r="F12" s="319">
        <v>2341285</v>
      </c>
      <c r="G12" s="328">
        <v>8</v>
      </c>
      <c r="H12" s="112"/>
      <c r="I12" s="112"/>
      <c r="J12" s="112"/>
      <c r="K12" s="112"/>
      <c r="L12" s="231"/>
      <c r="M12" s="112">
        <v>126</v>
      </c>
      <c r="N12" s="96">
        <f t="shared" si="4"/>
        <v>3150</v>
      </c>
      <c r="O12" s="96">
        <f t="shared" si="3"/>
        <v>393.75</v>
      </c>
      <c r="P12" s="149" t="s">
        <v>167</v>
      </c>
      <c r="Q12" s="239"/>
    </row>
    <row r="13" spans="1:18" ht="15.5" x14ac:dyDescent="0.35">
      <c r="A13" s="103">
        <v>46084</v>
      </c>
      <c r="B13" s="79">
        <v>0.25833333333333336</v>
      </c>
      <c r="C13" s="79">
        <v>0.57777777777777772</v>
      </c>
      <c r="D13" s="111">
        <f t="shared" si="0"/>
        <v>1.3194444444444444</v>
      </c>
      <c r="E13" s="322">
        <f t="shared" si="2"/>
        <v>2341285</v>
      </c>
      <c r="F13" s="318">
        <v>2342017</v>
      </c>
      <c r="G13" s="328">
        <f t="shared" si="1"/>
        <v>7.32</v>
      </c>
      <c r="H13" s="112"/>
      <c r="I13" s="112"/>
      <c r="J13" s="112">
        <v>53</v>
      </c>
      <c r="K13" s="112"/>
      <c r="L13" s="231"/>
      <c r="M13" s="112">
        <v>84</v>
      </c>
      <c r="N13" s="96">
        <f t="shared" si="4"/>
        <v>2842</v>
      </c>
      <c r="O13" s="96">
        <f t="shared" si="3"/>
        <v>388.25136612021856</v>
      </c>
      <c r="P13" s="149" t="s">
        <v>197</v>
      </c>
      <c r="Q13" s="239"/>
    </row>
    <row r="14" spans="1:18" ht="15.5" x14ac:dyDescent="0.35">
      <c r="A14" s="103">
        <v>46084</v>
      </c>
      <c r="B14" s="79">
        <v>0.59375</v>
      </c>
      <c r="C14" s="79">
        <v>0.73750000000000004</v>
      </c>
      <c r="D14" s="111">
        <f t="shared" si="0"/>
        <v>1.14375</v>
      </c>
      <c r="E14" s="322">
        <f t="shared" si="2"/>
        <v>2342017</v>
      </c>
      <c r="F14" s="318">
        <v>2342401</v>
      </c>
      <c r="G14" s="328">
        <v>8</v>
      </c>
      <c r="H14" s="112"/>
      <c r="I14" s="112"/>
      <c r="J14" s="112"/>
      <c r="K14" s="112"/>
      <c r="L14" s="231"/>
      <c r="M14" s="112">
        <v>54</v>
      </c>
      <c r="N14" s="96">
        <f t="shared" si="4"/>
        <v>1350</v>
      </c>
      <c r="O14" s="96">
        <f t="shared" si="3"/>
        <v>168.75</v>
      </c>
      <c r="P14" s="149" t="s">
        <v>201</v>
      </c>
      <c r="Q14" s="239"/>
    </row>
    <row r="15" spans="1:18" ht="15.5" x14ac:dyDescent="0.35">
      <c r="A15" s="103">
        <v>46084</v>
      </c>
      <c r="B15" s="79">
        <v>0.76111111111111107</v>
      </c>
      <c r="C15" s="79">
        <v>0.90277777777777779</v>
      </c>
      <c r="D15" s="111">
        <f t="shared" si="0"/>
        <v>1.1416666666666666</v>
      </c>
      <c r="E15" s="322">
        <f t="shared" si="2"/>
        <v>2342401</v>
      </c>
      <c r="F15" s="318">
        <v>2342794</v>
      </c>
      <c r="G15" s="328">
        <v>8</v>
      </c>
      <c r="H15" s="112"/>
      <c r="I15" s="112"/>
      <c r="J15" s="112"/>
      <c r="K15" s="112"/>
      <c r="L15" s="231"/>
      <c r="M15" s="112">
        <v>58</v>
      </c>
      <c r="N15" s="96">
        <f t="shared" si="4"/>
        <v>1450</v>
      </c>
      <c r="O15" s="96">
        <f t="shared" si="3"/>
        <v>181.25</v>
      </c>
      <c r="P15" s="149" t="s">
        <v>168</v>
      </c>
      <c r="Q15" s="239"/>
    </row>
    <row r="16" spans="1:18" ht="15.5" x14ac:dyDescent="0.35">
      <c r="A16" s="103">
        <v>46084</v>
      </c>
      <c r="B16" s="79">
        <v>0.92708333333333337</v>
      </c>
      <c r="C16" s="79">
        <v>0.2361111111111111</v>
      </c>
      <c r="D16" s="111">
        <f t="shared" si="0"/>
        <v>0.30902777777777779</v>
      </c>
      <c r="E16" s="322">
        <f t="shared" si="2"/>
        <v>2342794</v>
      </c>
      <c r="F16" s="318">
        <v>2343602</v>
      </c>
      <c r="G16" s="328">
        <f t="shared" si="1"/>
        <v>8.08</v>
      </c>
      <c r="H16" s="112"/>
      <c r="I16" s="112"/>
      <c r="J16" s="112"/>
      <c r="K16" s="112"/>
      <c r="L16" s="231">
        <v>50</v>
      </c>
      <c r="M16" s="112">
        <f>71+28</f>
        <v>99</v>
      </c>
      <c r="N16" s="96">
        <f t="shared" si="4"/>
        <v>3225</v>
      </c>
      <c r="O16" s="96">
        <f t="shared" si="3"/>
        <v>399.13366336633663</v>
      </c>
      <c r="P16" s="149" t="s">
        <v>167</v>
      </c>
      <c r="Q16" s="239"/>
    </row>
    <row r="17" spans="1:223" ht="15.5" x14ac:dyDescent="0.35">
      <c r="A17" s="103">
        <v>46085</v>
      </c>
      <c r="B17" s="79">
        <v>0.27708333333333335</v>
      </c>
      <c r="C17" s="79">
        <v>0.57361111111111107</v>
      </c>
      <c r="D17" s="111">
        <f t="shared" si="0"/>
        <v>1.2965277777777777</v>
      </c>
      <c r="E17" s="322">
        <f t="shared" si="2"/>
        <v>2343602</v>
      </c>
      <c r="F17" s="318">
        <v>2344417</v>
      </c>
      <c r="G17" s="328">
        <f t="shared" si="1"/>
        <v>8.15</v>
      </c>
      <c r="H17" s="112"/>
      <c r="I17" s="112"/>
      <c r="J17" s="112"/>
      <c r="K17" s="112"/>
      <c r="L17" s="112"/>
      <c r="M17" s="112">
        <v>119</v>
      </c>
      <c r="N17" s="96">
        <f t="shared" si="4"/>
        <v>2975</v>
      </c>
      <c r="O17" s="96">
        <f t="shared" si="3"/>
        <v>365.03067484662574</v>
      </c>
      <c r="P17" s="149" t="s">
        <v>167</v>
      </c>
      <c r="Q17" s="239"/>
    </row>
    <row r="18" spans="1:223" ht="15.5" x14ac:dyDescent="0.35">
      <c r="A18" s="103">
        <v>46085</v>
      </c>
      <c r="B18" s="79">
        <v>0.58333333333333337</v>
      </c>
      <c r="C18" s="79">
        <v>0.74305555555555558</v>
      </c>
      <c r="D18" s="111">
        <f t="shared" si="0"/>
        <v>1.1597222222222223</v>
      </c>
      <c r="E18" s="322">
        <f t="shared" si="2"/>
        <v>2344417</v>
      </c>
      <c r="F18" s="318">
        <v>2344836</v>
      </c>
      <c r="G18" s="328">
        <f t="shared" si="1"/>
        <v>4.1900000000000004</v>
      </c>
      <c r="H18" s="112"/>
      <c r="I18" s="112"/>
      <c r="J18" s="112"/>
      <c r="K18" s="112"/>
      <c r="L18" s="231"/>
      <c r="M18" s="112">
        <v>60</v>
      </c>
      <c r="N18" s="96">
        <f t="shared" si="4"/>
        <v>1500</v>
      </c>
      <c r="O18" s="96">
        <f t="shared" si="3"/>
        <v>357.99522673031021</v>
      </c>
      <c r="P18" s="149" t="s">
        <v>201</v>
      </c>
      <c r="Q18" s="239"/>
    </row>
    <row r="19" spans="1:223" ht="15.5" x14ac:dyDescent="0.35">
      <c r="A19" s="103">
        <v>46085</v>
      </c>
      <c r="B19" s="79">
        <v>0.7631944444444444</v>
      </c>
      <c r="C19" s="79">
        <v>0.90972222222222221</v>
      </c>
      <c r="D19" s="111">
        <f t="shared" si="0"/>
        <v>1.146527777777778</v>
      </c>
      <c r="E19" s="322">
        <f t="shared" si="2"/>
        <v>2344836</v>
      </c>
      <c r="F19" s="318">
        <v>2345202</v>
      </c>
      <c r="G19" s="328">
        <f t="shared" si="1"/>
        <v>3.66</v>
      </c>
      <c r="H19" s="112"/>
      <c r="I19" s="112"/>
      <c r="J19" s="112"/>
      <c r="K19" s="112"/>
      <c r="L19" s="231"/>
      <c r="M19" s="112">
        <v>55</v>
      </c>
      <c r="N19" s="96">
        <f t="shared" si="4"/>
        <v>1375</v>
      </c>
      <c r="O19" s="96">
        <f t="shared" si="3"/>
        <v>375.68306010928961</v>
      </c>
      <c r="P19" s="149" t="s">
        <v>168</v>
      </c>
      <c r="Q19" s="239"/>
    </row>
    <row r="20" spans="1:223" ht="15.5" x14ac:dyDescent="0.35">
      <c r="A20" s="103">
        <v>46085</v>
      </c>
      <c r="B20" s="79">
        <v>0.95486111111111116</v>
      </c>
      <c r="C20" s="79">
        <v>0.24097222222222223</v>
      </c>
      <c r="D20" s="111">
        <f t="shared" si="0"/>
        <v>0.28611111111111098</v>
      </c>
      <c r="E20" s="322">
        <f t="shared" si="2"/>
        <v>2345202</v>
      </c>
      <c r="F20" s="318">
        <v>2345938</v>
      </c>
      <c r="G20" s="328">
        <f t="shared" si="1"/>
        <v>7.36</v>
      </c>
      <c r="H20" s="112"/>
      <c r="I20" s="112"/>
      <c r="J20" s="112"/>
      <c r="K20" s="112"/>
      <c r="L20" s="231"/>
      <c r="M20" s="112">
        <f>91+27</f>
        <v>118</v>
      </c>
      <c r="N20" s="96">
        <f>+(($H$6*H20)+($J$6*J20)+($K$6*K20)+($L$6*L20)+($M$6*M20)+(I20*3))</f>
        <v>2950</v>
      </c>
      <c r="O20" s="96">
        <f t="shared" si="3"/>
        <v>400.81521739130432</v>
      </c>
      <c r="P20" s="149" t="s">
        <v>167</v>
      </c>
      <c r="Q20" s="239"/>
    </row>
    <row r="21" spans="1:223" ht="15.5" x14ac:dyDescent="0.35">
      <c r="A21" s="103">
        <v>46086</v>
      </c>
      <c r="B21" s="79">
        <v>0.2590277777777778</v>
      </c>
      <c r="C21" s="79">
        <v>0.57638888888888884</v>
      </c>
      <c r="D21" s="111">
        <f t="shared" si="0"/>
        <v>1.317361111111111</v>
      </c>
      <c r="E21" s="322">
        <f t="shared" si="2"/>
        <v>2345938</v>
      </c>
      <c r="F21" s="318">
        <v>2346222</v>
      </c>
      <c r="G21" s="328">
        <f t="shared" si="1"/>
        <v>2.84</v>
      </c>
      <c r="H21" s="112"/>
      <c r="I21" s="112"/>
      <c r="J21" s="112">
        <v>50</v>
      </c>
      <c r="K21" s="112"/>
      <c r="L21" s="231"/>
      <c r="M21" s="112">
        <v>96</v>
      </c>
      <c r="N21" s="96">
        <f t="shared" si="4"/>
        <v>3100</v>
      </c>
      <c r="O21" s="96">
        <f t="shared" si="3"/>
        <v>1091.549295774648</v>
      </c>
      <c r="P21" s="149" t="s">
        <v>186</v>
      </c>
      <c r="Q21" s="239"/>
    </row>
    <row r="22" spans="1:223" ht="15.5" x14ac:dyDescent="0.35">
      <c r="A22" s="103">
        <v>46086</v>
      </c>
      <c r="B22" s="79">
        <v>0.59375</v>
      </c>
      <c r="C22" s="79">
        <v>0.73611111111111116</v>
      </c>
      <c r="D22" s="111">
        <f t="shared" si="0"/>
        <v>1.1423611111111112</v>
      </c>
      <c r="E22" s="322">
        <v>2346714</v>
      </c>
      <c r="F22" s="318">
        <v>2347119</v>
      </c>
      <c r="G22" s="328">
        <f t="shared" si="1"/>
        <v>4.05</v>
      </c>
      <c r="H22" s="112"/>
      <c r="I22" s="112"/>
      <c r="J22" s="112"/>
      <c r="K22" s="112"/>
      <c r="L22" s="231"/>
      <c r="M22" s="112">
        <v>59</v>
      </c>
      <c r="N22" s="96">
        <f t="shared" si="4"/>
        <v>1475</v>
      </c>
      <c r="O22" s="96">
        <f t="shared" si="3"/>
        <v>364.19753086419757</v>
      </c>
      <c r="P22" s="149" t="s">
        <v>201</v>
      </c>
      <c r="Q22" s="239"/>
    </row>
    <row r="23" spans="1:223" ht="15.5" x14ac:dyDescent="0.35">
      <c r="A23" s="103">
        <v>46086</v>
      </c>
      <c r="B23" s="79">
        <v>0.75347222222222221</v>
      </c>
      <c r="C23" s="79">
        <v>0.90138888888888891</v>
      </c>
      <c r="D23" s="111">
        <f t="shared" si="0"/>
        <v>1.1479166666666667</v>
      </c>
      <c r="E23" s="322">
        <f t="shared" si="2"/>
        <v>2347119</v>
      </c>
      <c r="F23" s="318">
        <v>2347495</v>
      </c>
      <c r="G23" s="328">
        <f t="shared" si="1"/>
        <v>3.76</v>
      </c>
      <c r="H23" s="109"/>
      <c r="I23" s="109">
        <v>200</v>
      </c>
      <c r="J23" s="112"/>
      <c r="K23" s="112"/>
      <c r="L23" s="112"/>
      <c r="M23" s="112">
        <v>33</v>
      </c>
      <c r="N23" s="96">
        <f t="shared" si="4"/>
        <v>1425</v>
      </c>
      <c r="O23" s="96">
        <f t="shared" si="3"/>
        <v>378.98936170212767</v>
      </c>
      <c r="P23" s="149" t="s">
        <v>188</v>
      </c>
      <c r="Q23" s="239"/>
    </row>
    <row r="24" spans="1:223" ht="15.5" x14ac:dyDescent="0.35">
      <c r="A24" s="103">
        <v>46086</v>
      </c>
      <c r="B24" s="79">
        <v>0.92708333333333337</v>
      </c>
      <c r="C24" s="79">
        <v>0.24166666666666667</v>
      </c>
      <c r="D24" s="111">
        <f t="shared" si="0"/>
        <v>0.31458333333333333</v>
      </c>
      <c r="E24" s="322">
        <f t="shared" si="2"/>
        <v>2347495</v>
      </c>
      <c r="F24" s="318">
        <v>2348320</v>
      </c>
      <c r="G24" s="328">
        <f t="shared" si="1"/>
        <v>8.25</v>
      </c>
      <c r="H24" s="112"/>
      <c r="I24" s="112">
        <v>198</v>
      </c>
      <c r="J24" s="112"/>
      <c r="K24" s="112"/>
      <c r="L24" s="231"/>
      <c r="M24" s="112">
        <v>104</v>
      </c>
      <c r="N24" s="96">
        <f t="shared" si="4"/>
        <v>3194</v>
      </c>
      <c r="O24" s="96">
        <f t="shared" si="3"/>
        <v>387.15151515151513</v>
      </c>
      <c r="P24" s="149" t="s">
        <v>167</v>
      </c>
      <c r="Q24" s="239"/>
    </row>
    <row r="25" spans="1:223" ht="15.5" x14ac:dyDescent="0.35">
      <c r="A25" s="103">
        <v>46087</v>
      </c>
      <c r="B25" s="79">
        <v>0.2590277777777778</v>
      </c>
      <c r="C25" s="79">
        <v>0.56458333333333333</v>
      </c>
      <c r="D25" s="111">
        <f t="shared" si="0"/>
        <v>1.3055555555555554</v>
      </c>
      <c r="E25" s="322">
        <f t="shared" si="2"/>
        <v>2348320</v>
      </c>
      <c r="F25" s="318">
        <v>2349123</v>
      </c>
      <c r="G25" s="328">
        <f t="shared" si="1"/>
        <v>8.0299999999999994</v>
      </c>
      <c r="H25" s="109"/>
      <c r="I25" s="109"/>
      <c r="J25" s="112"/>
      <c r="K25" s="112"/>
      <c r="L25" s="112">
        <v>92</v>
      </c>
      <c r="M25" s="112">
        <f>28+35</f>
        <v>63</v>
      </c>
      <c r="N25" s="96">
        <f t="shared" si="4"/>
        <v>2955</v>
      </c>
      <c r="O25" s="96">
        <f t="shared" si="3"/>
        <v>367.99501867995019</v>
      </c>
      <c r="P25" s="149" t="s">
        <v>186</v>
      </c>
      <c r="Q25" s="239"/>
    </row>
    <row r="26" spans="1:223" ht="15.5" x14ac:dyDescent="0.35">
      <c r="A26" s="103">
        <v>46087</v>
      </c>
      <c r="B26" s="79">
        <v>0.58611111111111114</v>
      </c>
      <c r="C26" s="79">
        <v>0.74722222222222223</v>
      </c>
      <c r="D26" s="111">
        <f t="shared" si="0"/>
        <v>1.161111111111111</v>
      </c>
      <c r="E26" s="322">
        <f t="shared" si="2"/>
        <v>2349123</v>
      </c>
      <c r="F26" s="318">
        <v>2349530</v>
      </c>
      <c r="G26" s="328">
        <f t="shared" si="1"/>
        <v>4.07</v>
      </c>
      <c r="H26" s="112"/>
      <c r="I26" s="112"/>
      <c r="J26" s="112"/>
      <c r="K26" s="112"/>
      <c r="L26" s="112">
        <v>118</v>
      </c>
      <c r="M26" s="112"/>
      <c r="N26" s="96">
        <f t="shared" si="4"/>
        <v>1770</v>
      </c>
      <c r="O26" s="96">
        <f t="shared" si="3"/>
        <v>434.88943488943488</v>
      </c>
      <c r="P26" s="149" t="s">
        <v>201</v>
      </c>
      <c r="Q26" s="239"/>
    </row>
    <row r="27" spans="1:223" ht="15.5" x14ac:dyDescent="0.35">
      <c r="A27" s="103">
        <v>46087</v>
      </c>
      <c r="B27" s="79">
        <v>0.76597222222222228</v>
      </c>
      <c r="C27" s="79">
        <v>0.90277777777777779</v>
      </c>
      <c r="D27" s="111">
        <f t="shared" si="0"/>
        <v>1.1368055555555554</v>
      </c>
      <c r="E27" s="322">
        <f t="shared" si="2"/>
        <v>2349530</v>
      </c>
      <c r="F27" s="318">
        <v>2349895</v>
      </c>
      <c r="G27" s="328">
        <v>3</v>
      </c>
      <c r="H27" s="112"/>
      <c r="I27" s="112"/>
      <c r="J27" s="112">
        <v>50</v>
      </c>
      <c r="K27" s="112"/>
      <c r="L27" s="231"/>
      <c r="M27" s="112">
        <v>32</v>
      </c>
      <c r="N27" s="96">
        <f>+(($H$6*H27)+($J$6*J27)+($K$6*K27)+($L$6*L27)+($M$6*M27)+(I27*3))</f>
        <v>1500</v>
      </c>
      <c r="O27" s="96">
        <f>N27/G27</f>
        <v>500</v>
      </c>
      <c r="P27" s="149" t="s">
        <v>201</v>
      </c>
      <c r="Q27" s="239"/>
    </row>
    <row r="28" spans="1:223" s="228" customFormat="1" ht="15.5" x14ac:dyDescent="0.35">
      <c r="A28" s="103">
        <v>46087</v>
      </c>
      <c r="B28" s="79">
        <v>0.94097222222222221</v>
      </c>
      <c r="C28" s="79">
        <v>0.2326388888888889</v>
      </c>
      <c r="D28" s="111">
        <f t="shared" si="0"/>
        <v>0.29166666666666663</v>
      </c>
      <c r="E28" s="322">
        <f t="shared" si="2"/>
        <v>2349895</v>
      </c>
      <c r="F28" s="318">
        <v>2350694</v>
      </c>
      <c r="G28" s="328">
        <f t="shared" si="1"/>
        <v>7.99</v>
      </c>
      <c r="H28" s="112"/>
      <c r="I28" s="112"/>
      <c r="J28" s="112"/>
      <c r="K28" s="112"/>
      <c r="L28" s="231">
        <v>95</v>
      </c>
      <c r="M28" s="112">
        <v>70</v>
      </c>
      <c r="N28" s="96">
        <f t="shared" si="4"/>
        <v>3175</v>
      </c>
      <c r="O28" s="96">
        <f t="shared" si="3"/>
        <v>397.37171464330413</v>
      </c>
      <c r="P28" s="149" t="s">
        <v>167</v>
      </c>
      <c r="Q28" s="239"/>
    </row>
    <row r="29" spans="1:223" ht="15.5" x14ac:dyDescent="0.35">
      <c r="A29" s="103">
        <v>46088</v>
      </c>
      <c r="B29" s="79">
        <v>0.25</v>
      </c>
      <c r="C29" s="79">
        <v>0.57430555555555551</v>
      </c>
      <c r="D29" s="111">
        <f t="shared" si="0"/>
        <v>1.3243055555555556</v>
      </c>
      <c r="E29" s="322">
        <f t="shared" si="2"/>
        <v>2350694</v>
      </c>
      <c r="F29" s="318">
        <v>2351285</v>
      </c>
      <c r="G29" s="328">
        <f t="shared" si="1"/>
        <v>5.91</v>
      </c>
      <c r="H29" s="112"/>
      <c r="I29" s="112"/>
      <c r="J29" s="112"/>
      <c r="K29" s="112">
        <v>20</v>
      </c>
      <c r="L29" s="112">
        <v>76</v>
      </c>
      <c r="M29" s="112">
        <v>30</v>
      </c>
      <c r="N29" s="96">
        <f>+(($H$6*H29)+($J$6*J29)+($K$6*K29)+($L$6*L29)+(13*M29)+(I29*3))</f>
        <v>1670</v>
      </c>
      <c r="O29" s="96">
        <f t="shared" si="3"/>
        <v>282.57191201353635</v>
      </c>
      <c r="P29" s="149" t="s">
        <v>201</v>
      </c>
      <c r="Q29" s="239" t="s">
        <v>206</v>
      </c>
    </row>
    <row r="30" spans="1:223" s="247" customFormat="1" ht="15.5" x14ac:dyDescent="0.35">
      <c r="A30" s="103">
        <v>46088</v>
      </c>
      <c r="B30" s="79">
        <v>0.59375</v>
      </c>
      <c r="C30" s="79">
        <v>0.73958333333333337</v>
      </c>
      <c r="D30" s="111">
        <f t="shared" si="0"/>
        <v>1.1458333333333335</v>
      </c>
      <c r="E30" s="322">
        <f t="shared" si="2"/>
        <v>2351285</v>
      </c>
      <c r="F30" s="318">
        <v>2351684</v>
      </c>
      <c r="G30" s="328">
        <f t="shared" si="1"/>
        <v>3.99</v>
      </c>
      <c r="H30" s="112"/>
      <c r="I30" s="112"/>
      <c r="J30" s="112"/>
      <c r="K30" s="112">
        <v>126</v>
      </c>
      <c r="L30" s="231"/>
      <c r="M30" s="112">
        <v>20</v>
      </c>
      <c r="N30" s="96">
        <f t="shared" si="4"/>
        <v>1382</v>
      </c>
      <c r="O30" s="96">
        <f t="shared" si="3"/>
        <v>346.36591478696738</v>
      </c>
      <c r="P30" s="149" t="s">
        <v>186</v>
      </c>
      <c r="Q30" s="239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8"/>
      <c r="BK30" s="228"/>
      <c r="BL30" s="228"/>
      <c r="BM30" s="228"/>
      <c r="BN30" s="228"/>
      <c r="BO30" s="228"/>
      <c r="BP30" s="228"/>
      <c r="BQ30" s="228"/>
      <c r="BR30" s="228"/>
      <c r="BS30" s="228"/>
      <c r="BT30" s="228"/>
      <c r="BU30" s="228"/>
      <c r="BV30" s="228"/>
      <c r="BW30" s="228"/>
      <c r="BX30" s="228"/>
      <c r="BY30" s="228"/>
      <c r="BZ30" s="228"/>
      <c r="CA30" s="228"/>
      <c r="CB30" s="228"/>
      <c r="CC30" s="228"/>
      <c r="CD30" s="228"/>
      <c r="CE30" s="228"/>
      <c r="CF30" s="228"/>
      <c r="CG30" s="228"/>
      <c r="CH30" s="228"/>
      <c r="CI30" s="228"/>
      <c r="CJ30" s="228"/>
      <c r="CK30" s="228"/>
      <c r="CL30" s="228"/>
      <c r="CM30" s="228"/>
      <c r="CN30" s="228"/>
      <c r="CO30" s="228"/>
      <c r="CP30" s="228"/>
      <c r="CQ30" s="228"/>
      <c r="CR30" s="228"/>
      <c r="CS30" s="228"/>
      <c r="CT30" s="228"/>
      <c r="CU30" s="228"/>
      <c r="CV30" s="228"/>
      <c r="CW30" s="228"/>
      <c r="CX30" s="228"/>
      <c r="CY30" s="228"/>
      <c r="CZ30" s="228"/>
      <c r="DA30" s="228"/>
      <c r="DB30" s="228"/>
      <c r="DC30" s="228"/>
      <c r="DD30" s="228"/>
      <c r="DE30" s="228"/>
      <c r="DF30" s="228"/>
      <c r="DG30" s="228"/>
      <c r="DH30" s="228"/>
      <c r="DI30" s="228"/>
      <c r="DJ30" s="228"/>
      <c r="DK30" s="228"/>
      <c r="DL30" s="228"/>
      <c r="DM30" s="228"/>
      <c r="DN30" s="228"/>
      <c r="DO30" s="228"/>
      <c r="DP30" s="228"/>
      <c r="DQ30" s="228"/>
      <c r="DR30" s="228"/>
      <c r="DS30" s="228"/>
      <c r="DT30" s="228"/>
      <c r="DU30" s="228"/>
      <c r="DV30" s="228"/>
      <c r="DW30" s="228"/>
      <c r="DX30" s="228"/>
      <c r="DY30" s="228"/>
      <c r="DZ30" s="228"/>
      <c r="EA30" s="228"/>
      <c r="EB30" s="228"/>
      <c r="EC30" s="228"/>
      <c r="ED30" s="228"/>
      <c r="EE30" s="228"/>
      <c r="EF30" s="228"/>
      <c r="EG30" s="228"/>
      <c r="EH30" s="228"/>
      <c r="EI30" s="228"/>
      <c r="EJ30" s="228"/>
      <c r="EK30" s="228"/>
      <c r="EL30" s="228"/>
      <c r="EM30" s="228"/>
      <c r="EN30" s="228"/>
      <c r="EO30" s="228"/>
      <c r="EP30" s="228"/>
      <c r="EQ30" s="228"/>
      <c r="ER30" s="228"/>
      <c r="ES30" s="228"/>
      <c r="ET30" s="228"/>
      <c r="EU30" s="228"/>
      <c r="EV30" s="228"/>
      <c r="EW30" s="228"/>
      <c r="EX30" s="228"/>
      <c r="EY30" s="228"/>
      <c r="EZ30" s="228"/>
      <c r="FA30" s="228"/>
      <c r="FB30" s="228"/>
      <c r="FC30" s="228"/>
      <c r="FD30" s="228"/>
      <c r="FE30" s="228"/>
      <c r="FF30" s="228"/>
      <c r="FG30" s="228"/>
      <c r="FH30" s="228"/>
      <c r="FI30" s="228"/>
      <c r="FJ30" s="228"/>
      <c r="FK30" s="228"/>
      <c r="FL30" s="228"/>
      <c r="FM30" s="228"/>
      <c r="FN30" s="228"/>
      <c r="FO30" s="228"/>
      <c r="FP30" s="228"/>
      <c r="FQ30" s="228"/>
      <c r="FR30" s="228"/>
      <c r="FS30" s="228"/>
      <c r="FT30" s="228"/>
      <c r="FU30" s="228"/>
      <c r="FV30" s="228"/>
      <c r="FW30" s="228"/>
      <c r="FX30" s="228"/>
      <c r="FY30" s="228"/>
      <c r="FZ30" s="228"/>
      <c r="GA30" s="228"/>
      <c r="GB30" s="228"/>
      <c r="GC30" s="228"/>
      <c r="GD30" s="228"/>
      <c r="GE30" s="228"/>
      <c r="GF30" s="228"/>
      <c r="GG30" s="228"/>
      <c r="GH30" s="228"/>
      <c r="GI30" s="228"/>
      <c r="GJ30" s="228"/>
      <c r="GK30" s="228"/>
      <c r="GL30" s="228"/>
      <c r="GM30" s="228"/>
      <c r="GN30" s="228"/>
      <c r="GO30" s="228"/>
      <c r="GP30" s="228"/>
      <c r="GQ30" s="228"/>
      <c r="GR30" s="228"/>
      <c r="GS30" s="228"/>
      <c r="GT30" s="228"/>
      <c r="GU30" s="228"/>
      <c r="GV30" s="228"/>
      <c r="GW30" s="228"/>
      <c r="GX30" s="228"/>
      <c r="GY30" s="228"/>
      <c r="GZ30" s="228"/>
      <c r="HA30" s="228"/>
      <c r="HB30" s="228"/>
      <c r="HC30" s="228"/>
      <c r="HD30" s="228"/>
      <c r="HE30" s="228"/>
      <c r="HF30" s="228"/>
      <c r="HG30" s="228"/>
      <c r="HH30" s="228"/>
      <c r="HI30" s="228"/>
      <c r="HJ30" s="228"/>
      <c r="HK30" s="228"/>
      <c r="HL30" s="228"/>
      <c r="HM30" s="228"/>
      <c r="HN30" s="228"/>
      <c r="HO30" s="228"/>
    </row>
    <row r="31" spans="1:223" ht="15.5" x14ac:dyDescent="0.35">
      <c r="A31" s="103">
        <v>46088</v>
      </c>
      <c r="B31" s="79">
        <v>0.75486111111111109</v>
      </c>
      <c r="C31" s="79">
        <v>0.90277777777777779</v>
      </c>
      <c r="D31" s="111">
        <f t="shared" si="0"/>
        <v>1.1479166666666667</v>
      </c>
      <c r="E31" s="322">
        <f t="shared" si="2"/>
        <v>2351684</v>
      </c>
      <c r="F31" s="318">
        <v>2352045</v>
      </c>
      <c r="G31" s="328">
        <f t="shared" si="1"/>
        <v>3.61</v>
      </c>
      <c r="H31" s="112"/>
      <c r="I31" s="112"/>
      <c r="J31" s="112"/>
      <c r="K31" s="112"/>
      <c r="L31" s="231"/>
      <c r="M31" s="112">
        <v>67</v>
      </c>
      <c r="N31" s="96">
        <f t="shared" si="4"/>
        <v>1675</v>
      </c>
      <c r="O31" s="96">
        <f t="shared" si="3"/>
        <v>463.98891966759004</v>
      </c>
      <c r="P31" s="149" t="s">
        <v>188</v>
      </c>
      <c r="Q31" s="239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228"/>
      <c r="BO31" s="228"/>
      <c r="BP31" s="228"/>
      <c r="BQ31" s="228"/>
      <c r="BR31" s="228"/>
      <c r="BS31" s="228"/>
      <c r="BT31" s="228"/>
      <c r="BU31" s="228"/>
      <c r="BV31" s="228"/>
      <c r="BW31" s="228"/>
      <c r="BX31" s="228"/>
      <c r="BY31" s="228"/>
      <c r="BZ31" s="228"/>
      <c r="CA31" s="228"/>
      <c r="CB31" s="228"/>
      <c r="CC31" s="228"/>
      <c r="CD31" s="228"/>
      <c r="CE31" s="228"/>
      <c r="CF31" s="228"/>
      <c r="CG31" s="228"/>
      <c r="CH31" s="228"/>
      <c r="CI31" s="228"/>
      <c r="CJ31" s="228"/>
      <c r="CK31" s="228"/>
      <c r="CL31" s="228"/>
      <c r="CM31" s="228"/>
      <c r="CN31" s="228"/>
      <c r="CO31" s="228"/>
      <c r="CP31" s="228"/>
      <c r="CQ31" s="228"/>
      <c r="CR31" s="228"/>
      <c r="CS31" s="228"/>
      <c r="CT31" s="228"/>
      <c r="CU31" s="228"/>
      <c r="CV31" s="228"/>
      <c r="CW31" s="228"/>
      <c r="CX31" s="228"/>
      <c r="CY31" s="228"/>
      <c r="CZ31" s="228"/>
      <c r="DA31" s="228"/>
      <c r="DB31" s="228"/>
      <c r="DC31" s="228"/>
      <c r="DD31" s="228"/>
      <c r="DE31" s="228"/>
      <c r="DF31" s="228"/>
      <c r="DG31" s="228"/>
      <c r="DH31" s="228"/>
      <c r="DI31" s="228"/>
      <c r="DJ31" s="228"/>
      <c r="DK31" s="228"/>
      <c r="DL31" s="228"/>
      <c r="DM31" s="228"/>
      <c r="DN31" s="228"/>
      <c r="DO31" s="228"/>
      <c r="DP31" s="228"/>
      <c r="DQ31" s="228"/>
      <c r="DR31" s="228"/>
      <c r="DS31" s="228"/>
      <c r="DT31" s="228"/>
      <c r="DU31" s="228"/>
      <c r="DV31" s="228"/>
      <c r="DW31" s="228"/>
      <c r="DX31" s="228"/>
      <c r="DY31" s="228"/>
      <c r="DZ31" s="228"/>
      <c r="EA31" s="228"/>
      <c r="EB31" s="228"/>
      <c r="EC31" s="228"/>
      <c r="ED31" s="228"/>
      <c r="EE31" s="228"/>
      <c r="EF31" s="228"/>
      <c r="EG31" s="228"/>
      <c r="EH31" s="228"/>
      <c r="EI31" s="228"/>
      <c r="EJ31" s="228"/>
      <c r="EK31" s="228"/>
      <c r="EL31" s="228"/>
      <c r="EM31" s="228"/>
      <c r="EN31" s="228"/>
      <c r="EO31" s="228"/>
      <c r="EP31" s="228"/>
      <c r="EQ31" s="228"/>
      <c r="ER31" s="228"/>
      <c r="ES31" s="228"/>
      <c r="ET31" s="228"/>
      <c r="EU31" s="228"/>
      <c r="EV31" s="228"/>
      <c r="EW31" s="228"/>
      <c r="EX31" s="228"/>
      <c r="EY31" s="228"/>
      <c r="EZ31" s="228"/>
      <c r="FA31" s="228"/>
      <c r="FB31" s="228"/>
      <c r="FC31" s="228"/>
      <c r="FD31" s="228"/>
      <c r="FE31" s="228"/>
      <c r="FF31" s="228"/>
      <c r="FG31" s="228"/>
      <c r="FH31" s="228"/>
      <c r="FI31" s="228"/>
      <c r="FJ31" s="228"/>
      <c r="FK31" s="228"/>
      <c r="FL31" s="228"/>
      <c r="FM31" s="228"/>
      <c r="FN31" s="228"/>
      <c r="FO31" s="228"/>
      <c r="FP31" s="228"/>
      <c r="FQ31" s="228"/>
      <c r="FR31" s="228"/>
      <c r="FS31" s="228"/>
      <c r="FT31" s="228"/>
      <c r="FU31" s="228"/>
      <c r="FV31" s="228"/>
      <c r="FW31" s="228"/>
      <c r="FX31" s="228"/>
      <c r="FY31" s="228"/>
      <c r="FZ31" s="228"/>
      <c r="GA31" s="228"/>
      <c r="GB31" s="228"/>
      <c r="GC31" s="228"/>
      <c r="GD31" s="228"/>
      <c r="GE31" s="228"/>
      <c r="GF31" s="228"/>
      <c r="GG31" s="228"/>
      <c r="GH31" s="228"/>
      <c r="GI31" s="228"/>
      <c r="GJ31" s="228"/>
      <c r="GK31" s="228"/>
      <c r="GL31" s="228"/>
      <c r="GM31" s="228"/>
      <c r="GN31" s="228"/>
      <c r="GO31" s="228"/>
      <c r="GP31" s="228"/>
      <c r="GQ31" s="228"/>
      <c r="GR31" s="228"/>
      <c r="GS31" s="228"/>
      <c r="GT31" s="228"/>
      <c r="GU31" s="228"/>
      <c r="GV31" s="228"/>
      <c r="GW31" s="228"/>
      <c r="GX31" s="228"/>
      <c r="GY31" s="228"/>
      <c r="GZ31" s="228"/>
      <c r="HA31" s="228"/>
      <c r="HB31" s="228"/>
      <c r="HC31" s="228"/>
      <c r="HD31" s="228"/>
      <c r="HE31" s="228"/>
      <c r="HF31" s="228"/>
      <c r="HG31" s="228"/>
      <c r="HH31" s="228"/>
      <c r="HI31" s="228"/>
      <c r="HJ31" s="228"/>
      <c r="HK31" s="228"/>
      <c r="HL31" s="228"/>
      <c r="HM31" s="228"/>
      <c r="HN31" s="228"/>
      <c r="HO31" s="228"/>
    </row>
    <row r="32" spans="1:223" ht="15.5" x14ac:dyDescent="0.35">
      <c r="A32" s="103">
        <v>46088</v>
      </c>
      <c r="B32" s="79">
        <v>0.92361111111111116</v>
      </c>
      <c r="C32" s="79">
        <v>0.24374999999999999</v>
      </c>
      <c r="D32" s="111">
        <f t="shared" si="0"/>
        <v>0.32013888888888875</v>
      </c>
      <c r="E32" s="322">
        <f t="shared" si="2"/>
        <v>2352045</v>
      </c>
      <c r="F32" s="318">
        <v>2352875</v>
      </c>
      <c r="G32" s="328">
        <f t="shared" si="1"/>
        <v>8.3000000000000007</v>
      </c>
      <c r="H32" s="112"/>
      <c r="I32" s="112"/>
      <c r="J32" s="112"/>
      <c r="K32" s="112"/>
      <c r="L32" s="231"/>
      <c r="M32" s="112">
        <v>133</v>
      </c>
      <c r="N32" s="96">
        <f t="shared" si="4"/>
        <v>3325</v>
      </c>
      <c r="O32" s="96">
        <f t="shared" si="3"/>
        <v>400.60240963855421</v>
      </c>
      <c r="P32" s="149" t="s">
        <v>167</v>
      </c>
      <c r="Q32" s="239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C32" s="228"/>
      <c r="DD32" s="228"/>
      <c r="DE32" s="228"/>
      <c r="DF32" s="228"/>
      <c r="DG32" s="228"/>
      <c r="DH32" s="228"/>
      <c r="DI32" s="228"/>
      <c r="DJ32" s="228"/>
      <c r="DK32" s="228"/>
      <c r="DL32" s="228"/>
      <c r="DM32" s="228"/>
      <c r="DN32" s="228"/>
      <c r="DO32" s="228"/>
      <c r="DP32" s="228"/>
      <c r="DQ32" s="228"/>
      <c r="DR32" s="228"/>
      <c r="DS32" s="228"/>
      <c r="DT32" s="228"/>
      <c r="DU32" s="228"/>
      <c r="DV32" s="228"/>
      <c r="DW32" s="228"/>
      <c r="DX32" s="228"/>
      <c r="DY32" s="228"/>
      <c r="DZ32" s="228"/>
      <c r="EA32" s="228"/>
      <c r="EB32" s="228"/>
      <c r="EC32" s="228"/>
      <c r="ED32" s="228"/>
      <c r="EE32" s="228"/>
      <c r="EF32" s="228"/>
      <c r="EG32" s="228"/>
      <c r="EH32" s="228"/>
      <c r="EI32" s="228"/>
      <c r="EJ32" s="228"/>
      <c r="EK32" s="228"/>
      <c r="EL32" s="228"/>
      <c r="EM32" s="228"/>
      <c r="EN32" s="228"/>
      <c r="EO32" s="228"/>
      <c r="EP32" s="228"/>
      <c r="EQ32" s="228"/>
      <c r="ER32" s="228"/>
      <c r="ES32" s="228"/>
      <c r="ET32" s="228"/>
      <c r="EU32" s="228"/>
      <c r="EV32" s="228"/>
      <c r="EW32" s="228"/>
      <c r="EX32" s="228"/>
      <c r="EY32" s="228"/>
      <c r="EZ32" s="228"/>
      <c r="FA32" s="228"/>
      <c r="FB32" s="228"/>
      <c r="FC32" s="228"/>
      <c r="FD32" s="228"/>
      <c r="FE32" s="228"/>
      <c r="FF32" s="228"/>
      <c r="FG32" s="228"/>
      <c r="FH32" s="228"/>
      <c r="FI32" s="228"/>
      <c r="FJ32" s="228"/>
      <c r="FK32" s="228"/>
      <c r="FL32" s="228"/>
      <c r="FM32" s="228"/>
      <c r="FN32" s="228"/>
      <c r="FO32" s="228"/>
      <c r="FP32" s="228"/>
      <c r="FQ32" s="228"/>
      <c r="FR32" s="228"/>
      <c r="FS32" s="228"/>
      <c r="FT32" s="228"/>
      <c r="FU32" s="228"/>
      <c r="FV32" s="228"/>
      <c r="FW32" s="228"/>
      <c r="FX32" s="228"/>
      <c r="FY32" s="228"/>
      <c r="FZ32" s="228"/>
      <c r="GA32" s="228"/>
      <c r="GB32" s="228"/>
      <c r="GC32" s="228"/>
      <c r="GD32" s="228"/>
      <c r="GE32" s="228"/>
      <c r="GF32" s="228"/>
      <c r="GG32" s="228"/>
      <c r="GH32" s="228"/>
      <c r="GI32" s="228"/>
      <c r="GJ32" s="228"/>
      <c r="GK32" s="228"/>
      <c r="GL32" s="228"/>
      <c r="GM32" s="228"/>
      <c r="GN32" s="228"/>
      <c r="GO32" s="228"/>
      <c r="GP32" s="228"/>
      <c r="GQ32" s="228"/>
      <c r="GR32" s="228"/>
      <c r="GS32" s="228"/>
      <c r="GT32" s="228"/>
      <c r="GU32" s="228"/>
      <c r="GV32" s="228"/>
      <c r="GW32" s="228"/>
      <c r="GX32" s="228"/>
      <c r="GY32" s="228"/>
      <c r="GZ32" s="228"/>
      <c r="HA32" s="228"/>
      <c r="HB32" s="228"/>
      <c r="HC32" s="228"/>
      <c r="HD32" s="228"/>
      <c r="HE32" s="228"/>
      <c r="HF32" s="228"/>
      <c r="HG32" s="228"/>
      <c r="HH32" s="228"/>
      <c r="HI32" s="228"/>
      <c r="HJ32" s="228"/>
      <c r="HK32" s="228"/>
      <c r="HL32" s="228"/>
      <c r="HM32" s="228"/>
      <c r="HN32" s="228"/>
      <c r="HO32" s="228"/>
    </row>
    <row r="33" spans="1:223" ht="15.5" x14ac:dyDescent="0.35">
      <c r="A33" s="103">
        <v>46089</v>
      </c>
      <c r="B33" s="79">
        <v>0.26458333333333334</v>
      </c>
      <c r="C33" s="79">
        <v>0.67361111111111116</v>
      </c>
      <c r="D33" s="111">
        <f t="shared" si="0"/>
        <v>1.4090277777777778</v>
      </c>
      <c r="E33" s="322">
        <f t="shared" si="2"/>
        <v>2352875</v>
      </c>
      <c r="F33" s="318">
        <v>2353896</v>
      </c>
      <c r="G33" s="328">
        <f t="shared" si="1"/>
        <v>10.210000000000001</v>
      </c>
      <c r="H33" s="112"/>
      <c r="I33" s="112"/>
      <c r="J33" s="112">
        <v>50</v>
      </c>
      <c r="K33" s="112"/>
      <c r="L33" s="231"/>
      <c r="M33" s="112">
        <v>122</v>
      </c>
      <c r="N33" s="96">
        <f t="shared" si="4"/>
        <v>3750</v>
      </c>
      <c r="O33" s="96">
        <f t="shared" si="3"/>
        <v>367.28697355533785</v>
      </c>
      <c r="P33" s="149" t="s">
        <v>201</v>
      </c>
      <c r="Q33" s="239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  <c r="DY33" s="228"/>
      <c r="DZ33" s="228"/>
      <c r="EA33" s="228"/>
      <c r="EB33" s="228"/>
      <c r="EC33" s="228"/>
      <c r="ED33" s="228"/>
      <c r="EE33" s="228"/>
      <c r="EF33" s="228"/>
      <c r="EG33" s="228"/>
      <c r="EH33" s="228"/>
      <c r="EI33" s="228"/>
      <c r="EJ33" s="228"/>
      <c r="EK33" s="228"/>
      <c r="EL33" s="228"/>
      <c r="EM33" s="228"/>
      <c r="EN33" s="228"/>
      <c r="EO33" s="228"/>
      <c r="EP33" s="228"/>
      <c r="EQ33" s="228"/>
      <c r="ER33" s="228"/>
      <c r="ES33" s="228"/>
      <c r="ET33" s="228"/>
      <c r="EU33" s="228"/>
      <c r="EV33" s="228"/>
      <c r="EW33" s="228"/>
      <c r="EX33" s="228"/>
      <c r="EY33" s="228"/>
      <c r="EZ33" s="228"/>
      <c r="FA33" s="228"/>
      <c r="FB33" s="228"/>
      <c r="FC33" s="228"/>
      <c r="FD33" s="228"/>
      <c r="FE33" s="228"/>
      <c r="FF33" s="228"/>
      <c r="FG33" s="228"/>
      <c r="FH33" s="228"/>
      <c r="FI33" s="228"/>
      <c r="FJ33" s="228"/>
      <c r="FK33" s="228"/>
      <c r="FL33" s="228"/>
      <c r="FM33" s="228"/>
      <c r="FN33" s="228"/>
      <c r="FO33" s="228"/>
      <c r="FP33" s="228"/>
      <c r="FQ33" s="228"/>
      <c r="FR33" s="228"/>
      <c r="FS33" s="228"/>
      <c r="FT33" s="228"/>
      <c r="FU33" s="228"/>
      <c r="FV33" s="228"/>
      <c r="FW33" s="228"/>
      <c r="FX33" s="228"/>
      <c r="FY33" s="228"/>
      <c r="FZ33" s="228"/>
      <c r="GA33" s="228"/>
      <c r="GB33" s="228"/>
      <c r="GC33" s="228"/>
      <c r="GD33" s="228"/>
      <c r="GE33" s="228"/>
      <c r="GF33" s="228"/>
      <c r="GG33" s="228"/>
      <c r="GH33" s="228"/>
      <c r="GI33" s="228"/>
      <c r="GJ33" s="228"/>
      <c r="GK33" s="228"/>
      <c r="GL33" s="228"/>
      <c r="GM33" s="228"/>
      <c r="GN33" s="228"/>
      <c r="GO33" s="228"/>
      <c r="GP33" s="228"/>
      <c r="GQ33" s="228"/>
      <c r="GR33" s="228"/>
      <c r="GS33" s="228"/>
      <c r="GT33" s="228"/>
      <c r="GU33" s="228"/>
      <c r="GV33" s="228"/>
      <c r="GW33" s="228"/>
      <c r="GX33" s="228"/>
      <c r="GY33" s="228"/>
      <c r="GZ33" s="228"/>
      <c r="HA33" s="228"/>
      <c r="HB33" s="228"/>
      <c r="HC33" s="228"/>
      <c r="HD33" s="228"/>
      <c r="HE33" s="228"/>
      <c r="HF33" s="228"/>
      <c r="HG33" s="228"/>
      <c r="HH33" s="228"/>
      <c r="HI33" s="228"/>
      <c r="HJ33" s="228"/>
      <c r="HK33" s="228"/>
      <c r="HL33" s="228"/>
      <c r="HM33" s="228"/>
      <c r="HN33" s="228"/>
      <c r="HO33" s="228"/>
    </row>
    <row r="34" spans="1:223" ht="15.5" x14ac:dyDescent="0.35">
      <c r="A34" s="103">
        <v>46089</v>
      </c>
      <c r="B34" s="79">
        <v>4.8611111111111112E-2</v>
      </c>
      <c r="C34" s="79">
        <v>0.2361111111111111</v>
      </c>
      <c r="D34" s="111">
        <f t="shared" si="0"/>
        <v>1.1875</v>
      </c>
      <c r="E34" s="322">
        <f t="shared" si="2"/>
        <v>2353896</v>
      </c>
      <c r="F34" s="318">
        <v>2354425</v>
      </c>
      <c r="G34" s="328">
        <f t="shared" si="1"/>
        <v>5.29</v>
      </c>
      <c r="H34" s="112"/>
      <c r="I34" s="112"/>
      <c r="J34" s="112"/>
      <c r="K34" s="112"/>
      <c r="L34" s="231"/>
      <c r="M34" s="112">
        <v>83</v>
      </c>
      <c r="N34" s="96">
        <f t="shared" si="4"/>
        <v>2075</v>
      </c>
      <c r="O34" s="96">
        <f t="shared" si="3"/>
        <v>392.24952741020792</v>
      </c>
      <c r="P34" s="149" t="s">
        <v>188</v>
      </c>
      <c r="Q34" s="239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  <c r="CG34" s="228"/>
      <c r="CH34" s="228"/>
      <c r="CI34" s="228"/>
      <c r="CJ34" s="228"/>
      <c r="CK34" s="228"/>
      <c r="CL34" s="228"/>
      <c r="CM34" s="228"/>
      <c r="CN34" s="228"/>
      <c r="CO34" s="228"/>
      <c r="CP34" s="228"/>
      <c r="CQ34" s="228"/>
      <c r="CR34" s="228"/>
      <c r="CS34" s="228"/>
      <c r="CT34" s="228"/>
      <c r="CU34" s="228"/>
      <c r="CV34" s="228"/>
      <c r="CW34" s="228"/>
      <c r="CX34" s="228"/>
      <c r="CY34" s="228"/>
      <c r="CZ34" s="228"/>
      <c r="DA34" s="228"/>
      <c r="DB34" s="228"/>
      <c r="DC34" s="228"/>
      <c r="DD34" s="228"/>
      <c r="DE34" s="228"/>
      <c r="DF34" s="228"/>
      <c r="DG34" s="228"/>
      <c r="DH34" s="228"/>
      <c r="DI34" s="228"/>
      <c r="DJ34" s="228"/>
      <c r="DK34" s="228"/>
      <c r="DL34" s="228"/>
      <c r="DM34" s="228"/>
      <c r="DN34" s="228"/>
      <c r="DO34" s="228"/>
      <c r="DP34" s="228"/>
      <c r="DQ34" s="228"/>
      <c r="DR34" s="228"/>
      <c r="DS34" s="228"/>
      <c r="DT34" s="228"/>
      <c r="DU34" s="228"/>
      <c r="DV34" s="228"/>
      <c r="DW34" s="228"/>
      <c r="DX34" s="228"/>
      <c r="DY34" s="228"/>
      <c r="DZ34" s="228"/>
      <c r="EA34" s="228"/>
      <c r="EB34" s="228"/>
      <c r="EC34" s="228"/>
      <c r="ED34" s="228"/>
      <c r="EE34" s="228"/>
      <c r="EF34" s="228"/>
      <c r="EG34" s="228"/>
      <c r="EH34" s="228"/>
      <c r="EI34" s="228"/>
      <c r="EJ34" s="228"/>
      <c r="EK34" s="228"/>
      <c r="EL34" s="228"/>
      <c r="EM34" s="228"/>
      <c r="EN34" s="228"/>
      <c r="EO34" s="228"/>
      <c r="EP34" s="228"/>
      <c r="EQ34" s="228"/>
      <c r="ER34" s="228"/>
      <c r="ES34" s="228"/>
      <c r="ET34" s="228"/>
      <c r="EU34" s="228"/>
      <c r="EV34" s="228"/>
      <c r="EW34" s="228"/>
      <c r="EX34" s="228"/>
      <c r="EY34" s="228"/>
      <c r="EZ34" s="228"/>
      <c r="FA34" s="228"/>
      <c r="FB34" s="228"/>
      <c r="FC34" s="228"/>
      <c r="FD34" s="228"/>
      <c r="FE34" s="228"/>
      <c r="FF34" s="228"/>
      <c r="FG34" s="228"/>
      <c r="FH34" s="228"/>
      <c r="FI34" s="228"/>
      <c r="FJ34" s="228"/>
      <c r="FK34" s="228"/>
      <c r="FL34" s="228"/>
      <c r="FM34" s="228"/>
      <c r="FN34" s="228"/>
      <c r="FO34" s="228"/>
      <c r="FP34" s="228"/>
      <c r="FQ34" s="228"/>
      <c r="FR34" s="228"/>
      <c r="FS34" s="228"/>
      <c r="FT34" s="228"/>
      <c r="FU34" s="228"/>
      <c r="FV34" s="228"/>
      <c r="FW34" s="228"/>
      <c r="FX34" s="228"/>
      <c r="FY34" s="228"/>
      <c r="FZ34" s="228"/>
      <c r="GA34" s="228"/>
      <c r="GB34" s="228"/>
      <c r="GC34" s="228"/>
      <c r="GD34" s="228"/>
      <c r="GE34" s="228"/>
      <c r="GF34" s="228"/>
      <c r="GG34" s="228"/>
      <c r="GH34" s="228"/>
      <c r="GI34" s="228"/>
      <c r="GJ34" s="228"/>
      <c r="GK34" s="228"/>
      <c r="GL34" s="228"/>
      <c r="GM34" s="228"/>
      <c r="GN34" s="228"/>
      <c r="GO34" s="228"/>
      <c r="GP34" s="228"/>
      <c r="GQ34" s="228"/>
      <c r="GR34" s="228"/>
      <c r="GS34" s="228"/>
      <c r="GT34" s="228"/>
      <c r="GU34" s="228"/>
      <c r="GV34" s="228"/>
      <c r="GW34" s="228"/>
      <c r="GX34" s="228"/>
      <c r="GY34" s="228"/>
      <c r="GZ34" s="228"/>
      <c r="HA34" s="228"/>
      <c r="HB34" s="228"/>
      <c r="HC34" s="228"/>
      <c r="HD34" s="228"/>
      <c r="HE34" s="228"/>
      <c r="HF34" s="228"/>
      <c r="HG34" s="228"/>
      <c r="HH34" s="228"/>
      <c r="HI34" s="228"/>
      <c r="HJ34" s="228"/>
      <c r="HK34" s="228"/>
      <c r="HL34" s="228"/>
      <c r="HM34" s="228"/>
      <c r="HN34" s="228"/>
      <c r="HO34" s="228"/>
    </row>
    <row r="35" spans="1:223" ht="15.5" x14ac:dyDescent="0.35">
      <c r="A35" s="103">
        <v>46090</v>
      </c>
      <c r="B35" s="79">
        <v>0.25624999999999998</v>
      </c>
      <c r="C35" s="79">
        <v>0.57291666666666663</v>
      </c>
      <c r="D35" s="111">
        <f t="shared" ref="D35:D42" si="5">1+C35-B35</f>
        <v>1.3166666666666664</v>
      </c>
      <c r="E35" s="322">
        <f t="shared" si="2"/>
        <v>2354425</v>
      </c>
      <c r="F35" s="318">
        <v>2355193</v>
      </c>
      <c r="G35" s="328">
        <f>(F35-E35)/100</f>
        <v>7.68</v>
      </c>
      <c r="H35" s="112"/>
      <c r="I35" s="112"/>
      <c r="J35" s="112"/>
      <c r="K35" s="112"/>
      <c r="L35" s="231"/>
      <c r="M35" s="112">
        <v>116</v>
      </c>
      <c r="N35" s="96">
        <f>+(($H$6*H35)+($J$6*J35)+($K$6*K35)+($L$6*L35)+($M$6*M35)+(I35*3))</f>
        <v>2900</v>
      </c>
      <c r="O35" s="96">
        <f>N35/G35</f>
        <v>377.60416666666669</v>
      </c>
      <c r="P35" s="149" t="s">
        <v>173</v>
      </c>
      <c r="Q35" s="239" t="s">
        <v>211</v>
      </c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8"/>
      <c r="BK35" s="228"/>
      <c r="BL35" s="228"/>
      <c r="BM35" s="228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  <c r="CL35" s="228"/>
      <c r="CM35" s="228"/>
      <c r="CN35" s="228"/>
      <c r="CO35" s="228"/>
      <c r="CP35" s="228"/>
      <c r="CQ35" s="228"/>
      <c r="CR35" s="228"/>
      <c r="CS35" s="228"/>
      <c r="CT35" s="228"/>
      <c r="CU35" s="228"/>
      <c r="CV35" s="228"/>
      <c r="CW35" s="228"/>
      <c r="CX35" s="228"/>
      <c r="CY35" s="228"/>
      <c r="CZ35" s="228"/>
      <c r="DA35" s="228"/>
      <c r="DB35" s="228"/>
      <c r="DC35" s="228"/>
      <c r="DD35" s="228"/>
      <c r="DE35" s="228"/>
      <c r="DF35" s="228"/>
      <c r="DG35" s="228"/>
      <c r="DH35" s="228"/>
      <c r="DI35" s="228"/>
      <c r="DJ35" s="228"/>
      <c r="DK35" s="228"/>
      <c r="DL35" s="228"/>
      <c r="DM35" s="228"/>
      <c r="DN35" s="228"/>
      <c r="DO35" s="228"/>
      <c r="DP35" s="228"/>
      <c r="DQ35" s="228"/>
      <c r="DR35" s="228"/>
      <c r="DS35" s="228"/>
      <c r="DT35" s="228"/>
      <c r="DU35" s="228"/>
      <c r="DV35" s="228"/>
      <c r="DW35" s="228"/>
      <c r="DX35" s="228"/>
      <c r="DY35" s="228"/>
      <c r="DZ35" s="228"/>
      <c r="EA35" s="228"/>
      <c r="EB35" s="228"/>
      <c r="EC35" s="228"/>
      <c r="ED35" s="228"/>
      <c r="EE35" s="228"/>
      <c r="EF35" s="228"/>
      <c r="EG35" s="228"/>
      <c r="EH35" s="228"/>
      <c r="EI35" s="228"/>
      <c r="EJ35" s="228"/>
      <c r="EK35" s="228"/>
      <c r="EL35" s="228"/>
      <c r="EM35" s="228"/>
      <c r="EN35" s="228"/>
      <c r="EO35" s="228"/>
      <c r="EP35" s="228"/>
      <c r="EQ35" s="228"/>
      <c r="ER35" s="228"/>
      <c r="ES35" s="228"/>
      <c r="ET35" s="228"/>
      <c r="EU35" s="228"/>
      <c r="EV35" s="228"/>
      <c r="EW35" s="228"/>
      <c r="EX35" s="228"/>
      <c r="EY35" s="228"/>
      <c r="EZ35" s="228"/>
      <c r="FA35" s="228"/>
      <c r="FB35" s="228"/>
      <c r="FC35" s="228"/>
      <c r="FD35" s="228"/>
      <c r="FE35" s="228"/>
      <c r="FF35" s="228"/>
      <c r="FG35" s="228"/>
      <c r="FH35" s="228"/>
      <c r="FI35" s="228"/>
      <c r="FJ35" s="228"/>
      <c r="FK35" s="228"/>
      <c r="FL35" s="228"/>
      <c r="FM35" s="228"/>
      <c r="FN35" s="228"/>
      <c r="FO35" s="228"/>
      <c r="FP35" s="228"/>
      <c r="FQ35" s="228"/>
      <c r="FR35" s="228"/>
      <c r="FS35" s="228"/>
      <c r="FT35" s="228"/>
      <c r="FU35" s="228"/>
      <c r="FV35" s="228"/>
      <c r="FW35" s="228"/>
      <c r="FX35" s="228"/>
      <c r="FY35" s="228"/>
      <c r="FZ35" s="228"/>
      <c r="GA35" s="228"/>
      <c r="GB35" s="228"/>
      <c r="GC35" s="228"/>
      <c r="GD35" s="228"/>
      <c r="GE35" s="228"/>
      <c r="GF35" s="228"/>
      <c r="GG35" s="228"/>
      <c r="GH35" s="228"/>
      <c r="GI35" s="228"/>
      <c r="GJ35" s="228"/>
      <c r="GK35" s="228"/>
      <c r="GL35" s="228"/>
      <c r="GM35" s="228"/>
      <c r="GN35" s="228"/>
      <c r="GO35" s="228"/>
      <c r="GP35" s="228"/>
      <c r="GQ35" s="228"/>
      <c r="GR35" s="228"/>
      <c r="GS35" s="228"/>
      <c r="GT35" s="228"/>
      <c r="GU35" s="228"/>
      <c r="GV35" s="228"/>
      <c r="GW35" s="228"/>
      <c r="GX35" s="228"/>
      <c r="GY35" s="228"/>
      <c r="GZ35" s="228"/>
      <c r="HA35" s="228"/>
      <c r="HB35" s="228"/>
      <c r="HC35" s="228"/>
      <c r="HD35" s="228"/>
      <c r="HE35" s="228"/>
      <c r="HF35" s="228"/>
      <c r="HG35" s="228"/>
      <c r="HH35" s="228"/>
      <c r="HI35" s="228"/>
      <c r="HJ35" s="228"/>
      <c r="HK35" s="228"/>
      <c r="HL35" s="228"/>
      <c r="HM35" s="228"/>
      <c r="HN35" s="228"/>
      <c r="HO35" s="228"/>
    </row>
    <row r="36" spans="1:223" ht="15.5" x14ac:dyDescent="0.35">
      <c r="A36" s="103">
        <v>46090</v>
      </c>
      <c r="B36" s="79">
        <v>0.58611111111111114</v>
      </c>
      <c r="C36" s="79">
        <v>0.74583333333333335</v>
      </c>
      <c r="D36" s="111">
        <f t="shared" si="5"/>
        <v>1.1597222222222223</v>
      </c>
      <c r="E36" s="322">
        <f t="shared" si="2"/>
        <v>2355193</v>
      </c>
      <c r="F36" s="318">
        <v>2355652</v>
      </c>
      <c r="G36" s="328">
        <f>(F36-E36)/100</f>
        <v>4.59</v>
      </c>
      <c r="H36" s="112"/>
      <c r="I36" s="112"/>
      <c r="J36" s="112"/>
      <c r="K36" s="112"/>
      <c r="L36" s="231"/>
      <c r="M36" s="112">
        <f>39+11+13</f>
        <v>63</v>
      </c>
      <c r="N36" s="96">
        <f>+(($H$6*H36)+($J$6*J36)+($K$6*K36)+($L$6*L36)+($M$6*M36)+(I36*3))</f>
        <v>1575</v>
      </c>
      <c r="O36" s="96">
        <f>N36/G36</f>
        <v>343.13725490196077</v>
      </c>
      <c r="P36" s="149" t="s">
        <v>197</v>
      </c>
      <c r="Q36" s="239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  <c r="CL36" s="228"/>
      <c r="CM36" s="228"/>
      <c r="CN36" s="228"/>
      <c r="CO36" s="228"/>
      <c r="CP36" s="228"/>
      <c r="CQ36" s="228"/>
      <c r="CR36" s="228"/>
      <c r="CS36" s="228"/>
      <c r="CT36" s="228"/>
      <c r="CU36" s="228"/>
      <c r="CV36" s="228"/>
      <c r="CW36" s="228"/>
      <c r="CX36" s="228"/>
      <c r="CY36" s="228"/>
      <c r="CZ36" s="228"/>
      <c r="DA36" s="228"/>
      <c r="DB36" s="228"/>
      <c r="DC36" s="228"/>
      <c r="DD36" s="228"/>
      <c r="DE36" s="228"/>
      <c r="DF36" s="228"/>
      <c r="DG36" s="228"/>
      <c r="DH36" s="228"/>
      <c r="DI36" s="228"/>
      <c r="DJ36" s="228"/>
      <c r="DK36" s="228"/>
      <c r="DL36" s="228"/>
      <c r="DM36" s="228"/>
      <c r="DN36" s="228"/>
      <c r="DO36" s="228"/>
      <c r="DP36" s="228"/>
      <c r="DQ36" s="228"/>
      <c r="DR36" s="228"/>
      <c r="DS36" s="228"/>
      <c r="DT36" s="228"/>
      <c r="DU36" s="228"/>
      <c r="DV36" s="228"/>
      <c r="DW36" s="228"/>
      <c r="DX36" s="228"/>
      <c r="DY36" s="228"/>
      <c r="DZ36" s="228"/>
      <c r="EA36" s="228"/>
      <c r="EB36" s="228"/>
      <c r="EC36" s="228"/>
      <c r="ED36" s="228"/>
      <c r="EE36" s="228"/>
      <c r="EF36" s="228"/>
      <c r="EG36" s="228"/>
      <c r="EH36" s="228"/>
      <c r="EI36" s="228"/>
      <c r="EJ36" s="228"/>
      <c r="EK36" s="228"/>
      <c r="EL36" s="228"/>
      <c r="EM36" s="228"/>
      <c r="EN36" s="228"/>
      <c r="EO36" s="228"/>
      <c r="EP36" s="228"/>
      <c r="EQ36" s="228"/>
      <c r="ER36" s="228"/>
      <c r="ES36" s="228"/>
      <c r="ET36" s="228"/>
      <c r="EU36" s="228"/>
      <c r="EV36" s="228"/>
      <c r="EW36" s="228"/>
      <c r="EX36" s="228"/>
      <c r="EY36" s="228"/>
      <c r="EZ36" s="228"/>
      <c r="FA36" s="228"/>
      <c r="FB36" s="228"/>
      <c r="FC36" s="228"/>
      <c r="FD36" s="228"/>
      <c r="FE36" s="228"/>
      <c r="FF36" s="228"/>
      <c r="FG36" s="228"/>
      <c r="FH36" s="228"/>
      <c r="FI36" s="228"/>
      <c r="FJ36" s="228"/>
      <c r="FK36" s="228"/>
      <c r="FL36" s="228"/>
      <c r="FM36" s="228"/>
      <c r="FN36" s="228"/>
      <c r="FO36" s="228"/>
      <c r="FP36" s="228"/>
      <c r="FQ36" s="228"/>
      <c r="FR36" s="228"/>
      <c r="FS36" s="228"/>
      <c r="FT36" s="228"/>
      <c r="FU36" s="228"/>
      <c r="FV36" s="228"/>
      <c r="FW36" s="228"/>
      <c r="FX36" s="228"/>
      <c r="FY36" s="228"/>
      <c r="FZ36" s="228"/>
      <c r="GA36" s="228"/>
      <c r="GB36" s="228"/>
      <c r="GC36" s="228"/>
      <c r="GD36" s="228"/>
      <c r="GE36" s="228"/>
      <c r="GF36" s="228"/>
      <c r="GG36" s="228"/>
      <c r="GH36" s="228"/>
      <c r="GI36" s="228"/>
      <c r="GJ36" s="228"/>
      <c r="GK36" s="228"/>
      <c r="GL36" s="228"/>
      <c r="GM36" s="228"/>
      <c r="GN36" s="228"/>
      <c r="GO36" s="228"/>
      <c r="GP36" s="228"/>
      <c r="GQ36" s="228"/>
      <c r="GR36" s="228"/>
      <c r="GS36" s="228"/>
      <c r="GT36" s="228"/>
      <c r="GU36" s="228"/>
      <c r="GV36" s="228"/>
      <c r="GW36" s="228"/>
      <c r="GX36" s="228"/>
      <c r="GY36" s="228"/>
      <c r="GZ36" s="228"/>
      <c r="HA36" s="228"/>
      <c r="HB36" s="228"/>
      <c r="HC36" s="228"/>
      <c r="HD36" s="228"/>
      <c r="HE36" s="228"/>
      <c r="HF36" s="228"/>
      <c r="HG36" s="228"/>
      <c r="HH36" s="228"/>
      <c r="HI36" s="228"/>
      <c r="HJ36" s="228"/>
      <c r="HK36" s="228"/>
      <c r="HL36" s="228"/>
      <c r="HM36" s="228"/>
      <c r="HN36" s="228"/>
      <c r="HO36" s="228"/>
    </row>
    <row r="37" spans="1:223" ht="15.5" x14ac:dyDescent="0.35">
      <c r="A37" s="103">
        <v>46090</v>
      </c>
      <c r="B37" s="79">
        <v>0.76388888888888884</v>
      </c>
      <c r="C37" s="79">
        <v>0.90625</v>
      </c>
      <c r="D37" s="111">
        <f t="shared" si="5"/>
        <v>1.1423611111111112</v>
      </c>
      <c r="E37" s="322">
        <f t="shared" si="2"/>
        <v>2355652</v>
      </c>
      <c r="F37" s="318">
        <v>2355996</v>
      </c>
      <c r="G37" s="328">
        <f>(F37-E37)/100</f>
        <v>3.44</v>
      </c>
      <c r="H37" s="112"/>
      <c r="I37" s="112"/>
      <c r="J37" s="112"/>
      <c r="K37" s="112"/>
      <c r="L37" s="231"/>
      <c r="M37" s="112">
        <v>60</v>
      </c>
      <c r="N37" s="96">
        <f>+(($H$6*H37)+($J$6*J37)+($K$6*K37)+($L$6*L37)+($M$6*M37)+(I37*3))</f>
        <v>1500</v>
      </c>
      <c r="O37" s="96">
        <f>N37/G37</f>
        <v>436.04651162790697</v>
      </c>
      <c r="P37" s="149" t="s">
        <v>212</v>
      </c>
      <c r="Q37" s="239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C37" s="228"/>
      <c r="DD37" s="228"/>
      <c r="DE37" s="228"/>
      <c r="DF37" s="228"/>
      <c r="DG37" s="228"/>
      <c r="DH37" s="228"/>
      <c r="DI37" s="228"/>
      <c r="DJ37" s="228"/>
      <c r="DK37" s="228"/>
      <c r="DL37" s="228"/>
      <c r="DM37" s="228"/>
      <c r="DN37" s="228"/>
      <c r="DO37" s="228"/>
      <c r="DP37" s="228"/>
      <c r="DQ37" s="228"/>
      <c r="DR37" s="228"/>
      <c r="DS37" s="228"/>
      <c r="DT37" s="228"/>
      <c r="DU37" s="228"/>
      <c r="DV37" s="228"/>
      <c r="DW37" s="228"/>
      <c r="DX37" s="228"/>
      <c r="DY37" s="228"/>
      <c r="DZ37" s="228"/>
      <c r="EA37" s="228"/>
      <c r="EB37" s="228"/>
      <c r="EC37" s="228"/>
      <c r="ED37" s="228"/>
      <c r="EE37" s="228"/>
      <c r="EF37" s="228"/>
      <c r="EG37" s="228"/>
      <c r="EH37" s="228"/>
      <c r="EI37" s="228"/>
      <c r="EJ37" s="228"/>
      <c r="EK37" s="228"/>
      <c r="EL37" s="228"/>
      <c r="EM37" s="228"/>
      <c r="EN37" s="228"/>
      <c r="EO37" s="228"/>
      <c r="EP37" s="228"/>
      <c r="EQ37" s="228"/>
      <c r="ER37" s="228"/>
      <c r="ES37" s="228"/>
      <c r="ET37" s="228"/>
      <c r="EU37" s="228"/>
      <c r="EV37" s="228"/>
      <c r="EW37" s="228"/>
      <c r="EX37" s="228"/>
      <c r="EY37" s="228"/>
      <c r="EZ37" s="228"/>
      <c r="FA37" s="228"/>
      <c r="FB37" s="228"/>
      <c r="FC37" s="228"/>
      <c r="FD37" s="228"/>
      <c r="FE37" s="228"/>
      <c r="FF37" s="228"/>
      <c r="FG37" s="228"/>
      <c r="FH37" s="228"/>
      <c r="FI37" s="228"/>
      <c r="FJ37" s="228"/>
      <c r="FK37" s="228"/>
      <c r="FL37" s="228"/>
      <c r="FM37" s="228"/>
      <c r="FN37" s="228"/>
      <c r="FO37" s="228"/>
      <c r="FP37" s="228"/>
      <c r="FQ37" s="228"/>
      <c r="FR37" s="228"/>
      <c r="FS37" s="228"/>
      <c r="FT37" s="228"/>
      <c r="FU37" s="228"/>
      <c r="FV37" s="228"/>
      <c r="FW37" s="228"/>
      <c r="FX37" s="228"/>
      <c r="FY37" s="228"/>
      <c r="FZ37" s="228"/>
      <c r="GA37" s="228"/>
      <c r="GB37" s="228"/>
      <c r="GC37" s="228"/>
      <c r="GD37" s="228"/>
      <c r="GE37" s="228"/>
      <c r="GF37" s="228"/>
      <c r="GG37" s="228"/>
      <c r="GH37" s="228"/>
      <c r="GI37" s="228"/>
      <c r="GJ37" s="228"/>
      <c r="GK37" s="228"/>
      <c r="GL37" s="228"/>
      <c r="GM37" s="228"/>
      <c r="GN37" s="228"/>
      <c r="GO37" s="228"/>
      <c r="GP37" s="228"/>
      <c r="GQ37" s="228"/>
      <c r="GR37" s="228"/>
      <c r="GS37" s="228"/>
      <c r="GT37" s="228"/>
      <c r="GU37" s="228"/>
      <c r="GV37" s="228"/>
      <c r="GW37" s="228"/>
      <c r="GX37" s="228"/>
      <c r="GY37" s="228"/>
      <c r="GZ37" s="228"/>
      <c r="HA37" s="228"/>
      <c r="HB37" s="228"/>
      <c r="HC37" s="228"/>
      <c r="HD37" s="228"/>
      <c r="HE37" s="228"/>
      <c r="HF37" s="228"/>
      <c r="HG37" s="228"/>
      <c r="HH37" s="228"/>
      <c r="HI37" s="228"/>
      <c r="HJ37" s="228"/>
      <c r="HK37" s="228"/>
      <c r="HL37" s="228"/>
      <c r="HM37" s="228"/>
      <c r="HN37" s="228"/>
      <c r="HO37" s="228"/>
    </row>
    <row r="38" spans="1:223" ht="15.5" x14ac:dyDescent="0.35">
      <c r="A38" s="103">
        <v>46090</v>
      </c>
      <c r="B38" s="79">
        <v>0.94444444444444442</v>
      </c>
      <c r="C38" s="79">
        <v>0.2361111111111111</v>
      </c>
      <c r="D38" s="111">
        <f t="shared" si="5"/>
        <v>0.29166666666666674</v>
      </c>
      <c r="E38" s="322">
        <f t="shared" si="2"/>
        <v>2355996</v>
      </c>
      <c r="F38" s="318">
        <v>2356783</v>
      </c>
      <c r="G38" s="328">
        <f t="shared" si="1"/>
        <v>7.87</v>
      </c>
      <c r="H38" s="112"/>
      <c r="I38" s="112"/>
      <c r="J38" s="112"/>
      <c r="K38" s="112"/>
      <c r="L38" s="231"/>
      <c r="M38" s="112">
        <v>126</v>
      </c>
      <c r="N38" s="96">
        <f t="shared" si="4"/>
        <v>3150</v>
      </c>
      <c r="O38" s="96">
        <f t="shared" si="3"/>
        <v>400.25412960609913</v>
      </c>
      <c r="P38" s="149" t="s">
        <v>188</v>
      </c>
      <c r="Q38" s="239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8"/>
      <c r="CV38" s="228"/>
      <c r="CW38" s="228"/>
      <c r="CX38" s="228"/>
      <c r="CY38" s="228"/>
      <c r="CZ38" s="228"/>
      <c r="DA38" s="228"/>
      <c r="DB38" s="228"/>
      <c r="DC38" s="228"/>
      <c r="DD38" s="228"/>
      <c r="DE38" s="228"/>
      <c r="DF38" s="228"/>
      <c r="DG38" s="228"/>
      <c r="DH38" s="228"/>
      <c r="DI38" s="228"/>
      <c r="DJ38" s="228"/>
      <c r="DK38" s="228"/>
      <c r="DL38" s="228"/>
      <c r="DM38" s="228"/>
      <c r="DN38" s="228"/>
      <c r="DO38" s="228"/>
      <c r="DP38" s="228"/>
      <c r="DQ38" s="228"/>
      <c r="DR38" s="228"/>
      <c r="DS38" s="228"/>
      <c r="DT38" s="228"/>
      <c r="DU38" s="228"/>
      <c r="DV38" s="228"/>
      <c r="DW38" s="228"/>
      <c r="DX38" s="228"/>
      <c r="DY38" s="228"/>
      <c r="DZ38" s="228"/>
      <c r="EA38" s="228"/>
      <c r="EB38" s="228"/>
      <c r="EC38" s="228"/>
      <c r="ED38" s="228"/>
      <c r="EE38" s="228"/>
      <c r="EF38" s="228"/>
      <c r="EG38" s="228"/>
      <c r="EH38" s="228"/>
      <c r="EI38" s="228"/>
      <c r="EJ38" s="228"/>
      <c r="EK38" s="228"/>
      <c r="EL38" s="228"/>
      <c r="EM38" s="228"/>
      <c r="EN38" s="228"/>
      <c r="EO38" s="228"/>
      <c r="EP38" s="228"/>
      <c r="EQ38" s="228"/>
      <c r="ER38" s="228"/>
      <c r="ES38" s="228"/>
      <c r="ET38" s="228"/>
      <c r="EU38" s="228"/>
      <c r="EV38" s="228"/>
      <c r="EW38" s="228"/>
      <c r="EX38" s="228"/>
      <c r="EY38" s="228"/>
      <c r="EZ38" s="228"/>
      <c r="FA38" s="228"/>
      <c r="FB38" s="228"/>
      <c r="FC38" s="228"/>
      <c r="FD38" s="228"/>
      <c r="FE38" s="228"/>
      <c r="FF38" s="228"/>
      <c r="FG38" s="228"/>
      <c r="FH38" s="228"/>
      <c r="FI38" s="228"/>
      <c r="FJ38" s="228"/>
      <c r="FK38" s="228"/>
      <c r="FL38" s="228"/>
      <c r="FM38" s="228"/>
      <c r="FN38" s="228"/>
      <c r="FO38" s="228"/>
      <c r="FP38" s="228"/>
      <c r="FQ38" s="228"/>
      <c r="FR38" s="228"/>
      <c r="FS38" s="228"/>
      <c r="FT38" s="228"/>
      <c r="FU38" s="228"/>
      <c r="FV38" s="228"/>
      <c r="FW38" s="228"/>
      <c r="FX38" s="228"/>
      <c r="FY38" s="228"/>
      <c r="FZ38" s="228"/>
      <c r="GA38" s="228"/>
      <c r="GB38" s="228"/>
      <c r="GC38" s="228"/>
      <c r="GD38" s="228"/>
      <c r="GE38" s="228"/>
      <c r="GF38" s="228"/>
      <c r="GG38" s="228"/>
      <c r="GH38" s="228"/>
      <c r="GI38" s="228"/>
      <c r="GJ38" s="228"/>
      <c r="GK38" s="228"/>
      <c r="GL38" s="228"/>
      <c r="GM38" s="228"/>
      <c r="GN38" s="228"/>
      <c r="GO38" s="228"/>
      <c r="GP38" s="228"/>
      <c r="GQ38" s="228"/>
      <c r="GR38" s="228"/>
      <c r="GS38" s="228"/>
      <c r="GT38" s="228"/>
      <c r="GU38" s="228"/>
      <c r="GV38" s="228"/>
      <c r="GW38" s="228"/>
      <c r="GX38" s="228"/>
      <c r="GY38" s="228"/>
      <c r="GZ38" s="228"/>
      <c r="HA38" s="228"/>
      <c r="HB38" s="228"/>
      <c r="HC38" s="228"/>
      <c r="HD38" s="228"/>
      <c r="HE38" s="228"/>
      <c r="HF38" s="228"/>
      <c r="HG38" s="228"/>
      <c r="HH38" s="228"/>
      <c r="HI38" s="228"/>
      <c r="HJ38" s="228"/>
      <c r="HK38" s="228"/>
      <c r="HL38" s="228"/>
      <c r="HM38" s="228"/>
      <c r="HN38" s="228"/>
      <c r="HO38" s="228"/>
    </row>
    <row r="39" spans="1:223" ht="15.5" x14ac:dyDescent="0.35">
      <c r="A39" s="103">
        <v>46091</v>
      </c>
      <c r="B39" s="79">
        <v>0.25555555555555554</v>
      </c>
      <c r="C39" s="79">
        <v>0.57638888888888884</v>
      </c>
      <c r="D39" s="111">
        <f t="shared" si="5"/>
        <v>1.3208333333333333</v>
      </c>
      <c r="E39" s="322">
        <f t="shared" si="2"/>
        <v>2356783</v>
      </c>
      <c r="F39" s="318">
        <v>2357612</v>
      </c>
      <c r="G39" s="328">
        <f>(F39-E39)/100</f>
        <v>8.2899999999999991</v>
      </c>
      <c r="H39" s="112"/>
      <c r="I39" s="112"/>
      <c r="J39" s="112"/>
      <c r="K39" s="112"/>
      <c r="L39" s="231"/>
      <c r="M39" s="112">
        <f>103+27</f>
        <v>130</v>
      </c>
      <c r="N39" s="96">
        <f t="shared" si="4"/>
        <v>3250</v>
      </c>
      <c r="O39" s="96">
        <f t="shared" si="3"/>
        <v>392.03860072376364</v>
      </c>
      <c r="P39" s="149" t="s">
        <v>173</v>
      </c>
      <c r="Q39" s="239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8"/>
      <c r="BK39" s="228"/>
      <c r="BL39" s="228"/>
      <c r="BM39" s="228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  <c r="CL39" s="228"/>
      <c r="CM39" s="228"/>
      <c r="CN39" s="228"/>
      <c r="CO39" s="228"/>
      <c r="CP39" s="228"/>
      <c r="CQ39" s="228"/>
      <c r="CR39" s="228"/>
      <c r="CS39" s="228"/>
      <c r="CT39" s="228"/>
      <c r="CU39" s="228"/>
      <c r="CV39" s="228"/>
      <c r="CW39" s="228"/>
      <c r="CX39" s="228"/>
      <c r="CY39" s="228"/>
      <c r="CZ39" s="228"/>
      <c r="DA39" s="228"/>
      <c r="DB39" s="228"/>
      <c r="DC39" s="228"/>
      <c r="DD39" s="228"/>
      <c r="DE39" s="228"/>
      <c r="DF39" s="228"/>
      <c r="DG39" s="228"/>
      <c r="DH39" s="228"/>
      <c r="DI39" s="228"/>
      <c r="DJ39" s="228"/>
      <c r="DK39" s="228"/>
      <c r="DL39" s="228"/>
      <c r="DM39" s="228"/>
      <c r="DN39" s="228"/>
      <c r="DO39" s="228"/>
      <c r="DP39" s="228"/>
      <c r="DQ39" s="228"/>
      <c r="DR39" s="228"/>
      <c r="DS39" s="228"/>
      <c r="DT39" s="228"/>
      <c r="DU39" s="228"/>
      <c r="DV39" s="228"/>
      <c r="DW39" s="228"/>
      <c r="DX39" s="228"/>
      <c r="DY39" s="228"/>
      <c r="DZ39" s="228"/>
      <c r="EA39" s="228"/>
      <c r="EB39" s="228"/>
      <c r="EC39" s="228"/>
      <c r="ED39" s="228"/>
      <c r="EE39" s="228"/>
      <c r="EF39" s="228"/>
      <c r="EG39" s="228"/>
      <c r="EH39" s="228"/>
      <c r="EI39" s="228"/>
      <c r="EJ39" s="228"/>
      <c r="EK39" s="228"/>
      <c r="EL39" s="228"/>
      <c r="EM39" s="228"/>
      <c r="EN39" s="228"/>
      <c r="EO39" s="228"/>
      <c r="EP39" s="228"/>
      <c r="EQ39" s="228"/>
      <c r="ER39" s="228"/>
      <c r="ES39" s="228"/>
      <c r="ET39" s="228"/>
      <c r="EU39" s="228"/>
      <c r="EV39" s="228"/>
      <c r="EW39" s="228"/>
      <c r="EX39" s="228"/>
      <c r="EY39" s="228"/>
      <c r="EZ39" s="228"/>
      <c r="FA39" s="228"/>
      <c r="FB39" s="228"/>
      <c r="FC39" s="228"/>
      <c r="FD39" s="228"/>
      <c r="FE39" s="228"/>
      <c r="FF39" s="228"/>
      <c r="FG39" s="228"/>
      <c r="FH39" s="228"/>
      <c r="FI39" s="228"/>
      <c r="FJ39" s="228"/>
      <c r="FK39" s="228"/>
      <c r="FL39" s="228"/>
      <c r="FM39" s="228"/>
      <c r="FN39" s="228"/>
      <c r="FO39" s="228"/>
      <c r="FP39" s="228"/>
      <c r="FQ39" s="228"/>
      <c r="FR39" s="228"/>
      <c r="FS39" s="228"/>
      <c r="FT39" s="228"/>
      <c r="FU39" s="228"/>
      <c r="FV39" s="228"/>
      <c r="FW39" s="228"/>
      <c r="FX39" s="228"/>
      <c r="FY39" s="228"/>
      <c r="FZ39" s="228"/>
      <c r="GA39" s="228"/>
      <c r="GB39" s="228"/>
      <c r="GC39" s="228"/>
      <c r="GD39" s="228"/>
      <c r="GE39" s="228"/>
      <c r="GF39" s="228"/>
      <c r="GG39" s="228"/>
      <c r="GH39" s="228"/>
      <c r="GI39" s="228"/>
      <c r="GJ39" s="228"/>
      <c r="GK39" s="228"/>
      <c r="GL39" s="228"/>
      <c r="GM39" s="228"/>
      <c r="GN39" s="228"/>
      <c r="GO39" s="228"/>
      <c r="GP39" s="228"/>
      <c r="GQ39" s="228"/>
      <c r="GR39" s="228"/>
      <c r="GS39" s="228"/>
      <c r="GT39" s="228"/>
      <c r="GU39" s="228"/>
      <c r="GV39" s="228"/>
      <c r="GW39" s="228"/>
      <c r="GX39" s="228"/>
      <c r="GY39" s="228"/>
      <c r="GZ39" s="228"/>
      <c r="HA39" s="228"/>
      <c r="HB39" s="228"/>
      <c r="HC39" s="228"/>
      <c r="HD39" s="228"/>
      <c r="HE39" s="228"/>
      <c r="HF39" s="228"/>
      <c r="HG39" s="228"/>
      <c r="HH39" s="228"/>
      <c r="HI39" s="228"/>
      <c r="HJ39" s="228"/>
      <c r="HK39" s="228"/>
      <c r="HL39" s="228"/>
      <c r="HM39" s="228"/>
      <c r="HN39" s="228"/>
      <c r="HO39" s="228"/>
    </row>
    <row r="40" spans="1:223" ht="15.5" x14ac:dyDescent="0.35">
      <c r="A40" s="103">
        <v>46091</v>
      </c>
      <c r="B40" s="79">
        <v>0.59861111111111109</v>
      </c>
      <c r="C40" s="79">
        <v>0.74444444444444446</v>
      </c>
      <c r="D40" s="111">
        <f t="shared" si="5"/>
        <v>1.1458333333333335</v>
      </c>
      <c r="E40" s="322">
        <f t="shared" si="2"/>
        <v>2357612</v>
      </c>
      <c r="F40" s="318">
        <v>2358010</v>
      </c>
      <c r="G40" s="328">
        <f t="shared" si="1"/>
        <v>3.98</v>
      </c>
      <c r="H40" s="112"/>
      <c r="I40" s="112"/>
      <c r="J40" s="112"/>
      <c r="K40" s="112"/>
      <c r="L40" s="231"/>
      <c r="M40" s="112">
        <v>58</v>
      </c>
      <c r="N40" s="96">
        <f t="shared" si="4"/>
        <v>1450</v>
      </c>
      <c r="O40" s="96">
        <f t="shared" si="3"/>
        <v>364.321608040201</v>
      </c>
      <c r="P40" s="149" t="s">
        <v>173</v>
      </c>
      <c r="Q40" s="239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  <c r="CL40" s="228"/>
      <c r="CM40" s="228"/>
      <c r="CN40" s="228"/>
      <c r="CO40" s="228"/>
      <c r="CP40" s="228"/>
      <c r="CQ40" s="228"/>
      <c r="CR40" s="228"/>
      <c r="CS40" s="228"/>
      <c r="CT40" s="228"/>
      <c r="CU40" s="228"/>
      <c r="CV40" s="228"/>
      <c r="CW40" s="228"/>
      <c r="CX40" s="228"/>
      <c r="CY40" s="228"/>
      <c r="CZ40" s="228"/>
      <c r="DA40" s="228"/>
      <c r="DB40" s="228"/>
      <c r="DC40" s="228"/>
      <c r="DD40" s="228"/>
      <c r="DE40" s="228"/>
      <c r="DF40" s="228"/>
      <c r="DG40" s="228"/>
      <c r="DH40" s="228"/>
      <c r="DI40" s="228"/>
      <c r="DJ40" s="228"/>
      <c r="DK40" s="228"/>
      <c r="DL40" s="228"/>
      <c r="DM40" s="228"/>
      <c r="DN40" s="228"/>
      <c r="DO40" s="228"/>
      <c r="DP40" s="228"/>
      <c r="DQ40" s="228"/>
      <c r="DR40" s="228"/>
      <c r="DS40" s="228"/>
      <c r="DT40" s="228"/>
      <c r="DU40" s="228"/>
      <c r="DV40" s="228"/>
      <c r="DW40" s="228"/>
      <c r="DX40" s="228"/>
      <c r="DY40" s="228"/>
      <c r="DZ40" s="228"/>
      <c r="EA40" s="228"/>
      <c r="EB40" s="228"/>
      <c r="EC40" s="228"/>
      <c r="ED40" s="228"/>
      <c r="EE40" s="228"/>
      <c r="EF40" s="228"/>
      <c r="EG40" s="228"/>
      <c r="EH40" s="228"/>
      <c r="EI40" s="228"/>
      <c r="EJ40" s="228"/>
      <c r="EK40" s="228"/>
      <c r="EL40" s="228"/>
      <c r="EM40" s="228"/>
      <c r="EN40" s="228"/>
      <c r="EO40" s="228"/>
      <c r="EP40" s="228"/>
      <c r="EQ40" s="228"/>
      <c r="ER40" s="228"/>
      <c r="ES40" s="228"/>
      <c r="ET40" s="228"/>
      <c r="EU40" s="228"/>
      <c r="EV40" s="228"/>
      <c r="EW40" s="228"/>
      <c r="EX40" s="228"/>
      <c r="EY40" s="228"/>
      <c r="EZ40" s="228"/>
      <c r="FA40" s="228"/>
      <c r="FB40" s="228"/>
      <c r="FC40" s="228"/>
      <c r="FD40" s="228"/>
      <c r="FE40" s="228"/>
      <c r="FF40" s="228"/>
      <c r="FG40" s="228"/>
      <c r="FH40" s="228"/>
      <c r="FI40" s="228"/>
      <c r="FJ40" s="228"/>
      <c r="FK40" s="228"/>
      <c r="FL40" s="228"/>
      <c r="FM40" s="228"/>
      <c r="FN40" s="228"/>
      <c r="FO40" s="228"/>
      <c r="FP40" s="228"/>
      <c r="FQ40" s="228"/>
      <c r="FR40" s="228"/>
      <c r="FS40" s="228"/>
      <c r="FT40" s="228"/>
      <c r="FU40" s="228"/>
      <c r="FV40" s="228"/>
      <c r="FW40" s="228"/>
      <c r="FX40" s="228"/>
      <c r="FY40" s="228"/>
      <c r="FZ40" s="228"/>
      <c r="GA40" s="228"/>
      <c r="GB40" s="228"/>
      <c r="GC40" s="228"/>
      <c r="GD40" s="228"/>
      <c r="GE40" s="228"/>
      <c r="GF40" s="228"/>
      <c r="GG40" s="228"/>
      <c r="GH40" s="228"/>
      <c r="GI40" s="228"/>
      <c r="GJ40" s="228"/>
      <c r="GK40" s="228"/>
      <c r="GL40" s="228"/>
      <c r="GM40" s="228"/>
      <c r="GN40" s="228"/>
      <c r="GO40" s="228"/>
      <c r="GP40" s="228"/>
      <c r="GQ40" s="228"/>
      <c r="GR40" s="228"/>
      <c r="GS40" s="228"/>
      <c r="GT40" s="228"/>
      <c r="GU40" s="228"/>
      <c r="GV40" s="228"/>
      <c r="GW40" s="228"/>
      <c r="GX40" s="228"/>
      <c r="GY40" s="228"/>
      <c r="GZ40" s="228"/>
      <c r="HA40" s="228"/>
      <c r="HB40" s="228"/>
      <c r="HC40" s="228"/>
      <c r="HD40" s="228"/>
      <c r="HE40" s="228"/>
      <c r="HF40" s="228"/>
      <c r="HG40" s="228"/>
      <c r="HH40" s="228"/>
      <c r="HI40" s="228"/>
      <c r="HJ40" s="228"/>
      <c r="HK40" s="228"/>
      <c r="HL40" s="228"/>
      <c r="HM40" s="228"/>
      <c r="HN40" s="228"/>
      <c r="HO40" s="228"/>
    </row>
    <row r="41" spans="1:223" ht="15.5" x14ac:dyDescent="0.35">
      <c r="A41" s="103">
        <v>46091</v>
      </c>
      <c r="B41" s="79">
        <v>0.75972222222222219</v>
      </c>
      <c r="C41" s="79">
        <v>0.88611111111111107</v>
      </c>
      <c r="D41" s="111">
        <f t="shared" si="5"/>
        <v>1.1263888888888889</v>
      </c>
      <c r="E41" s="322">
        <f t="shared" si="2"/>
        <v>2358010</v>
      </c>
      <c r="F41" s="318">
        <v>2358415</v>
      </c>
      <c r="G41" s="328">
        <f t="shared" si="1"/>
        <v>4.05</v>
      </c>
      <c r="H41" s="112"/>
      <c r="I41" s="112"/>
      <c r="J41" s="112">
        <v>50</v>
      </c>
      <c r="K41" s="112"/>
      <c r="L41" s="231"/>
      <c r="M41" s="112">
        <v>42</v>
      </c>
      <c r="N41" s="96">
        <f t="shared" si="4"/>
        <v>1750</v>
      </c>
      <c r="O41" s="96">
        <f t="shared" si="3"/>
        <v>432.09876543209879</v>
      </c>
      <c r="P41" s="149" t="s">
        <v>167</v>
      </c>
      <c r="Q41" s="239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  <c r="DJ41" s="228"/>
      <c r="DK41" s="228"/>
      <c r="DL41" s="228"/>
      <c r="DM41" s="228"/>
      <c r="DN41" s="228"/>
      <c r="DO41" s="228"/>
      <c r="DP41" s="228"/>
      <c r="DQ41" s="228"/>
      <c r="DR41" s="228"/>
      <c r="DS41" s="228"/>
      <c r="DT41" s="228"/>
      <c r="DU41" s="228"/>
      <c r="DV41" s="228"/>
      <c r="DW41" s="228"/>
      <c r="DX41" s="228"/>
      <c r="DY41" s="228"/>
      <c r="DZ41" s="228"/>
      <c r="EA41" s="228"/>
      <c r="EB41" s="228"/>
      <c r="EC41" s="228"/>
      <c r="ED41" s="228"/>
      <c r="EE41" s="228"/>
      <c r="EF41" s="228"/>
      <c r="EG41" s="228"/>
      <c r="EH41" s="228"/>
      <c r="EI41" s="228"/>
      <c r="EJ41" s="228"/>
      <c r="EK41" s="228"/>
      <c r="EL41" s="228"/>
      <c r="EM41" s="228"/>
      <c r="EN41" s="228"/>
      <c r="EO41" s="228"/>
      <c r="EP41" s="228"/>
      <c r="EQ41" s="228"/>
      <c r="ER41" s="228"/>
      <c r="ES41" s="228"/>
      <c r="ET41" s="228"/>
      <c r="EU41" s="228"/>
      <c r="EV41" s="228"/>
      <c r="EW41" s="228"/>
      <c r="EX41" s="228"/>
      <c r="EY41" s="228"/>
      <c r="EZ41" s="228"/>
      <c r="FA41" s="228"/>
      <c r="FB41" s="228"/>
      <c r="FC41" s="228"/>
      <c r="FD41" s="228"/>
      <c r="FE41" s="228"/>
      <c r="FF41" s="228"/>
      <c r="FG41" s="228"/>
      <c r="FH41" s="228"/>
      <c r="FI41" s="228"/>
      <c r="FJ41" s="228"/>
      <c r="FK41" s="228"/>
      <c r="FL41" s="228"/>
      <c r="FM41" s="228"/>
      <c r="FN41" s="228"/>
      <c r="FO41" s="228"/>
      <c r="FP41" s="228"/>
      <c r="FQ41" s="228"/>
      <c r="FR41" s="228"/>
      <c r="FS41" s="228"/>
      <c r="FT41" s="228"/>
      <c r="FU41" s="228"/>
      <c r="FV41" s="228"/>
      <c r="FW41" s="228"/>
      <c r="FX41" s="228"/>
      <c r="FY41" s="228"/>
      <c r="FZ41" s="228"/>
      <c r="GA41" s="228"/>
      <c r="GB41" s="228"/>
      <c r="GC41" s="228"/>
      <c r="GD41" s="228"/>
      <c r="GE41" s="228"/>
      <c r="GF41" s="228"/>
      <c r="GG41" s="228"/>
      <c r="GH41" s="228"/>
      <c r="GI41" s="228"/>
      <c r="GJ41" s="228"/>
      <c r="GK41" s="228"/>
      <c r="GL41" s="228"/>
      <c r="GM41" s="228"/>
      <c r="GN41" s="228"/>
      <c r="GO41" s="228"/>
      <c r="GP41" s="228"/>
      <c r="GQ41" s="228"/>
      <c r="GR41" s="228"/>
      <c r="GS41" s="228"/>
      <c r="GT41" s="228"/>
      <c r="GU41" s="228"/>
      <c r="GV41" s="228"/>
      <c r="GW41" s="228"/>
      <c r="GX41" s="228"/>
      <c r="GY41" s="228"/>
      <c r="GZ41" s="228"/>
      <c r="HA41" s="228"/>
      <c r="HB41" s="228"/>
      <c r="HC41" s="228"/>
      <c r="HD41" s="228"/>
      <c r="HE41" s="228"/>
      <c r="HF41" s="228"/>
      <c r="HG41" s="228"/>
      <c r="HH41" s="228"/>
      <c r="HI41" s="228"/>
      <c r="HJ41" s="228"/>
      <c r="HK41" s="228"/>
      <c r="HL41" s="228"/>
      <c r="HM41" s="228"/>
      <c r="HN41" s="228"/>
      <c r="HO41" s="228"/>
    </row>
    <row r="42" spans="1:223" ht="15.5" x14ac:dyDescent="0.35">
      <c r="A42" s="103">
        <v>46091</v>
      </c>
      <c r="B42" s="79">
        <v>0.95833333333333337</v>
      </c>
      <c r="C42" s="79">
        <v>0.23958333333333334</v>
      </c>
      <c r="D42" s="111">
        <f t="shared" si="5"/>
        <v>0.28124999999999989</v>
      </c>
      <c r="E42" s="322">
        <f t="shared" si="2"/>
        <v>2358415</v>
      </c>
      <c r="F42" s="318">
        <v>2359197</v>
      </c>
      <c r="G42" s="328">
        <f t="shared" si="1"/>
        <v>7.82</v>
      </c>
      <c r="H42" s="112"/>
      <c r="I42" s="112"/>
      <c r="J42" s="112"/>
      <c r="K42" s="112"/>
      <c r="L42" s="231"/>
      <c r="M42" s="112">
        <v>122</v>
      </c>
      <c r="N42" s="96">
        <f t="shared" si="4"/>
        <v>3050</v>
      </c>
      <c r="O42" s="96">
        <f t="shared" si="3"/>
        <v>390.0255754475703</v>
      </c>
      <c r="P42" s="149" t="s">
        <v>188</v>
      </c>
      <c r="Q42" s="239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28"/>
      <c r="CL42" s="228"/>
      <c r="CM42" s="228"/>
      <c r="CN42" s="228"/>
      <c r="CO42" s="228"/>
      <c r="CP42" s="228"/>
      <c r="CQ42" s="228"/>
      <c r="CR42" s="228"/>
      <c r="CS42" s="228"/>
      <c r="CT42" s="228"/>
      <c r="CU42" s="228"/>
      <c r="CV42" s="228"/>
      <c r="CW42" s="228"/>
      <c r="CX42" s="228"/>
      <c r="CY42" s="228"/>
      <c r="CZ42" s="228"/>
      <c r="DA42" s="228"/>
      <c r="DB42" s="228"/>
      <c r="DC42" s="228"/>
      <c r="DD42" s="228"/>
      <c r="DE42" s="228"/>
      <c r="DF42" s="228"/>
      <c r="DG42" s="228"/>
      <c r="DH42" s="228"/>
      <c r="DI42" s="228"/>
      <c r="DJ42" s="228"/>
      <c r="DK42" s="228"/>
      <c r="DL42" s="228"/>
      <c r="DM42" s="228"/>
      <c r="DN42" s="228"/>
      <c r="DO42" s="228"/>
      <c r="DP42" s="228"/>
      <c r="DQ42" s="228"/>
      <c r="DR42" s="228"/>
      <c r="DS42" s="228"/>
      <c r="DT42" s="228"/>
      <c r="DU42" s="228"/>
      <c r="DV42" s="228"/>
      <c r="DW42" s="228"/>
      <c r="DX42" s="228"/>
      <c r="DY42" s="228"/>
      <c r="DZ42" s="228"/>
      <c r="EA42" s="228"/>
      <c r="EB42" s="228"/>
      <c r="EC42" s="228"/>
      <c r="ED42" s="228"/>
      <c r="EE42" s="228"/>
      <c r="EF42" s="228"/>
      <c r="EG42" s="228"/>
      <c r="EH42" s="228"/>
      <c r="EI42" s="228"/>
      <c r="EJ42" s="228"/>
      <c r="EK42" s="228"/>
      <c r="EL42" s="228"/>
      <c r="EM42" s="228"/>
      <c r="EN42" s="228"/>
      <c r="EO42" s="228"/>
      <c r="EP42" s="228"/>
      <c r="EQ42" s="228"/>
      <c r="ER42" s="228"/>
      <c r="ES42" s="228"/>
      <c r="ET42" s="228"/>
      <c r="EU42" s="228"/>
      <c r="EV42" s="228"/>
      <c r="EW42" s="228"/>
      <c r="EX42" s="228"/>
      <c r="EY42" s="228"/>
      <c r="EZ42" s="228"/>
      <c r="FA42" s="228"/>
      <c r="FB42" s="228"/>
      <c r="FC42" s="228"/>
      <c r="FD42" s="228"/>
      <c r="FE42" s="228"/>
      <c r="FF42" s="228"/>
      <c r="FG42" s="228"/>
      <c r="FH42" s="228"/>
      <c r="FI42" s="228"/>
      <c r="FJ42" s="228"/>
      <c r="FK42" s="228"/>
      <c r="FL42" s="228"/>
      <c r="FM42" s="228"/>
      <c r="FN42" s="228"/>
      <c r="FO42" s="228"/>
      <c r="FP42" s="228"/>
      <c r="FQ42" s="228"/>
      <c r="FR42" s="228"/>
      <c r="FS42" s="228"/>
      <c r="FT42" s="228"/>
      <c r="FU42" s="228"/>
      <c r="FV42" s="228"/>
      <c r="FW42" s="228"/>
      <c r="FX42" s="228"/>
      <c r="FY42" s="228"/>
      <c r="FZ42" s="228"/>
      <c r="GA42" s="228"/>
      <c r="GB42" s="228"/>
      <c r="GC42" s="228"/>
      <c r="GD42" s="228"/>
      <c r="GE42" s="228"/>
      <c r="GF42" s="228"/>
      <c r="GG42" s="228"/>
      <c r="GH42" s="228"/>
      <c r="GI42" s="228"/>
      <c r="GJ42" s="228"/>
      <c r="GK42" s="228"/>
      <c r="GL42" s="228"/>
      <c r="GM42" s="228"/>
      <c r="GN42" s="228"/>
      <c r="GO42" s="228"/>
      <c r="GP42" s="228"/>
      <c r="GQ42" s="228"/>
      <c r="GR42" s="228"/>
      <c r="GS42" s="228"/>
      <c r="GT42" s="228"/>
      <c r="GU42" s="228"/>
      <c r="GV42" s="228"/>
      <c r="GW42" s="228"/>
      <c r="GX42" s="228"/>
      <c r="GY42" s="228"/>
      <c r="GZ42" s="228"/>
      <c r="HA42" s="228"/>
      <c r="HB42" s="228"/>
      <c r="HC42" s="228"/>
      <c r="HD42" s="228"/>
      <c r="HE42" s="228"/>
      <c r="HF42" s="228"/>
      <c r="HG42" s="228"/>
      <c r="HH42" s="228"/>
      <c r="HI42" s="228"/>
      <c r="HJ42" s="228"/>
      <c r="HK42" s="228"/>
      <c r="HL42" s="228"/>
      <c r="HM42" s="228"/>
      <c r="HN42" s="228"/>
      <c r="HO42" s="228"/>
    </row>
    <row r="43" spans="1:223" ht="15.5" x14ac:dyDescent="0.35">
      <c r="A43" s="103">
        <v>46092</v>
      </c>
      <c r="B43" s="79">
        <v>0.25833333333333336</v>
      </c>
      <c r="C43" s="79">
        <v>0.54722222222222228</v>
      </c>
      <c r="D43" s="111">
        <f t="shared" ref="D43:D48" si="6">1+C43-B43</f>
        <v>1.288888888888889</v>
      </c>
      <c r="E43" s="322">
        <f t="shared" si="2"/>
        <v>2359197</v>
      </c>
      <c r="F43" s="318">
        <v>2359902</v>
      </c>
      <c r="G43" s="328">
        <f t="shared" si="1"/>
        <v>7.05</v>
      </c>
      <c r="H43" s="112"/>
      <c r="I43" s="112"/>
      <c r="J43" s="112"/>
      <c r="K43" s="112"/>
      <c r="L43" s="231"/>
      <c r="M43" s="112">
        <f>77+27</f>
        <v>104</v>
      </c>
      <c r="N43" s="96">
        <f t="shared" ref="N43:N51" si="7">+(($H$6*H43)+($J$6*J43)+($K$6*K43)+($L$6*L43)+($M$6*M43)+(I43*3))</f>
        <v>2600</v>
      </c>
      <c r="O43" s="96">
        <f t="shared" ref="O43:O48" si="8">N43/G43</f>
        <v>368.79432624113474</v>
      </c>
      <c r="P43" s="149" t="s">
        <v>167</v>
      </c>
      <c r="Q43" s="239" t="s">
        <v>215</v>
      </c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/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228"/>
      <c r="BM43" s="228"/>
      <c r="BN43" s="228"/>
      <c r="BO43" s="228"/>
      <c r="BP43" s="228"/>
      <c r="BQ43" s="228"/>
      <c r="BR43" s="228"/>
      <c r="BS43" s="228"/>
      <c r="BT43" s="228"/>
      <c r="BU43" s="228"/>
      <c r="BV43" s="228"/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  <c r="CG43" s="228"/>
      <c r="CH43" s="228"/>
      <c r="CI43" s="228"/>
      <c r="CJ43" s="228"/>
      <c r="CK43" s="228"/>
      <c r="CL43" s="228"/>
      <c r="CM43" s="228"/>
      <c r="CN43" s="228"/>
      <c r="CO43" s="228"/>
      <c r="CP43" s="228"/>
      <c r="CQ43" s="228"/>
      <c r="CR43" s="228"/>
      <c r="CS43" s="228"/>
      <c r="CT43" s="228"/>
      <c r="CU43" s="228"/>
      <c r="CV43" s="228"/>
      <c r="CW43" s="228"/>
      <c r="CX43" s="228"/>
      <c r="CY43" s="228"/>
      <c r="CZ43" s="228"/>
      <c r="DA43" s="228"/>
      <c r="DB43" s="228"/>
      <c r="DC43" s="228"/>
      <c r="DD43" s="228"/>
      <c r="DE43" s="228"/>
      <c r="DF43" s="228"/>
      <c r="DG43" s="228"/>
      <c r="DH43" s="228"/>
      <c r="DI43" s="228"/>
      <c r="DJ43" s="228"/>
      <c r="DK43" s="228"/>
      <c r="DL43" s="228"/>
      <c r="DM43" s="228"/>
      <c r="DN43" s="228"/>
      <c r="DO43" s="228"/>
      <c r="DP43" s="228"/>
      <c r="DQ43" s="228"/>
      <c r="DR43" s="228"/>
      <c r="DS43" s="228"/>
      <c r="DT43" s="228"/>
      <c r="DU43" s="228"/>
      <c r="DV43" s="228"/>
      <c r="DW43" s="228"/>
      <c r="DX43" s="228"/>
      <c r="DY43" s="228"/>
      <c r="DZ43" s="228"/>
      <c r="EA43" s="228"/>
      <c r="EB43" s="228"/>
      <c r="EC43" s="228"/>
      <c r="ED43" s="228"/>
      <c r="EE43" s="228"/>
      <c r="EF43" s="228"/>
      <c r="EG43" s="228"/>
      <c r="EH43" s="228"/>
      <c r="EI43" s="228"/>
      <c r="EJ43" s="228"/>
      <c r="EK43" s="228"/>
      <c r="EL43" s="228"/>
      <c r="EM43" s="228"/>
      <c r="EN43" s="228"/>
      <c r="EO43" s="228"/>
      <c r="EP43" s="228"/>
      <c r="EQ43" s="228"/>
      <c r="ER43" s="228"/>
      <c r="ES43" s="228"/>
      <c r="ET43" s="228"/>
      <c r="EU43" s="228"/>
      <c r="EV43" s="228"/>
      <c r="EW43" s="228"/>
      <c r="EX43" s="228"/>
      <c r="EY43" s="228"/>
      <c r="EZ43" s="228"/>
      <c r="FA43" s="228"/>
      <c r="FB43" s="228"/>
      <c r="FC43" s="228"/>
      <c r="FD43" s="228"/>
      <c r="FE43" s="228"/>
      <c r="FF43" s="228"/>
      <c r="FG43" s="228"/>
      <c r="FH43" s="228"/>
      <c r="FI43" s="228"/>
      <c r="FJ43" s="228"/>
      <c r="FK43" s="228"/>
      <c r="FL43" s="228"/>
      <c r="FM43" s="228"/>
      <c r="FN43" s="228"/>
      <c r="FO43" s="228"/>
      <c r="FP43" s="228"/>
      <c r="FQ43" s="228"/>
      <c r="FR43" s="228"/>
      <c r="FS43" s="228"/>
      <c r="FT43" s="228"/>
      <c r="FU43" s="228"/>
      <c r="FV43" s="228"/>
      <c r="FW43" s="228"/>
      <c r="FX43" s="228"/>
      <c r="FY43" s="228"/>
      <c r="FZ43" s="228"/>
      <c r="GA43" s="228"/>
      <c r="GB43" s="228"/>
      <c r="GC43" s="228"/>
      <c r="GD43" s="228"/>
      <c r="GE43" s="228"/>
      <c r="GF43" s="228"/>
      <c r="GG43" s="228"/>
      <c r="GH43" s="228"/>
      <c r="GI43" s="228"/>
      <c r="GJ43" s="228"/>
      <c r="GK43" s="228"/>
      <c r="GL43" s="228"/>
      <c r="GM43" s="228"/>
      <c r="GN43" s="228"/>
      <c r="GO43" s="228"/>
      <c r="GP43" s="228"/>
      <c r="GQ43" s="228"/>
      <c r="GR43" s="228"/>
      <c r="GS43" s="228"/>
      <c r="GT43" s="228"/>
      <c r="GU43" s="228"/>
      <c r="GV43" s="228"/>
      <c r="GW43" s="228"/>
      <c r="GX43" s="228"/>
      <c r="GY43" s="228"/>
      <c r="GZ43" s="228"/>
      <c r="HA43" s="228"/>
      <c r="HB43" s="228"/>
      <c r="HC43" s="228"/>
      <c r="HD43" s="228"/>
      <c r="HE43" s="228"/>
      <c r="HF43" s="228"/>
      <c r="HG43" s="228"/>
      <c r="HH43" s="228"/>
      <c r="HI43" s="228"/>
      <c r="HJ43" s="228"/>
      <c r="HK43" s="228"/>
      <c r="HL43" s="228"/>
      <c r="HM43" s="228"/>
      <c r="HN43" s="228"/>
      <c r="HO43" s="228"/>
    </row>
    <row r="44" spans="1:223" ht="15.5" x14ac:dyDescent="0.35">
      <c r="A44" s="103">
        <v>46092</v>
      </c>
      <c r="B44" s="79">
        <v>0.62986111111111109</v>
      </c>
      <c r="C44" s="79">
        <v>0.74305555555555558</v>
      </c>
      <c r="D44" s="111">
        <f t="shared" si="6"/>
        <v>1.1131944444444444</v>
      </c>
      <c r="E44" s="322">
        <f t="shared" si="2"/>
        <v>2359902</v>
      </c>
      <c r="F44" s="318">
        <v>2360205</v>
      </c>
      <c r="G44" s="328">
        <f t="shared" si="1"/>
        <v>3.03</v>
      </c>
      <c r="H44" s="112"/>
      <c r="I44" s="112"/>
      <c r="J44" s="112"/>
      <c r="K44" s="112"/>
      <c r="L44" s="231"/>
      <c r="M44" s="112">
        <v>48</v>
      </c>
      <c r="N44" s="96">
        <f t="shared" si="7"/>
        <v>1200</v>
      </c>
      <c r="O44" s="96">
        <f t="shared" si="8"/>
        <v>396.03960396039605</v>
      </c>
      <c r="P44" s="149" t="s">
        <v>168</v>
      </c>
      <c r="Q44" s="239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  <c r="CH44" s="228"/>
      <c r="CI44" s="228"/>
      <c r="CJ44" s="228"/>
      <c r="CK44" s="228"/>
      <c r="CL44" s="228"/>
      <c r="CM44" s="228"/>
      <c r="CN44" s="228"/>
      <c r="CO44" s="228"/>
      <c r="CP44" s="228"/>
      <c r="CQ44" s="228"/>
      <c r="CR44" s="228"/>
      <c r="CS44" s="228"/>
      <c r="CT44" s="228"/>
      <c r="CU44" s="228"/>
      <c r="CV44" s="228"/>
      <c r="CW44" s="228"/>
      <c r="CX44" s="228"/>
      <c r="CY44" s="228"/>
      <c r="CZ44" s="228"/>
      <c r="DA44" s="228"/>
      <c r="DB44" s="228"/>
      <c r="DC44" s="228"/>
      <c r="DD44" s="228"/>
      <c r="DE44" s="228"/>
      <c r="DF44" s="228"/>
      <c r="DG44" s="228"/>
      <c r="DH44" s="228"/>
      <c r="DI44" s="228"/>
      <c r="DJ44" s="228"/>
      <c r="DK44" s="228"/>
      <c r="DL44" s="228"/>
      <c r="DM44" s="228"/>
      <c r="DN44" s="228"/>
      <c r="DO44" s="228"/>
      <c r="DP44" s="228"/>
      <c r="DQ44" s="228"/>
      <c r="DR44" s="228"/>
      <c r="DS44" s="228"/>
      <c r="DT44" s="228"/>
      <c r="DU44" s="228"/>
      <c r="DV44" s="228"/>
      <c r="DW44" s="228"/>
      <c r="DX44" s="228"/>
      <c r="DY44" s="228"/>
      <c r="DZ44" s="228"/>
      <c r="EA44" s="228"/>
      <c r="EB44" s="228"/>
      <c r="EC44" s="228"/>
      <c r="ED44" s="228"/>
      <c r="EE44" s="228"/>
      <c r="EF44" s="228"/>
      <c r="EG44" s="228"/>
      <c r="EH44" s="228"/>
      <c r="EI44" s="228"/>
      <c r="EJ44" s="228"/>
      <c r="EK44" s="228"/>
      <c r="EL44" s="228"/>
      <c r="EM44" s="228"/>
      <c r="EN44" s="228"/>
      <c r="EO44" s="228"/>
      <c r="EP44" s="228"/>
      <c r="EQ44" s="228"/>
      <c r="ER44" s="228"/>
      <c r="ES44" s="228"/>
      <c r="ET44" s="228"/>
      <c r="EU44" s="228"/>
      <c r="EV44" s="228"/>
      <c r="EW44" s="228"/>
      <c r="EX44" s="228"/>
      <c r="EY44" s="228"/>
      <c r="EZ44" s="228"/>
      <c r="FA44" s="228"/>
      <c r="FB44" s="228"/>
      <c r="FC44" s="228"/>
      <c r="FD44" s="228"/>
      <c r="FE44" s="228"/>
      <c r="FF44" s="228"/>
      <c r="FG44" s="228"/>
      <c r="FH44" s="228"/>
      <c r="FI44" s="228"/>
      <c r="FJ44" s="228"/>
      <c r="FK44" s="228"/>
      <c r="FL44" s="228"/>
      <c r="FM44" s="228"/>
      <c r="FN44" s="228"/>
      <c r="FO44" s="228"/>
      <c r="FP44" s="228"/>
      <c r="FQ44" s="228"/>
      <c r="FR44" s="228"/>
      <c r="FS44" s="228"/>
      <c r="FT44" s="228"/>
      <c r="FU44" s="228"/>
      <c r="FV44" s="228"/>
      <c r="FW44" s="228"/>
      <c r="FX44" s="228"/>
      <c r="FY44" s="228"/>
      <c r="FZ44" s="228"/>
      <c r="GA44" s="228"/>
      <c r="GB44" s="228"/>
      <c r="GC44" s="228"/>
      <c r="GD44" s="228"/>
      <c r="GE44" s="228"/>
      <c r="GF44" s="228"/>
      <c r="GG44" s="228"/>
      <c r="GH44" s="228"/>
      <c r="GI44" s="228"/>
      <c r="GJ44" s="228"/>
      <c r="GK44" s="228"/>
      <c r="GL44" s="228"/>
      <c r="GM44" s="228"/>
      <c r="GN44" s="228"/>
      <c r="GO44" s="228"/>
      <c r="GP44" s="228"/>
      <c r="GQ44" s="228"/>
      <c r="GR44" s="228"/>
      <c r="GS44" s="228"/>
      <c r="GT44" s="228"/>
      <c r="GU44" s="228"/>
      <c r="GV44" s="228"/>
      <c r="GW44" s="228"/>
      <c r="GX44" s="228"/>
      <c r="GY44" s="228"/>
      <c r="GZ44" s="228"/>
      <c r="HA44" s="228"/>
      <c r="HB44" s="228"/>
      <c r="HC44" s="228"/>
      <c r="HD44" s="228"/>
      <c r="HE44" s="228"/>
      <c r="HF44" s="228"/>
      <c r="HG44" s="228"/>
      <c r="HH44" s="228"/>
      <c r="HI44" s="228"/>
      <c r="HJ44" s="228"/>
      <c r="HK44" s="228"/>
      <c r="HL44" s="228"/>
      <c r="HM44" s="228"/>
      <c r="HN44" s="228"/>
      <c r="HO44" s="228"/>
    </row>
    <row r="45" spans="1:223" ht="15.5" x14ac:dyDescent="0.35">
      <c r="A45" s="103">
        <v>46092</v>
      </c>
      <c r="B45" s="79">
        <v>0.75694444444444442</v>
      </c>
      <c r="C45" s="79">
        <v>0.91666666666666663</v>
      </c>
      <c r="D45" s="111">
        <f t="shared" si="6"/>
        <v>1.1597222222222221</v>
      </c>
      <c r="E45" s="322">
        <f t="shared" si="2"/>
        <v>2360205</v>
      </c>
      <c r="F45" s="318">
        <v>2360625</v>
      </c>
      <c r="G45" s="328">
        <f t="shared" si="1"/>
        <v>4.2</v>
      </c>
      <c r="H45" s="112"/>
      <c r="I45" s="112"/>
      <c r="J45" s="112"/>
      <c r="K45" s="112"/>
      <c r="L45" s="231"/>
      <c r="M45" s="112">
        <v>69</v>
      </c>
      <c r="N45" s="96">
        <f t="shared" si="7"/>
        <v>1725</v>
      </c>
      <c r="O45" s="96">
        <f t="shared" si="8"/>
        <v>410.71428571428572</v>
      </c>
      <c r="P45" s="149" t="s">
        <v>168</v>
      </c>
      <c r="Q45" s="239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  <c r="CH45" s="228"/>
      <c r="CI45" s="228"/>
      <c r="CJ45" s="228"/>
      <c r="CK45" s="228"/>
      <c r="CL45" s="228"/>
      <c r="CM45" s="228"/>
      <c r="CN45" s="228"/>
      <c r="CO45" s="228"/>
      <c r="CP45" s="228"/>
      <c r="CQ45" s="228"/>
      <c r="CR45" s="228"/>
      <c r="CS45" s="228"/>
      <c r="CT45" s="228"/>
      <c r="CU45" s="228"/>
      <c r="CV45" s="228"/>
      <c r="CW45" s="228"/>
      <c r="CX45" s="228"/>
      <c r="CY45" s="228"/>
      <c r="CZ45" s="228"/>
      <c r="DA45" s="228"/>
      <c r="DB45" s="228"/>
      <c r="DC45" s="228"/>
      <c r="DD45" s="228"/>
      <c r="DE45" s="228"/>
      <c r="DF45" s="228"/>
      <c r="DG45" s="228"/>
      <c r="DH45" s="228"/>
      <c r="DI45" s="228"/>
      <c r="DJ45" s="228"/>
      <c r="DK45" s="228"/>
      <c r="DL45" s="228"/>
      <c r="DM45" s="228"/>
      <c r="DN45" s="228"/>
      <c r="DO45" s="228"/>
      <c r="DP45" s="228"/>
      <c r="DQ45" s="228"/>
      <c r="DR45" s="228"/>
      <c r="DS45" s="228"/>
      <c r="DT45" s="228"/>
      <c r="DU45" s="228"/>
      <c r="DV45" s="228"/>
      <c r="DW45" s="228"/>
      <c r="DX45" s="228"/>
      <c r="DY45" s="228"/>
      <c r="DZ45" s="228"/>
      <c r="EA45" s="228"/>
      <c r="EB45" s="228"/>
      <c r="EC45" s="228"/>
      <c r="ED45" s="228"/>
      <c r="EE45" s="228"/>
      <c r="EF45" s="228"/>
      <c r="EG45" s="228"/>
      <c r="EH45" s="228"/>
      <c r="EI45" s="228"/>
      <c r="EJ45" s="228"/>
      <c r="EK45" s="228"/>
      <c r="EL45" s="228"/>
      <c r="EM45" s="228"/>
      <c r="EN45" s="228"/>
      <c r="EO45" s="228"/>
      <c r="EP45" s="228"/>
      <c r="EQ45" s="228"/>
      <c r="ER45" s="228"/>
      <c r="ES45" s="228"/>
      <c r="ET45" s="228"/>
      <c r="EU45" s="228"/>
      <c r="EV45" s="228"/>
      <c r="EW45" s="228"/>
      <c r="EX45" s="228"/>
      <c r="EY45" s="228"/>
      <c r="EZ45" s="228"/>
      <c r="FA45" s="228"/>
      <c r="FB45" s="228"/>
      <c r="FC45" s="228"/>
      <c r="FD45" s="228"/>
      <c r="FE45" s="228"/>
      <c r="FF45" s="228"/>
      <c r="FG45" s="228"/>
      <c r="FH45" s="228"/>
      <c r="FI45" s="228"/>
      <c r="FJ45" s="228"/>
      <c r="FK45" s="228"/>
      <c r="FL45" s="228"/>
      <c r="FM45" s="228"/>
      <c r="FN45" s="228"/>
      <c r="FO45" s="228"/>
      <c r="FP45" s="228"/>
      <c r="FQ45" s="228"/>
      <c r="FR45" s="228"/>
      <c r="FS45" s="228"/>
      <c r="FT45" s="228"/>
      <c r="FU45" s="228"/>
      <c r="FV45" s="228"/>
      <c r="FW45" s="228"/>
      <c r="FX45" s="228"/>
      <c r="FY45" s="228"/>
      <c r="FZ45" s="228"/>
      <c r="GA45" s="228"/>
      <c r="GB45" s="228"/>
      <c r="GC45" s="228"/>
      <c r="GD45" s="228"/>
      <c r="GE45" s="228"/>
      <c r="GF45" s="228"/>
      <c r="GG45" s="228"/>
      <c r="GH45" s="228"/>
      <c r="GI45" s="228"/>
      <c r="GJ45" s="228"/>
      <c r="GK45" s="228"/>
      <c r="GL45" s="228"/>
      <c r="GM45" s="228"/>
      <c r="GN45" s="228"/>
      <c r="GO45" s="228"/>
      <c r="GP45" s="228"/>
      <c r="GQ45" s="228"/>
      <c r="GR45" s="228"/>
      <c r="GS45" s="228"/>
      <c r="GT45" s="228"/>
      <c r="GU45" s="228"/>
      <c r="GV45" s="228"/>
      <c r="GW45" s="228"/>
      <c r="GX45" s="228"/>
      <c r="GY45" s="228"/>
      <c r="GZ45" s="228"/>
      <c r="HA45" s="228"/>
      <c r="HB45" s="228"/>
      <c r="HC45" s="228"/>
      <c r="HD45" s="228"/>
      <c r="HE45" s="228"/>
      <c r="HF45" s="228"/>
      <c r="HG45" s="228"/>
      <c r="HH45" s="228"/>
      <c r="HI45" s="228"/>
      <c r="HJ45" s="228"/>
      <c r="HK45" s="228"/>
      <c r="HL45" s="228"/>
      <c r="HM45" s="228"/>
      <c r="HN45" s="228"/>
      <c r="HO45" s="228"/>
    </row>
    <row r="46" spans="1:223" ht="15.5" x14ac:dyDescent="0.35">
      <c r="A46" s="103">
        <v>46092</v>
      </c>
      <c r="B46" s="79">
        <v>0.93402777777777779</v>
      </c>
      <c r="C46" s="79">
        <v>0.23958333333333334</v>
      </c>
      <c r="D46" s="111">
        <f t="shared" si="6"/>
        <v>0.30555555555555547</v>
      </c>
      <c r="E46" s="322">
        <f t="shared" si="2"/>
        <v>2360625</v>
      </c>
      <c r="F46" s="318">
        <v>2361401</v>
      </c>
      <c r="G46" s="328">
        <f t="shared" si="1"/>
        <v>7.76</v>
      </c>
      <c r="H46" s="112"/>
      <c r="I46" s="112"/>
      <c r="J46" s="112"/>
      <c r="K46" s="112"/>
      <c r="L46" s="231"/>
      <c r="M46" s="112">
        <v>129</v>
      </c>
      <c r="N46" s="96">
        <f t="shared" si="7"/>
        <v>3225</v>
      </c>
      <c r="O46" s="96">
        <f t="shared" si="8"/>
        <v>415.59278350515467</v>
      </c>
      <c r="P46" s="149" t="s">
        <v>188</v>
      </c>
      <c r="Q46" s="239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28"/>
      <c r="CL46" s="228"/>
      <c r="CM46" s="228"/>
      <c r="CN46" s="228"/>
      <c r="CO46" s="228"/>
      <c r="CP46" s="228"/>
      <c r="CQ46" s="228"/>
      <c r="CR46" s="228"/>
      <c r="CS46" s="228"/>
      <c r="CT46" s="228"/>
      <c r="CU46" s="228"/>
      <c r="CV46" s="228"/>
      <c r="CW46" s="228"/>
      <c r="CX46" s="228"/>
      <c r="CY46" s="228"/>
      <c r="CZ46" s="228"/>
      <c r="DA46" s="228"/>
      <c r="DB46" s="228"/>
      <c r="DC46" s="228"/>
      <c r="DD46" s="228"/>
      <c r="DE46" s="228"/>
      <c r="DF46" s="228"/>
      <c r="DG46" s="228"/>
      <c r="DH46" s="228"/>
      <c r="DI46" s="228"/>
      <c r="DJ46" s="228"/>
      <c r="DK46" s="228"/>
      <c r="DL46" s="228"/>
      <c r="DM46" s="228"/>
      <c r="DN46" s="228"/>
      <c r="DO46" s="228"/>
      <c r="DP46" s="228"/>
      <c r="DQ46" s="228"/>
      <c r="DR46" s="228"/>
      <c r="DS46" s="228"/>
      <c r="DT46" s="228"/>
      <c r="DU46" s="228"/>
      <c r="DV46" s="228"/>
      <c r="DW46" s="228"/>
      <c r="DX46" s="228"/>
      <c r="DY46" s="228"/>
      <c r="DZ46" s="228"/>
      <c r="EA46" s="228"/>
      <c r="EB46" s="228"/>
      <c r="EC46" s="228"/>
      <c r="ED46" s="228"/>
      <c r="EE46" s="228"/>
      <c r="EF46" s="228"/>
      <c r="EG46" s="228"/>
      <c r="EH46" s="228"/>
      <c r="EI46" s="228"/>
      <c r="EJ46" s="228"/>
      <c r="EK46" s="228"/>
      <c r="EL46" s="228"/>
      <c r="EM46" s="228"/>
      <c r="EN46" s="228"/>
      <c r="EO46" s="228"/>
      <c r="EP46" s="228"/>
      <c r="EQ46" s="228"/>
      <c r="ER46" s="228"/>
      <c r="ES46" s="228"/>
      <c r="ET46" s="228"/>
      <c r="EU46" s="228"/>
      <c r="EV46" s="228"/>
      <c r="EW46" s="228"/>
      <c r="EX46" s="228"/>
      <c r="EY46" s="228"/>
      <c r="EZ46" s="228"/>
      <c r="FA46" s="228"/>
      <c r="FB46" s="228"/>
      <c r="FC46" s="228"/>
      <c r="FD46" s="228"/>
      <c r="FE46" s="228"/>
      <c r="FF46" s="228"/>
      <c r="FG46" s="228"/>
      <c r="FH46" s="228"/>
      <c r="FI46" s="228"/>
      <c r="FJ46" s="228"/>
      <c r="FK46" s="228"/>
      <c r="FL46" s="228"/>
      <c r="FM46" s="228"/>
      <c r="FN46" s="228"/>
      <c r="FO46" s="228"/>
      <c r="FP46" s="228"/>
      <c r="FQ46" s="228"/>
      <c r="FR46" s="228"/>
      <c r="FS46" s="228"/>
      <c r="FT46" s="228"/>
      <c r="FU46" s="228"/>
      <c r="FV46" s="228"/>
      <c r="FW46" s="228"/>
      <c r="FX46" s="228"/>
      <c r="FY46" s="228"/>
      <c r="FZ46" s="228"/>
      <c r="GA46" s="228"/>
      <c r="GB46" s="228"/>
      <c r="GC46" s="228"/>
      <c r="GD46" s="228"/>
      <c r="GE46" s="228"/>
      <c r="GF46" s="228"/>
      <c r="GG46" s="228"/>
      <c r="GH46" s="228"/>
      <c r="GI46" s="228"/>
      <c r="GJ46" s="228"/>
      <c r="GK46" s="228"/>
      <c r="GL46" s="228"/>
      <c r="GM46" s="228"/>
      <c r="GN46" s="228"/>
      <c r="GO46" s="228"/>
      <c r="GP46" s="228"/>
      <c r="GQ46" s="228"/>
      <c r="GR46" s="228"/>
      <c r="GS46" s="228"/>
      <c r="GT46" s="228"/>
      <c r="GU46" s="228"/>
      <c r="GV46" s="228"/>
      <c r="GW46" s="228"/>
      <c r="GX46" s="228"/>
      <c r="GY46" s="228"/>
      <c r="GZ46" s="228"/>
      <c r="HA46" s="228"/>
      <c r="HB46" s="228"/>
      <c r="HC46" s="228"/>
      <c r="HD46" s="228"/>
      <c r="HE46" s="228"/>
      <c r="HF46" s="228"/>
      <c r="HG46" s="228"/>
      <c r="HH46" s="228"/>
      <c r="HI46" s="228"/>
      <c r="HJ46" s="228"/>
      <c r="HK46" s="228"/>
      <c r="HL46" s="228"/>
      <c r="HM46" s="228"/>
      <c r="HN46" s="228"/>
      <c r="HO46" s="228"/>
    </row>
    <row r="47" spans="1:223" s="229" customFormat="1" ht="15.5" x14ac:dyDescent="0.35">
      <c r="A47" s="103">
        <v>46093</v>
      </c>
      <c r="B47" s="79">
        <v>0.26041666666666669</v>
      </c>
      <c r="C47" s="79">
        <v>0.49583333333333335</v>
      </c>
      <c r="D47" s="111">
        <f t="shared" si="6"/>
        <v>1.2354166666666666</v>
      </c>
      <c r="E47" s="322">
        <f t="shared" si="2"/>
        <v>2361401</v>
      </c>
      <c r="F47" s="318">
        <v>2361839</v>
      </c>
      <c r="G47" s="328">
        <f t="shared" si="1"/>
        <v>4.38</v>
      </c>
      <c r="H47" s="112"/>
      <c r="I47" s="112"/>
      <c r="J47" s="112"/>
      <c r="K47" s="112"/>
      <c r="L47" s="231"/>
      <c r="M47" s="112">
        <v>69</v>
      </c>
      <c r="N47" s="96">
        <f t="shared" si="7"/>
        <v>1725</v>
      </c>
      <c r="O47" s="96">
        <f t="shared" si="8"/>
        <v>393.83561643835617</v>
      </c>
      <c r="P47" s="149" t="s">
        <v>167</v>
      </c>
      <c r="Q47" s="43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  <c r="CJ47" s="228"/>
      <c r="CK47" s="228"/>
      <c r="CL47" s="228"/>
      <c r="CM47" s="228"/>
      <c r="CN47" s="228"/>
      <c r="CO47" s="228"/>
      <c r="CP47" s="228"/>
      <c r="CQ47" s="228"/>
      <c r="CR47" s="228"/>
      <c r="CS47" s="228"/>
      <c r="CT47" s="228"/>
      <c r="CU47" s="228"/>
      <c r="CV47" s="228"/>
      <c r="CW47" s="228"/>
      <c r="CX47" s="228"/>
      <c r="CY47" s="228"/>
      <c r="CZ47" s="228"/>
      <c r="DA47" s="228"/>
      <c r="DB47" s="228"/>
      <c r="DC47" s="228"/>
      <c r="DD47" s="228"/>
      <c r="DE47" s="228"/>
      <c r="DF47" s="228"/>
      <c r="DG47" s="228"/>
      <c r="DH47" s="228"/>
      <c r="DI47" s="228"/>
      <c r="DJ47" s="228"/>
      <c r="DK47" s="228"/>
      <c r="DL47" s="228"/>
      <c r="DM47" s="228"/>
      <c r="DN47" s="228"/>
      <c r="DO47" s="228"/>
      <c r="DP47" s="228"/>
      <c r="DQ47" s="228"/>
      <c r="DR47" s="228"/>
      <c r="DS47" s="228"/>
      <c r="DT47" s="228"/>
      <c r="DU47" s="228"/>
      <c r="DV47" s="228"/>
      <c r="DW47" s="228"/>
      <c r="DX47" s="228"/>
      <c r="DY47" s="228"/>
      <c r="DZ47" s="228"/>
      <c r="EA47" s="228"/>
      <c r="EB47" s="228"/>
      <c r="EC47" s="228"/>
      <c r="ED47" s="228"/>
      <c r="EE47" s="228"/>
      <c r="EF47" s="228"/>
      <c r="EG47" s="228"/>
      <c r="EH47" s="228"/>
      <c r="EI47" s="228"/>
      <c r="EJ47" s="228"/>
      <c r="EK47" s="228"/>
      <c r="EL47" s="228"/>
      <c r="EM47" s="228"/>
      <c r="EN47" s="228"/>
      <c r="EO47" s="228"/>
      <c r="EP47" s="228"/>
      <c r="EQ47" s="228"/>
      <c r="ER47" s="228"/>
      <c r="ES47" s="228"/>
      <c r="ET47" s="228"/>
      <c r="EU47" s="228"/>
      <c r="EV47" s="228"/>
      <c r="EW47" s="228"/>
      <c r="EX47" s="228"/>
      <c r="EY47" s="228"/>
      <c r="EZ47" s="228"/>
      <c r="FA47" s="228"/>
      <c r="FB47" s="228"/>
      <c r="FC47" s="228"/>
      <c r="FD47" s="228"/>
      <c r="FE47" s="228"/>
      <c r="FF47" s="228"/>
      <c r="FG47" s="228"/>
      <c r="FH47" s="228"/>
      <c r="FI47" s="228"/>
      <c r="FJ47" s="228"/>
      <c r="FK47" s="228"/>
      <c r="FL47" s="228"/>
      <c r="FM47" s="228"/>
      <c r="FN47" s="228"/>
      <c r="FO47" s="228"/>
      <c r="FP47" s="228"/>
      <c r="FQ47" s="228"/>
      <c r="FR47" s="228"/>
      <c r="FS47" s="228"/>
      <c r="FT47" s="228"/>
      <c r="FU47" s="228"/>
      <c r="FV47" s="228"/>
      <c r="FW47" s="228"/>
      <c r="FX47" s="228"/>
      <c r="FY47" s="228"/>
      <c r="FZ47" s="228"/>
      <c r="GA47" s="228"/>
      <c r="GB47" s="228"/>
      <c r="GC47" s="228"/>
      <c r="GD47" s="228"/>
      <c r="GE47" s="228"/>
      <c r="GF47" s="228"/>
      <c r="GG47" s="228"/>
      <c r="GH47" s="228"/>
      <c r="GI47" s="228"/>
      <c r="GJ47" s="228"/>
      <c r="GK47" s="228"/>
      <c r="GL47" s="228"/>
      <c r="GM47" s="228"/>
      <c r="GN47" s="228"/>
      <c r="GO47" s="228"/>
      <c r="GP47" s="228"/>
      <c r="GQ47" s="228"/>
      <c r="GR47" s="228"/>
      <c r="GS47" s="228"/>
      <c r="GT47" s="228"/>
      <c r="GU47" s="228"/>
      <c r="GV47" s="228"/>
      <c r="GW47" s="228"/>
      <c r="GX47" s="228"/>
      <c r="GY47" s="228"/>
      <c r="GZ47" s="228"/>
      <c r="HA47" s="228"/>
      <c r="HB47" s="228"/>
      <c r="HC47" s="228"/>
      <c r="HD47" s="228"/>
      <c r="HE47" s="228"/>
      <c r="HF47" s="228"/>
      <c r="HG47" s="228"/>
      <c r="HH47" s="228"/>
      <c r="HI47" s="228"/>
      <c r="HJ47" s="228"/>
      <c r="HK47" s="228"/>
      <c r="HL47" s="228"/>
      <c r="HM47" s="228"/>
      <c r="HN47" s="228"/>
      <c r="HO47" s="228"/>
    </row>
    <row r="48" spans="1:223" s="229" customFormat="1" ht="15.5" x14ac:dyDescent="0.35">
      <c r="A48" s="103">
        <v>46093</v>
      </c>
      <c r="B48" s="79">
        <v>0.5625</v>
      </c>
      <c r="C48" s="79">
        <v>0.57986111111111116</v>
      </c>
      <c r="D48" s="111">
        <f t="shared" si="6"/>
        <v>1.0173611111111112</v>
      </c>
      <c r="E48" s="322">
        <f t="shared" si="2"/>
        <v>2361839</v>
      </c>
      <c r="F48" s="318">
        <v>2361930</v>
      </c>
      <c r="G48" s="328">
        <f t="shared" si="1"/>
        <v>0.91</v>
      </c>
      <c r="H48" s="112"/>
      <c r="I48" s="112"/>
      <c r="J48" s="112"/>
      <c r="K48" s="112"/>
      <c r="L48" s="231"/>
      <c r="M48" s="112">
        <v>12</v>
      </c>
      <c r="N48" s="96">
        <f t="shared" si="7"/>
        <v>300</v>
      </c>
      <c r="O48" s="96">
        <f t="shared" si="8"/>
        <v>329.67032967032964</v>
      </c>
      <c r="P48" s="333" t="s">
        <v>192</v>
      </c>
      <c r="Q48" s="239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8"/>
      <c r="BM48" s="228"/>
      <c r="BN48" s="228"/>
      <c r="BO48" s="228"/>
      <c r="BP48" s="228"/>
      <c r="BQ48" s="228"/>
      <c r="BR48" s="228"/>
      <c r="BS48" s="228"/>
      <c r="BT48" s="228"/>
      <c r="BU48" s="228"/>
      <c r="BV48" s="228"/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  <c r="CG48" s="228"/>
      <c r="CH48" s="228"/>
      <c r="CI48" s="228"/>
      <c r="CJ48" s="228"/>
      <c r="CK48" s="228"/>
      <c r="CL48" s="228"/>
      <c r="CM48" s="228"/>
      <c r="CN48" s="228"/>
      <c r="CO48" s="228"/>
      <c r="CP48" s="228"/>
      <c r="CQ48" s="228"/>
      <c r="CR48" s="228"/>
      <c r="CS48" s="228"/>
      <c r="CT48" s="228"/>
      <c r="CU48" s="228"/>
      <c r="CV48" s="228"/>
      <c r="CW48" s="228"/>
      <c r="CX48" s="228"/>
      <c r="CY48" s="228"/>
      <c r="CZ48" s="228"/>
      <c r="DA48" s="228"/>
      <c r="DB48" s="228"/>
      <c r="DC48" s="228"/>
      <c r="DD48" s="228"/>
      <c r="DE48" s="228"/>
      <c r="DF48" s="228"/>
      <c r="DG48" s="228"/>
      <c r="DH48" s="228"/>
      <c r="DI48" s="228"/>
      <c r="DJ48" s="228"/>
      <c r="DK48" s="228"/>
      <c r="DL48" s="228"/>
      <c r="DM48" s="228"/>
      <c r="DN48" s="228"/>
      <c r="DO48" s="228"/>
      <c r="DP48" s="228"/>
      <c r="DQ48" s="228"/>
      <c r="DR48" s="228"/>
      <c r="DS48" s="228"/>
      <c r="DT48" s="228"/>
      <c r="DU48" s="228"/>
      <c r="DV48" s="228"/>
      <c r="DW48" s="228"/>
      <c r="DX48" s="228"/>
      <c r="DY48" s="228"/>
      <c r="DZ48" s="228"/>
      <c r="EA48" s="228"/>
      <c r="EB48" s="228"/>
      <c r="EC48" s="228"/>
      <c r="ED48" s="228"/>
      <c r="EE48" s="228"/>
      <c r="EF48" s="228"/>
      <c r="EG48" s="228"/>
      <c r="EH48" s="228"/>
      <c r="EI48" s="228"/>
      <c r="EJ48" s="228"/>
      <c r="EK48" s="228"/>
      <c r="EL48" s="228"/>
      <c r="EM48" s="228"/>
      <c r="EN48" s="228"/>
      <c r="EO48" s="228"/>
      <c r="EP48" s="228"/>
      <c r="EQ48" s="228"/>
      <c r="ER48" s="228"/>
      <c r="ES48" s="228"/>
      <c r="ET48" s="228"/>
      <c r="EU48" s="228"/>
      <c r="EV48" s="228"/>
      <c r="EW48" s="228"/>
      <c r="EX48" s="228"/>
      <c r="EY48" s="228"/>
      <c r="EZ48" s="228"/>
      <c r="FA48" s="228"/>
      <c r="FB48" s="228"/>
      <c r="FC48" s="228"/>
      <c r="FD48" s="228"/>
      <c r="FE48" s="228"/>
      <c r="FF48" s="228"/>
      <c r="FG48" s="228"/>
      <c r="FH48" s="228"/>
      <c r="FI48" s="228"/>
      <c r="FJ48" s="228"/>
      <c r="FK48" s="228"/>
      <c r="FL48" s="228"/>
      <c r="FM48" s="228"/>
      <c r="FN48" s="228"/>
      <c r="FO48" s="228"/>
      <c r="FP48" s="228"/>
      <c r="FQ48" s="228"/>
      <c r="FR48" s="228"/>
      <c r="FS48" s="228"/>
      <c r="FT48" s="228"/>
      <c r="FU48" s="228"/>
      <c r="FV48" s="228"/>
      <c r="FW48" s="228"/>
      <c r="FX48" s="228"/>
      <c r="FY48" s="228"/>
      <c r="FZ48" s="228"/>
      <c r="GA48" s="228"/>
      <c r="GB48" s="228"/>
      <c r="GC48" s="228"/>
      <c r="GD48" s="228"/>
      <c r="GE48" s="228"/>
      <c r="GF48" s="228"/>
      <c r="GG48" s="228"/>
      <c r="GH48" s="228"/>
      <c r="GI48" s="228"/>
      <c r="GJ48" s="228"/>
      <c r="GK48" s="228"/>
      <c r="GL48" s="228"/>
      <c r="GM48" s="228"/>
      <c r="GN48" s="228"/>
      <c r="GO48" s="228"/>
      <c r="GP48" s="228"/>
      <c r="GQ48" s="228"/>
      <c r="GR48" s="228"/>
      <c r="GS48" s="228"/>
      <c r="GT48" s="228"/>
      <c r="GU48" s="228"/>
      <c r="GV48" s="228"/>
      <c r="GW48" s="228"/>
      <c r="GX48" s="228"/>
      <c r="GY48" s="228"/>
      <c r="GZ48" s="228"/>
      <c r="HA48" s="228"/>
      <c r="HB48" s="228"/>
      <c r="HC48" s="228"/>
      <c r="HD48" s="228"/>
      <c r="HE48" s="228"/>
      <c r="HF48" s="228"/>
      <c r="HG48" s="228"/>
      <c r="HH48" s="228"/>
      <c r="HI48" s="228"/>
      <c r="HJ48" s="228"/>
      <c r="HK48" s="228"/>
      <c r="HL48" s="228"/>
      <c r="HM48" s="228"/>
      <c r="HN48" s="228"/>
      <c r="HO48" s="228"/>
    </row>
    <row r="49" spans="1:18" ht="15.5" x14ac:dyDescent="0.35">
      <c r="A49" s="103">
        <v>46093</v>
      </c>
      <c r="B49" s="79">
        <v>0.60277777777777775</v>
      </c>
      <c r="C49" s="79">
        <v>0.75555555555555554</v>
      </c>
      <c r="D49" s="111">
        <f>1+'TUBULAR VERDE'!C47-'TUBULAR VERDE'!B47</f>
        <v>1.1298611111111112</v>
      </c>
      <c r="E49" s="322">
        <f t="shared" si="2"/>
        <v>2361930</v>
      </c>
      <c r="F49" s="318">
        <v>2362342</v>
      </c>
      <c r="G49" s="328">
        <f t="shared" si="1"/>
        <v>4.12</v>
      </c>
      <c r="H49" s="112" t="s">
        <v>216</v>
      </c>
      <c r="I49" s="112"/>
      <c r="J49" s="112"/>
      <c r="K49" s="112"/>
      <c r="L49" s="231"/>
      <c r="M49" s="112">
        <v>45</v>
      </c>
      <c r="N49" s="96" t="e">
        <f t="shared" si="7"/>
        <v>#VALUE!</v>
      </c>
      <c r="O49" s="96" t="e">
        <f t="shared" ref="O49:O56" si="9">+N49/G49</f>
        <v>#VALUE!</v>
      </c>
      <c r="P49" s="149" t="s">
        <v>191</v>
      </c>
      <c r="Q49" s="239"/>
    </row>
    <row r="50" spans="1:18" ht="15.5" x14ac:dyDescent="0.35">
      <c r="A50" s="336">
        <v>46093</v>
      </c>
      <c r="B50" s="79">
        <v>0.76111111111111107</v>
      </c>
      <c r="C50" s="79">
        <v>0.90416666666666667</v>
      </c>
      <c r="D50" s="111">
        <f>1+C50-B50</f>
        <v>1.1430555555555557</v>
      </c>
      <c r="E50" s="322">
        <f t="shared" si="2"/>
        <v>2362342</v>
      </c>
      <c r="F50" s="318">
        <v>2362701</v>
      </c>
      <c r="G50" s="328">
        <f t="shared" si="1"/>
        <v>3.59</v>
      </c>
      <c r="H50" s="112"/>
      <c r="I50" s="112"/>
      <c r="J50" s="112">
        <v>17</v>
      </c>
      <c r="K50" s="112"/>
      <c r="L50" s="231"/>
      <c r="M50" s="112">
        <v>56</v>
      </c>
      <c r="N50" s="96">
        <f t="shared" si="7"/>
        <v>1638</v>
      </c>
      <c r="O50" s="96">
        <f t="shared" si="9"/>
        <v>456.26740947075211</v>
      </c>
      <c r="P50" s="149" t="s">
        <v>168</v>
      </c>
      <c r="Q50" s="61"/>
    </row>
    <row r="51" spans="1:18" ht="15.5" x14ac:dyDescent="0.35">
      <c r="A51" s="103">
        <v>46093</v>
      </c>
      <c r="B51" s="79">
        <v>0.92361111111111116</v>
      </c>
      <c r="C51" s="79">
        <v>0.23958333333333334</v>
      </c>
      <c r="D51" s="111">
        <f>1+C51-B51</f>
        <v>0.3159722222222221</v>
      </c>
      <c r="E51" s="322">
        <f t="shared" si="2"/>
        <v>2362701</v>
      </c>
      <c r="F51" s="318">
        <v>2363506</v>
      </c>
      <c r="G51" s="328">
        <f t="shared" si="1"/>
        <v>8.0500000000000007</v>
      </c>
      <c r="H51" s="112"/>
      <c r="I51" s="112"/>
      <c r="J51" s="112"/>
      <c r="K51" s="112"/>
      <c r="L51" s="231"/>
      <c r="M51" s="112">
        <v>133</v>
      </c>
      <c r="N51" s="96">
        <f t="shared" si="7"/>
        <v>3325</v>
      </c>
      <c r="O51" s="96">
        <f t="shared" si="9"/>
        <v>413.04347826086951</v>
      </c>
      <c r="P51" s="149" t="s">
        <v>188</v>
      </c>
      <c r="Q51" s="239"/>
    </row>
    <row r="52" spans="1:18" ht="15.5" x14ac:dyDescent="0.35">
      <c r="A52" s="103">
        <v>46094</v>
      </c>
      <c r="B52" s="79">
        <v>0.2638888888888889</v>
      </c>
      <c r="C52" s="79">
        <v>0.56944444444444442</v>
      </c>
      <c r="D52" s="111">
        <f t="shared" ref="D52:D69" si="10">1+C52-B52</f>
        <v>1.3055555555555556</v>
      </c>
      <c r="E52" s="322">
        <f t="shared" si="2"/>
        <v>2363506</v>
      </c>
      <c r="F52" s="318">
        <v>2364330</v>
      </c>
      <c r="G52" s="328">
        <v>4</v>
      </c>
      <c r="H52" s="112"/>
      <c r="I52" s="112"/>
      <c r="J52" s="112"/>
      <c r="K52" s="112"/>
      <c r="L52" s="231"/>
      <c r="M52" s="112">
        <v>124</v>
      </c>
      <c r="N52" s="96">
        <f t="shared" si="4"/>
        <v>3100</v>
      </c>
      <c r="O52" s="96">
        <f t="shared" si="9"/>
        <v>775</v>
      </c>
      <c r="P52" s="149" t="s">
        <v>167</v>
      </c>
      <c r="Q52" s="61"/>
    </row>
    <row r="53" spans="1:18" ht="15.5" x14ac:dyDescent="0.35">
      <c r="A53" s="103">
        <v>46094</v>
      </c>
      <c r="B53" s="79">
        <v>0.58611111111111114</v>
      </c>
      <c r="C53" s="79">
        <v>0.74861111111111112</v>
      </c>
      <c r="D53" s="111">
        <f t="shared" si="10"/>
        <v>1.1625000000000001</v>
      </c>
      <c r="E53" s="322">
        <f t="shared" si="2"/>
        <v>2364330</v>
      </c>
      <c r="F53" s="318">
        <v>2364730</v>
      </c>
      <c r="G53" s="328">
        <f t="shared" si="1"/>
        <v>4</v>
      </c>
      <c r="H53" s="112"/>
      <c r="I53" s="112"/>
      <c r="J53" s="112"/>
      <c r="K53" s="112"/>
      <c r="L53" s="231"/>
      <c r="M53" s="112">
        <v>65</v>
      </c>
      <c r="N53" s="96">
        <f t="shared" si="4"/>
        <v>1625</v>
      </c>
      <c r="O53" s="96">
        <f t="shared" si="9"/>
        <v>406.25</v>
      </c>
      <c r="P53" s="149" t="s">
        <v>173</v>
      </c>
      <c r="Q53" s="239"/>
      <c r="R53" t="s">
        <v>141</v>
      </c>
    </row>
    <row r="54" spans="1:18" ht="15.5" x14ac:dyDescent="0.35">
      <c r="A54" s="103">
        <v>46094</v>
      </c>
      <c r="B54" s="72">
        <v>0.76666666666666672</v>
      </c>
      <c r="C54" s="72">
        <v>0.90277777777777779</v>
      </c>
      <c r="D54" s="111">
        <f t="shared" si="10"/>
        <v>1.1361111111111111</v>
      </c>
      <c r="E54" s="322">
        <f t="shared" si="2"/>
        <v>2364730</v>
      </c>
      <c r="F54" s="318">
        <v>2365037</v>
      </c>
      <c r="G54" s="328">
        <f t="shared" si="1"/>
        <v>3.07</v>
      </c>
      <c r="H54" s="112"/>
      <c r="I54" s="112"/>
      <c r="J54" s="112"/>
      <c r="K54" s="112"/>
      <c r="L54" s="112"/>
      <c r="M54" s="112">
        <v>49</v>
      </c>
      <c r="N54" s="96">
        <f t="shared" si="4"/>
        <v>1225</v>
      </c>
      <c r="O54" s="96">
        <f t="shared" si="9"/>
        <v>399.02280130293161</v>
      </c>
      <c r="P54" s="333" t="s">
        <v>173</v>
      </c>
      <c r="Q54" s="239" t="s">
        <v>219</v>
      </c>
    </row>
    <row r="55" spans="1:18" ht="15.5" x14ac:dyDescent="0.35">
      <c r="A55" s="103">
        <v>46094</v>
      </c>
      <c r="B55" s="79">
        <v>0.91666666666666663</v>
      </c>
      <c r="C55" s="79">
        <v>0.2361111111111111</v>
      </c>
      <c r="D55" s="111">
        <f t="shared" si="10"/>
        <v>0.31944444444444453</v>
      </c>
      <c r="E55" s="322">
        <f t="shared" si="2"/>
        <v>2365037</v>
      </c>
      <c r="F55" s="318">
        <v>2365835</v>
      </c>
      <c r="G55" s="328">
        <f t="shared" si="1"/>
        <v>7.98</v>
      </c>
      <c r="H55" s="112"/>
      <c r="I55" s="112"/>
      <c r="J55" s="112"/>
      <c r="K55" s="112"/>
      <c r="L55" s="231"/>
      <c r="M55" s="112">
        <v>136</v>
      </c>
      <c r="N55" s="96">
        <f t="shared" si="4"/>
        <v>3400</v>
      </c>
      <c r="O55" s="96">
        <f t="shared" si="9"/>
        <v>426.06516290726813</v>
      </c>
      <c r="P55" s="333" t="s">
        <v>188</v>
      </c>
      <c r="Q55" s="239"/>
    </row>
    <row r="56" spans="1:18" ht="15.5" x14ac:dyDescent="0.35">
      <c r="A56" s="103">
        <v>46095</v>
      </c>
      <c r="B56" s="79">
        <v>0.25833333333333336</v>
      </c>
      <c r="C56" s="79">
        <v>0.56944444444444442</v>
      </c>
      <c r="D56" s="111">
        <f t="shared" si="10"/>
        <v>1.3111111111111111</v>
      </c>
      <c r="E56" s="322">
        <f t="shared" si="2"/>
        <v>2365835</v>
      </c>
      <c r="F56" s="318">
        <v>2366611</v>
      </c>
      <c r="G56" s="328">
        <f t="shared" si="1"/>
        <v>7.76</v>
      </c>
      <c r="H56" s="112">
        <v>10</v>
      </c>
      <c r="I56" s="112"/>
      <c r="J56" s="112"/>
      <c r="K56" s="112"/>
      <c r="L56" s="231">
        <v>110</v>
      </c>
      <c r="M56" s="112">
        <v>50</v>
      </c>
      <c r="N56" s="96">
        <f t="shared" si="4"/>
        <v>2915</v>
      </c>
      <c r="O56" s="96">
        <f t="shared" si="9"/>
        <v>375.64432989690721</v>
      </c>
      <c r="P56" s="149" t="s">
        <v>167</v>
      </c>
      <c r="Q56" s="239"/>
    </row>
    <row r="57" spans="1:18" ht="15.5" x14ac:dyDescent="0.35">
      <c r="A57" s="103">
        <v>46095</v>
      </c>
      <c r="B57" s="79">
        <v>0.60416666666666663</v>
      </c>
      <c r="C57" s="79">
        <v>0.75</v>
      </c>
      <c r="D57" s="111">
        <f t="shared" si="10"/>
        <v>1.1458333333333335</v>
      </c>
      <c r="E57" s="322">
        <f t="shared" si="2"/>
        <v>2366611</v>
      </c>
      <c r="F57" s="318">
        <v>2367022</v>
      </c>
      <c r="G57" s="328">
        <f t="shared" si="1"/>
        <v>4.1100000000000003</v>
      </c>
      <c r="H57" s="112"/>
      <c r="I57" s="112"/>
      <c r="J57" s="112"/>
      <c r="K57" s="112"/>
      <c r="L57" s="231">
        <v>109</v>
      </c>
      <c r="M57" s="112"/>
      <c r="N57" s="96">
        <f t="shared" si="4"/>
        <v>1635</v>
      </c>
      <c r="O57" s="96">
        <f>N57/G57</f>
        <v>397.81021897810217</v>
      </c>
      <c r="P57" s="149" t="s">
        <v>168</v>
      </c>
      <c r="Q57" s="239"/>
    </row>
    <row r="58" spans="1:18" ht="15.5" x14ac:dyDescent="0.35">
      <c r="A58" s="103">
        <v>46095</v>
      </c>
      <c r="B58" s="72">
        <v>0.76944444444444449</v>
      </c>
      <c r="C58" s="72">
        <v>0.90972222222222221</v>
      </c>
      <c r="D58" s="111">
        <f t="shared" si="10"/>
        <v>1.1402777777777779</v>
      </c>
      <c r="E58" s="322">
        <f t="shared" si="2"/>
        <v>2367022</v>
      </c>
      <c r="F58" s="318">
        <v>2367409</v>
      </c>
      <c r="G58" s="328">
        <f t="shared" si="1"/>
        <v>3.87</v>
      </c>
      <c r="H58" s="109"/>
      <c r="I58" s="109"/>
      <c r="J58" s="112"/>
      <c r="K58" s="112"/>
      <c r="L58" s="112"/>
      <c r="M58" s="112">
        <v>63</v>
      </c>
      <c r="N58" s="96">
        <f t="shared" si="4"/>
        <v>1575</v>
      </c>
      <c r="O58" s="96">
        <f t="shared" ref="O58:O65" si="11">N58/G58</f>
        <v>406.97674418604652</v>
      </c>
      <c r="P58" s="149" t="s">
        <v>191</v>
      </c>
      <c r="Q58" s="239"/>
    </row>
    <row r="59" spans="1:18" ht="15.5" x14ac:dyDescent="0.35">
      <c r="A59" s="103">
        <v>46095</v>
      </c>
      <c r="B59" s="79">
        <v>0.92013888888888884</v>
      </c>
      <c r="C59" s="79">
        <v>0.23958333333333334</v>
      </c>
      <c r="D59" s="111">
        <f t="shared" si="10"/>
        <v>0.31944444444444442</v>
      </c>
      <c r="E59" s="322">
        <f t="shared" si="2"/>
        <v>2367409</v>
      </c>
      <c r="F59" s="318">
        <v>2368196</v>
      </c>
      <c r="G59" s="328">
        <f t="shared" si="1"/>
        <v>7.87</v>
      </c>
      <c r="H59" s="112"/>
      <c r="I59" s="112"/>
      <c r="J59" s="112"/>
      <c r="K59" s="112"/>
      <c r="L59" s="112"/>
      <c r="M59" s="112">
        <v>132</v>
      </c>
      <c r="N59" s="96">
        <f t="shared" si="4"/>
        <v>3300</v>
      </c>
      <c r="O59" s="96">
        <f t="shared" si="11"/>
        <v>419.31385006353241</v>
      </c>
      <c r="P59" s="149" t="s">
        <v>188</v>
      </c>
      <c r="Q59" s="239"/>
    </row>
    <row r="60" spans="1:18" ht="15.5" x14ac:dyDescent="0.35">
      <c r="A60" s="103"/>
      <c r="B60" s="79"/>
      <c r="C60" s="79"/>
      <c r="D60" s="111">
        <f t="shared" si="10"/>
        <v>1</v>
      </c>
      <c r="E60" s="322">
        <f t="shared" si="2"/>
        <v>2368196</v>
      </c>
      <c r="F60" s="318"/>
      <c r="G60" s="328">
        <f t="shared" si="1"/>
        <v>-23681.96</v>
      </c>
      <c r="H60" s="112"/>
      <c r="I60" s="112"/>
      <c r="J60" s="112"/>
      <c r="K60" s="112"/>
      <c r="L60" s="231"/>
      <c r="M60" s="112"/>
      <c r="N60" s="96">
        <f t="shared" si="4"/>
        <v>0</v>
      </c>
      <c r="O60" s="96">
        <f t="shared" si="11"/>
        <v>0</v>
      </c>
      <c r="P60" s="149" t="s">
        <v>165</v>
      </c>
      <c r="Q60" s="239"/>
    </row>
    <row r="61" spans="1:18" s="228" customFormat="1" ht="15.5" x14ac:dyDescent="0.35">
      <c r="A61" s="103"/>
      <c r="B61" s="79"/>
      <c r="C61" s="79"/>
      <c r="D61" s="111">
        <f t="shared" si="10"/>
        <v>1</v>
      </c>
      <c r="E61" s="322">
        <f t="shared" si="2"/>
        <v>0</v>
      </c>
      <c r="F61" s="318"/>
      <c r="G61" s="328">
        <f t="shared" si="1"/>
        <v>0</v>
      </c>
      <c r="H61" s="112"/>
      <c r="I61" s="112"/>
      <c r="J61" s="112"/>
      <c r="K61" s="112"/>
      <c r="L61" s="231"/>
      <c r="M61" s="112"/>
      <c r="N61" s="96">
        <f t="shared" si="4"/>
        <v>0</v>
      </c>
      <c r="O61" s="96" t="e">
        <f t="shared" si="11"/>
        <v>#DIV/0!</v>
      </c>
      <c r="P61" s="149" t="s">
        <v>168</v>
      </c>
      <c r="Q61" s="239"/>
    </row>
    <row r="62" spans="1:18" ht="15.5" x14ac:dyDescent="0.35">
      <c r="A62" s="103"/>
      <c r="B62" s="79"/>
      <c r="C62" s="79"/>
      <c r="D62" s="111">
        <f t="shared" si="10"/>
        <v>1</v>
      </c>
      <c r="E62" s="322">
        <f t="shared" si="2"/>
        <v>0</v>
      </c>
      <c r="F62" s="318"/>
      <c r="G62" s="328">
        <f t="shared" si="1"/>
        <v>0</v>
      </c>
      <c r="H62" s="112"/>
      <c r="I62" s="112"/>
      <c r="J62" s="112"/>
      <c r="K62" s="112"/>
      <c r="L62" s="231"/>
      <c r="M62" s="112"/>
      <c r="N62" s="96">
        <f t="shared" si="4"/>
        <v>0</v>
      </c>
      <c r="O62" s="96" t="e">
        <f t="shared" si="11"/>
        <v>#DIV/0!</v>
      </c>
      <c r="P62" s="149" t="s">
        <v>169</v>
      </c>
      <c r="Q62" s="239"/>
    </row>
    <row r="63" spans="1:18" ht="15.5" x14ac:dyDescent="0.35">
      <c r="A63" s="103"/>
      <c r="B63" s="79"/>
      <c r="C63" s="79"/>
      <c r="D63" s="111">
        <f t="shared" si="10"/>
        <v>1</v>
      </c>
      <c r="E63" s="322">
        <f t="shared" si="2"/>
        <v>0</v>
      </c>
      <c r="F63" s="318"/>
      <c r="G63" s="328">
        <f t="shared" si="1"/>
        <v>0</v>
      </c>
      <c r="H63" s="112"/>
      <c r="I63" s="112"/>
      <c r="J63" s="112"/>
      <c r="K63" s="112"/>
      <c r="L63" s="231"/>
      <c r="M63" s="112"/>
      <c r="N63" s="96">
        <f t="shared" si="4"/>
        <v>0</v>
      </c>
      <c r="O63" s="96" t="e">
        <f t="shared" si="11"/>
        <v>#DIV/0!</v>
      </c>
      <c r="P63" s="149" t="s">
        <v>167</v>
      </c>
      <c r="Q63" s="239"/>
    </row>
    <row r="64" spans="1:18" ht="15.5" x14ac:dyDescent="0.35">
      <c r="A64" s="103"/>
      <c r="B64" s="79"/>
      <c r="C64" s="79"/>
      <c r="D64" s="111">
        <f t="shared" si="10"/>
        <v>1</v>
      </c>
      <c r="E64" s="322">
        <f t="shared" si="2"/>
        <v>0</v>
      </c>
      <c r="F64" s="318"/>
      <c r="G64" s="328">
        <f t="shared" si="1"/>
        <v>0</v>
      </c>
      <c r="H64" s="112"/>
      <c r="I64" s="112"/>
      <c r="J64" s="112"/>
      <c r="K64" s="112"/>
      <c r="L64" s="231"/>
      <c r="M64" s="112"/>
      <c r="N64" s="96">
        <f t="shared" si="4"/>
        <v>0</v>
      </c>
      <c r="O64" s="96" t="e">
        <f t="shared" si="11"/>
        <v>#DIV/0!</v>
      </c>
      <c r="P64" s="149" t="s">
        <v>191</v>
      </c>
      <c r="Q64" s="239"/>
    </row>
    <row r="65" spans="1:49" ht="15.5" x14ac:dyDescent="0.35">
      <c r="A65" s="103"/>
      <c r="B65" s="79"/>
      <c r="C65" s="79"/>
      <c r="D65" s="111">
        <f t="shared" si="10"/>
        <v>1</v>
      </c>
      <c r="E65" s="322">
        <f t="shared" si="2"/>
        <v>0</v>
      </c>
      <c r="F65" s="318"/>
      <c r="G65" s="328">
        <f t="shared" si="1"/>
        <v>0</v>
      </c>
      <c r="H65" s="112"/>
      <c r="I65" s="112"/>
      <c r="J65" s="112"/>
      <c r="K65" s="112"/>
      <c r="L65" s="231"/>
      <c r="M65" s="112"/>
      <c r="N65" s="96">
        <f t="shared" si="4"/>
        <v>0</v>
      </c>
      <c r="O65" s="96" t="e">
        <f t="shared" si="11"/>
        <v>#DIV/0!</v>
      </c>
      <c r="P65" s="149" t="s">
        <v>165</v>
      </c>
      <c r="Q65" s="239"/>
    </row>
    <row r="66" spans="1:49" ht="15.5" x14ac:dyDescent="0.35">
      <c r="A66" s="103"/>
      <c r="B66" s="79"/>
      <c r="C66" s="79"/>
      <c r="D66" s="111">
        <f t="shared" si="10"/>
        <v>1</v>
      </c>
      <c r="E66" s="322">
        <f t="shared" si="2"/>
        <v>0</v>
      </c>
      <c r="F66" s="318"/>
      <c r="G66" s="328">
        <f t="shared" si="1"/>
        <v>0</v>
      </c>
      <c r="H66" s="112"/>
      <c r="I66" s="112"/>
      <c r="J66" s="112"/>
      <c r="K66" s="112"/>
      <c r="L66" s="112"/>
      <c r="M66" s="112"/>
      <c r="N66" s="96">
        <f t="shared" si="4"/>
        <v>0</v>
      </c>
      <c r="O66" s="96" t="e">
        <f>N66/G66</f>
        <v>#DIV/0!</v>
      </c>
      <c r="P66" s="149" t="s">
        <v>168</v>
      </c>
      <c r="Q66" s="239"/>
    </row>
    <row r="67" spans="1:49" ht="15.5" x14ac:dyDescent="0.35">
      <c r="A67" s="103"/>
      <c r="B67" s="79"/>
      <c r="C67" s="79"/>
      <c r="D67" s="111">
        <f t="shared" si="10"/>
        <v>1</v>
      </c>
      <c r="E67" s="322">
        <f t="shared" si="2"/>
        <v>0</v>
      </c>
      <c r="F67" s="318"/>
      <c r="G67" s="328">
        <f t="shared" si="1"/>
        <v>0</v>
      </c>
      <c r="H67" s="112"/>
      <c r="I67" s="112"/>
      <c r="J67" s="112"/>
      <c r="K67" s="112"/>
      <c r="L67" s="231"/>
      <c r="M67" s="112"/>
      <c r="N67" s="96">
        <f t="shared" si="4"/>
        <v>0</v>
      </c>
      <c r="O67" s="96" t="e">
        <f>N67/G67</f>
        <v>#DIV/0!</v>
      </c>
      <c r="P67" s="149" t="s">
        <v>188</v>
      </c>
      <c r="Q67" s="239"/>
    </row>
    <row r="68" spans="1:49" s="228" customFormat="1" ht="15.5" x14ac:dyDescent="0.35">
      <c r="A68" s="103"/>
      <c r="B68" s="79"/>
      <c r="C68" s="79"/>
      <c r="D68" s="111">
        <f t="shared" si="10"/>
        <v>1</v>
      </c>
      <c r="E68" s="322">
        <f t="shared" si="2"/>
        <v>0</v>
      </c>
      <c r="F68" s="318"/>
      <c r="G68" s="328">
        <f t="shared" si="1"/>
        <v>0</v>
      </c>
      <c r="H68" s="112"/>
      <c r="I68" s="112"/>
      <c r="J68" s="112"/>
      <c r="K68" s="112"/>
      <c r="L68" s="231"/>
      <c r="M68" s="112"/>
      <c r="N68" s="96">
        <f t="shared" si="4"/>
        <v>0</v>
      </c>
      <c r="O68" s="96" t="e">
        <f>N68/G68</f>
        <v>#DIV/0!</v>
      </c>
      <c r="P68" s="149" t="s">
        <v>167</v>
      </c>
      <c r="Q68" s="239"/>
    </row>
    <row r="69" spans="1:49" ht="15.5" x14ac:dyDescent="0.35">
      <c r="A69" s="103"/>
      <c r="B69" s="79"/>
      <c r="C69" s="79"/>
      <c r="D69" s="111">
        <f t="shared" si="10"/>
        <v>1</v>
      </c>
      <c r="E69" s="322">
        <f t="shared" si="2"/>
        <v>0</v>
      </c>
      <c r="F69" s="318"/>
      <c r="G69" s="328">
        <f t="shared" si="1"/>
        <v>0</v>
      </c>
      <c r="H69" s="112"/>
      <c r="I69" s="112"/>
      <c r="J69" s="112"/>
      <c r="K69" s="112"/>
      <c r="L69" s="231"/>
      <c r="M69" s="112"/>
      <c r="N69" s="96">
        <f t="shared" si="4"/>
        <v>0</v>
      </c>
      <c r="O69" s="96" t="e">
        <f>+N69/G69</f>
        <v>#DIV/0!</v>
      </c>
      <c r="P69" s="149" t="s">
        <v>168</v>
      </c>
      <c r="Q69" s="239"/>
    </row>
    <row r="70" spans="1:49" ht="15.5" x14ac:dyDescent="0.35">
      <c r="A70" s="103"/>
      <c r="B70" s="79"/>
      <c r="C70" s="79"/>
      <c r="D70" s="111">
        <f t="shared" ref="D70:D92" si="12">1+C70-B70</f>
        <v>1</v>
      </c>
      <c r="E70" s="322">
        <f t="shared" si="2"/>
        <v>0</v>
      </c>
      <c r="F70" s="318"/>
      <c r="G70" s="328">
        <f t="shared" si="1"/>
        <v>0</v>
      </c>
      <c r="H70" s="112"/>
      <c r="I70" s="112"/>
      <c r="J70" s="112"/>
      <c r="K70" s="112"/>
      <c r="L70" s="231"/>
      <c r="M70" s="112"/>
      <c r="N70" s="96">
        <f t="shared" si="4"/>
        <v>0</v>
      </c>
      <c r="O70" s="96" t="e">
        <f>+N70/G70</f>
        <v>#DIV/0!</v>
      </c>
      <c r="P70" s="149" t="s">
        <v>168</v>
      </c>
      <c r="Q70" s="239"/>
    </row>
    <row r="71" spans="1:49" ht="15.5" x14ac:dyDescent="0.35">
      <c r="A71" s="103"/>
      <c r="B71" s="79"/>
      <c r="C71" s="79"/>
      <c r="D71" s="111">
        <f t="shared" si="12"/>
        <v>1</v>
      </c>
      <c r="E71" s="322">
        <f t="shared" si="2"/>
        <v>0</v>
      </c>
      <c r="F71" s="318"/>
      <c r="G71" s="328">
        <f t="shared" ref="G71:G117" si="13">(F71-E71)/100</f>
        <v>0</v>
      </c>
      <c r="H71" s="112"/>
      <c r="I71" s="112"/>
      <c r="J71" s="112"/>
      <c r="K71" s="112"/>
      <c r="L71" s="231"/>
      <c r="M71" s="112"/>
      <c r="N71" s="96">
        <f t="shared" si="4"/>
        <v>0</v>
      </c>
      <c r="O71" s="96" t="e">
        <f>N71/G71</f>
        <v>#DIV/0!</v>
      </c>
      <c r="P71" s="149" t="s">
        <v>188</v>
      </c>
      <c r="Q71" s="239"/>
    </row>
    <row r="72" spans="1:49" ht="15.5" x14ac:dyDescent="0.35">
      <c r="A72" s="103"/>
      <c r="B72" s="79"/>
      <c r="C72" s="79"/>
      <c r="D72" s="111">
        <f t="shared" si="12"/>
        <v>1</v>
      </c>
      <c r="E72" s="322">
        <f>F71</f>
        <v>0</v>
      </c>
      <c r="F72" s="318"/>
      <c r="G72" s="328">
        <v>12</v>
      </c>
      <c r="H72" s="109"/>
      <c r="I72" s="109"/>
      <c r="J72" s="112"/>
      <c r="K72" s="112"/>
      <c r="L72" s="112"/>
      <c r="M72" s="112"/>
      <c r="N72" s="96">
        <f t="shared" ref="N72:N127" si="14">+(($H$6*H72)+($J$6*J72)+($K$6*K72)+($L$6*L72)+($M$6*M72)+(I72*3))</f>
        <v>0</v>
      </c>
      <c r="O72" s="96">
        <f>N72/G72</f>
        <v>0</v>
      </c>
      <c r="P72" s="149" t="s">
        <v>197</v>
      </c>
      <c r="Q72" s="239"/>
    </row>
    <row r="73" spans="1:49" ht="15.5" x14ac:dyDescent="0.35">
      <c r="A73" s="103"/>
      <c r="B73" s="79"/>
      <c r="C73" s="79"/>
      <c r="D73" s="111">
        <f t="shared" si="12"/>
        <v>1</v>
      </c>
      <c r="E73" s="322">
        <f t="shared" ref="E73:E115" si="15">F72</f>
        <v>0</v>
      </c>
      <c r="F73" s="318"/>
      <c r="G73" s="328">
        <f t="shared" si="13"/>
        <v>0</v>
      </c>
      <c r="H73" s="112"/>
      <c r="I73" s="112"/>
      <c r="J73" s="112"/>
      <c r="K73" s="112"/>
      <c r="L73" s="231"/>
      <c r="M73" s="112"/>
      <c r="N73" s="96">
        <f t="shared" si="14"/>
        <v>0</v>
      </c>
      <c r="O73" s="96" t="e">
        <f>N73/G73</f>
        <v>#DIV/0!</v>
      </c>
      <c r="P73" s="149" t="s">
        <v>168</v>
      </c>
      <c r="Q73" s="239"/>
    </row>
    <row r="74" spans="1:49" ht="15.5" x14ac:dyDescent="0.35">
      <c r="A74" s="103"/>
      <c r="B74" s="79"/>
      <c r="C74" s="79"/>
      <c r="D74" s="111">
        <f t="shared" si="12"/>
        <v>1</v>
      </c>
      <c r="E74" s="322">
        <f t="shared" si="15"/>
        <v>0</v>
      </c>
      <c r="F74" s="318"/>
      <c r="G74" s="328">
        <f t="shared" si="13"/>
        <v>0</v>
      </c>
      <c r="H74" s="109"/>
      <c r="I74" s="109"/>
      <c r="J74" s="112"/>
      <c r="K74" s="112"/>
      <c r="L74" s="112"/>
      <c r="M74" s="112"/>
      <c r="N74" s="96">
        <f t="shared" si="14"/>
        <v>0</v>
      </c>
      <c r="O74" s="96" t="e">
        <f t="shared" ref="O74:O88" si="16">N74/G74</f>
        <v>#DIV/0!</v>
      </c>
      <c r="P74" s="149" t="s">
        <v>188</v>
      </c>
      <c r="Q74" s="239"/>
    </row>
    <row r="75" spans="1:49" ht="15.5" x14ac:dyDescent="0.35">
      <c r="A75" s="103"/>
      <c r="B75" s="79"/>
      <c r="C75" s="79"/>
      <c r="D75" s="111">
        <f t="shared" si="12"/>
        <v>1</v>
      </c>
      <c r="E75" s="322">
        <f t="shared" si="15"/>
        <v>0</v>
      </c>
      <c r="F75" s="318"/>
      <c r="G75" s="328">
        <f t="shared" si="13"/>
        <v>0</v>
      </c>
      <c r="H75" s="112"/>
      <c r="I75" s="112"/>
      <c r="J75" s="112"/>
      <c r="K75" s="112"/>
      <c r="L75" s="112"/>
      <c r="M75" s="112"/>
      <c r="N75" s="96">
        <f t="shared" si="14"/>
        <v>0</v>
      </c>
      <c r="O75" s="96" t="e">
        <f t="shared" si="16"/>
        <v>#DIV/0!</v>
      </c>
      <c r="P75" s="149" t="s">
        <v>167</v>
      </c>
      <c r="Q75" s="239"/>
    </row>
    <row r="76" spans="1:49" ht="15.5" x14ac:dyDescent="0.35">
      <c r="A76" s="103"/>
      <c r="B76" s="79"/>
      <c r="C76" s="79"/>
      <c r="D76" s="111">
        <f t="shared" si="12"/>
        <v>1</v>
      </c>
      <c r="E76" s="322">
        <f t="shared" si="15"/>
        <v>0</v>
      </c>
      <c r="F76" s="318"/>
      <c r="G76" s="328">
        <f t="shared" si="13"/>
        <v>0</v>
      </c>
      <c r="H76" s="112"/>
      <c r="I76" s="112"/>
      <c r="J76" s="112"/>
      <c r="K76" s="112"/>
      <c r="L76" s="231"/>
      <c r="M76" s="112"/>
      <c r="N76" s="96">
        <f t="shared" si="14"/>
        <v>0</v>
      </c>
      <c r="O76" s="96" t="e">
        <f t="shared" si="16"/>
        <v>#DIV/0!</v>
      </c>
      <c r="P76" s="149" t="s">
        <v>167</v>
      </c>
      <c r="Q76" s="239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</row>
    <row r="77" spans="1:49" s="247" customFormat="1" ht="15.5" x14ac:dyDescent="0.35">
      <c r="A77" s="103"/>
      <c r="B77" s="79"/>
      <c r="C77" s="79"/>
      <c r="D77" s="111">
        <f t="shared" si="12"/>
        <v>1</v>
      </c>
      <c r="E77" s="322">
        <f t="shared" si="15"/>
        <v>0</v>
      </c>
      <c r="F77" s="318"/>
      <c r="G77" s="328">
        <f t="shared" si="13"/>
        <v>0</v>
      </c>
      <c r="H77" s="112"/>
      <c r="I77" s="112"/>
      <c r="J77" s="112"/>
      <c r="K77" s="112"/>
      <c r="L77" s="231"/>
      <c r="M77" s="112"/>
      <c r="N77" s="96">
        <f t="shared" si="14"/>
        <v>0</v>
      </c>
      <c r="O77" s="96" t="e">
        <f t="shared" si="16"/>
        <v>#DIV/0!</v>
      </c>
      <c r="P77" s="149" t="s">
        <v>168</v>
      </c>
      <c r="Q77" s="239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</row>
    <row r="78" spans="1:49" ht="15.5" x14ac:dyDescent="0.35">
      <c r="A78" s="103"/>
      <c r="B78" s="79"/>
      <c r="C78" s="79"/>
      <c r="D78" s="111">
        <f t="shared" si="12"/>
        <v>1</v>
      </c>
      <c r="E78" s="322">
        <f t="shared" si="15"/>
        <v>0</v>
      </c>
      <c r="F78" s="318"/>
      <c r="G78" s="328">
        <f t="shared" si="13"/>
        <v>0</v>
      </c>
      <c r="H78" s="112"/>
      <c r="I78" s="112"/>
      <c r="J78" s="112"/>
      <c r="K78" s="112"/>
      <c r="L78" s="231"/>
      <c r="M78" s="112"/>
      <c r="N78" s="96">
        <f t="shared" si="14"/>
        <v>0</v>
      </c>
      <c r="O78" s="96" t="e">
        <f t="shared" si="16"/>
        <v>#DIV/0!</v>
      </c>
      <c r="P78" s="149" t="s">
        <v>188</v>
      </c>
      <c r="Q78" s="239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</row>
    <row r="79" spans="1:49" ht="15.5" x14ac:dyDescent="0.35">
      <c r="A79" s="103"/>
      <c r="B79" s="79"/>
      <c r="C79" s="79"/>
      <c r="D79" s="111">
        <f t="shared" si="12"/>
        <v>1</v>
      </c>
      <c r="E79" s="322">
        <f t="shared" si="15"/>
        <v>0</v>
      </c>
      <c r="F79" s="318"/>
      <c r="G79" s="328">
        <f t="shared" si="13"/>
        <v>0</v>
      </c>
      <c r="H79" s="112"/>
      <c r="I79" s="112"/>
      <c r="J79" s="112"/>
      <c r="K79" s="112"/>
      <c r="L79" s="231"/>
      <c r="M79" s="112"/>
      <c r="N79" s="96">
        <f t="shared" si="14"/>
        <v>0</v>
      </c>
      <c r="O79" s="96" t="e">
        <f t="shared" si="16"/>
        <v>#DIV/0!</v>
      </c>
      <c r="P79" s="149" t="s">
        <v>167</v>
      </c>
      <c r="Q79" s="239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</row>
    <row r="80" spans="1:49" ht="15.5" x14ac:dyDescent="0.35">
      <c r="A80" s="103"/>
      <c r="B80" s="79"/>
      <c r="C80" s="79"/>
      <c r="D80" s="111">
        <f t="shared" si="12"/>
        <v>1</v>
      </c>
      <c r="E80" s="322">
        <f t="shared" si="15"/>
        <v>0</v>
      </c>
      <c r="F80" s="318"/>
      <c r="G80" s="328">
        <f t="shared" si="13"/>
        <v>0</v>
      </c>
      <c r="H80" s="112"/>
      <c r="I80" s="112"/>
      <c r="J80" s="112"/>
      <c r="K80" s="112"/>
      <c r="L80" s="231"/>
      <c r="M80" s="112"/>
      <c r="N80" s="96">
        <f t="shared" si="14"/>
        <v>0</v>
      </c>
      <c r="O80" s="96" t="e">
        <f t="shared" si="16"/>
        <v>#DIV/0!</v>
      </c>
      <c r="P80" s="149" t="s">
        <v>168</v>
      </c>
      <c r="Q80" s="239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</row>
    <row r="81" spans="1:49" ht="15.5" x14ac:dyDescent="0.35">
      <c r="A81" s="103"/>
      <c r="B81" s="79"/>
      <c r="C81" s="79"/>
      <c r="D81" s="111">
        <f t="shared" si="12"/>
        <v>1</v>
      </c>
      <c r="E81" s="322">
        <f t="shared" si="15"/>
        <v>0</v>
      </c>
      <c r="F81" s="318"/>
      <c r="G81" s="328">
        <f t="shared" si="13"/>
        <v>0</v>
      </c>
      <c r="H81" s="112"/>
      <c r="I81" s="112"/>
      <c r="J81" s="112"/>
      <c r="K81" s="112"/>
      <c r="L81" s="112"/>
      <c r="M81" s="112"/>
      <c r="N81" s="96">
        <f t="shared" si="14"/>
        <v>0</v>
      </c>
      <c r="O81" s="96" t="e">
        <f t="shared" si="16"/>
        <v>#DIV/0!</v>
      </c>
      <c r="P81" s="149" t="s">
        <v>186</v>
      </c>
      <c r="Q81" s="239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</row>
    <row r="82" spans="1:49" ht="15.5" x14ac:dyDescent="0.35">
      <c r="A82" s="103"/>
      <c r="B82" s="79"/>
      <c r="C82" s="79"/>
      <c r="D82" s="111">
        <f t="shared" si="12"/>
        <v>1</v>
      </c>
      <c r="E82" s="322">
        <f t="shared" si="15"/>
        <v>0</v>
      </c>
      <c r="F82" s="318"/>
      <c r="G82" s="328">
        <f t="shared" si="13"/>
        <v>0</v>
      </c>
      <c r="H82" s="112"/>
      <c r="I82" s="112"/>
      <c r="J82" s="112"/>
      <c r="K82" s="112"/>
      <c r="L82" s="231"/>
      <c r="M82" s="112"/>
      <c r="N82" s="96">
        <f t="shared" si="14"/>
        <v>0</v>
      </c>
      <c r="O82" s="96" t="e">
        <f t="shared" si="16"/>
        <v>#DIV/0!</v>
      </c>
      <c r="P82" s="149" t="s">
        <v>167</v>
      </c>
      <c r="Q82" s="239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</row>
    <row r="83" spans="1:49" ht="15.5" x14ac:dyDescent="0.35">
      <c r="A83" s="103"/>
      <c r="B83" s="79"/>
      <c r="C83" s="79"/>
      <c r="D83" s="111">
        <f t="shared" si="12"/>
        <v>1</v>
      </c>
      <c r="E83" s="322">
        <f t="shared" si="15"/>
        <v>0</v>
      </c>
      <c r="F83" s="318"/>
      <c r="G83" s="328">
        <f t="shared" si="13"/>
        <v>0</v>
      </c>
      <c r="H83" s="112"/>
      <c r="I83" s="112"/>
      <c r="J83" s="112"/>
      <c r="K83" s="112"/>
      <c r="L83" s="231"/>
      <c r="M83" s="112"/>
      <c r="N83" s="96">
        <f t="shared" si="14"/>
        <v>0</v>
      </c>
      <c r="O83" s="96" t="e">
        <f t="shared" si="16"/>
        <v>#DIV/0!</v>
      </c>
      <c r="P83" s="149" t="s">
        <v>168</v>
      </c>
      <c r="Q83" s="239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</row>
    <row r="84" spans="1:49" s="233" customFormat="1" ht="15.5" x14ac:dyDescent="0.35">
      <c r="A84" s="103"/>
      <c r="B84" s="79"/>
      <c r="C84" s="79"/>
      <c r="D84" s="111">
        <f t="shared" si="12"/>
        <v>1</v>
      </c>
      <c r="E84" s="322">
        <f t="shared" si="15"/>
        <v>0</v>
      </c>
      <c r="F84" s="318"/>
      <c r="G84" s="328">
        <f t="shared" si="13"/>
        <v>0</v>
      </c>
      <c r="H84" s="112"/>
      <c r="I84" s="112"/>
      <c r="J84" s="112"/>
      <c r="K84" s="112"/>
      <c r="L84" s="231"/>
      <c r="M84" s="112"/>
      <c r="N84" s="96">
        <f>+(($H$6*H84)+($J$6*J84)+($K$6*K84)+($L$6*L84)+($M$6*M84)+(I84*3))</f>
        <v>0</v>
      </c>
      <c r="O84" s="96" t="e">
        <f>N84/G84</f>
        <v>#DIV/0!</v>
      </c>
      <c r="P84" s="149" t="s">
        <v>188</v>
      </c>
      <c r="Q84" s="239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</row>
    <row r="85" spans="1:49" ht="15.5" x14ac:dyDescent="0.35">
      <c r="A85" s="103"/>
      <c r="B85" s="79"/>
      <c r="C85" s="79"/>
      <c r="D85" s="111">
        <f t="shared" si="12"/>
        <v>1</v>
      </c>
      <c r="E85" s="322">
        <f t="shared" si="15"/>
        <v>0</v>
      </c>
      <c r="F85" s="318"/>
      <c r="G85" s="328">
        <f t="shared" si="13"/>
        <v>0</v>
      </c>
      <c r="H85" s="112"/>
      <c r="I85" s="112"/>
      <c r="J85" s="112"/>
      <c r="K85" s="112"/>
      <c r="L85" s="231"/>
      <c r="M85" s="112"/>
      <c r="N85" s="96">
        <f t="shared" si="14"/>
        <v>0</v>
      </c>
      <c r="O85" s="96" t="e">
        <f t="shared" si="16"/>
        <v>#DIV/0!</v>
      </c>
      <c r="P85" s="149" t="s">
        <v>201</v>
      </c>
      <c r="Q85" s="239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</row>
    <row r="86" spans="1:49" ht="15.5" x14ac:dyDescent="0.35">
      <c r="A86" s="103"/>
      <c r="B86" s="79"/>
      <c r="C86" s="79"/>
      <c r="D86" s="111">
        <f t="shared" si="12"/>
        <v>1</v>
      </c>
      <c r="E86" s="322">
        <f t="shared" si="15"/>
        <v>0</v>
      </c>
      <c r="F86" s="318"/>
      <c r="G86" s="328">
        <f t="shared" si="13"/>
        <v>0</v>
      </c>
      <c r="H86" s="112"/>
      <c r="I86" s="112"/>
      <c r="J86" s="112"/>
      <c r="K86" s="112"/>
      <c r="L86" s="231"/>
      <c r="M86" s="112"/>
      <c r="N86" s="96">
        <f t="shared" si="14"/>
        <v>0</v>
      </c>
      <c r="O86" s="96" t="e">
        <f t="shared" si="16"/>
        <v>#DIV/0!</v>
      </c>
      <c r="P86" s="149" t="s">
        <v>201</v>
      </c>
      <c r="Q86" s="239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</row>
    <row r="87" spans="1:49" ht="15.5" x14ac:dyDescent="0.35">
      <c r="A87" s="103"/>
      <c r="B87" s="79"/>
      <c r="C87" s="79"/>
      <c r="D87" s="111">
        <f t="shared" si="12"/>
        <v>1</v>
      </c>
      <c r="E87" s="322">
        <f t="shared" si="15"/>
        <v>0</v>
      </c>
      <c r="F87" s="318"/>
      <c r="G87" s="328">
        <f t="shared" si="13"/>
        <v>0</v>
      </c>
      <c r="H87" s="112"/>
      <c r="I87" s="112"/>
      <c r="J87" s="112"/>
      <c r="K87" s="112"/>
      <c r="L87" s="231"/>
      <c r="M87" s="112"/>
      <c r="N87" s="96">
        <f t="shared" si="14"/>
        <v>0</v>
      </c>
      <c r="O87" s="96" t="e">
        <f t="shared" si="16"/>
        <v>#DIV/0!</v>
      </c>
      <c r="P87" s="149" t="s">
        <v>168</v>
      </c>
      <c r="Q87" s="239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</row>
    <row r="88" spans="1:49" ht="15.5" x14ac:dyDescent="0.35">
      <c r="A88" s="103"/>
      <c r="B88" s="79"/>
      <c r="C88" s="79"/>
      <c r="D88" s="111">
        <f t="shared" si="12"/>
        <v>1</v>
      </c>
      <c r="E88" s="322">
        <f t="shared" si="15"/>
        <v>0</v>
      </c>
      <c r="F88" s="318"/>
      <c r="G88" s="328">
        <f t="shared" si="13"/>
        <v>0</v>
      </c>
      <c r="H88" s="112"/>
      <c r="I88" s="112"/>
      <c r="J88" s="112"/>
      <c r="K88" s="112"/>
      <c r="L88" s="231"/>
      <c r="M88" s="112"/>
      <c r="N88" s="96">
        <f t="shared" si="14"/>
        <v>0</v>
      </c>
      <c r="O88" s="96" t="e">
        <f t="shared" si="16"/>
        <v>#DIV/0!</v>
      </c>
      <c r="P88" s="149" t="s">
        <v>197</v>
      </c>
      <c r="Q88" s="239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</row>
    <row r="89" spans="1:49" ht="15.5" x14ac:dyDescent="0.35">
      <c r="A89" s="103"/>
      <c r="B89" s="79"/>
      <c r="C89" s="79"/>
      <c r="D89" s="111">
        <f t="shared" si="12"/>
        <v>1</v>
      </c>
      <c r="E89" s="322">
        <f t="shared" si="15"/>
        <v>0</v>
      </c>
      <c r="F89" s="318"/>
      <c r="G89" s="328">
        <f t="shared" si="13"/>
        <v>0</v>
      </c>
      <c r="H89" s="112"/>
      <c r="I89" s="112"/>
      <c r="J89" s="112"/>
      <c r="K89" s="112"/>
      <c r="L89" s="231"/>
      <c r="M89" s="112"/>
      <c r="N89" s="96">
        <f t="shared" si="14"/>
        <v>0</v>
      </c>
      <c r="O89" s="96" t="e">
        <f t="shared" ref="O89:O99" si="17">+N89/G89</f>
        <v>#DIV/0!</v>
      </c>
      <c r="P89" s="149" t="s">
        <v>201</v>
      </c>
      <c r="Q89" s="239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</row>
    <row r="90" spans="1:49" ht="15.5" x14ac:dyDescent="0.35">
      <c r="A90" s="103"/>
      <c r="B90" s="79"/>
      <c r="C90" s="79"/>
      <c r="D90" s="111">
        <f t="shared" si="12"/>
        <v>1</v>
      </c>
      <c r="E90" s="322">
        <f t="shared" si="15"/>
        <v>0</v>
      </c>
      <c r="F90" s="318"/>
      <c r="G90" s="328">
        <f t="shared" si="13"/>
        <v>0</v>
      </c>
      <c r="H90" s="112"/>
      <c r="I90" s="112"/>
      <c r="J90" s="112"/>
      <c r="K90" s="112"/>
      <c r="L90" s="231"/>
      <c r="M90" s="112"/>
      <c r="N90" s="96">
        <f t="shared" si="14"/>
        <v>0</v>
      </c>
      <c r="O90" s="96" t="e">
        <f t="shared" si="17"/>
        <v>#DIV/0!</v>
      </c>
      <c r="P90" s="149" t="s">
        <v>191</v>
      </c>
      <c r="Q90" s="239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</row>
    <row r="91" spans="1:49" ht="15.5" x14ac:dyDescent="0.35">
      <c r="A91" s="103"/>
      <c r="B91" s="79"/>
      <c r="C91" s="79"/>
      <c r="D91" s="111">
        <f t="shared" si="12"/>
        <v>1</v>
      </c>
      <c r="E91" s="322">
        <f t="shared" si="15"/>
        <v>0</v>
      </c>
      <c r="F91" s="318"/>
      <c r="G91" s="328">
        <f t="shared" si="13"/>
        <v>0</v>
      </c>
      <c r="H91" s="112"/>
      <c r="I91" s="112"/>
      <c r="J91" s="112"/>
      <c r="K91" s="112"/>
      <c r="L91" s="231"/>
      <c r="M91" s="112"/>
      <c r="N91" s="96">
        <f t="shared" si="14"/>
        <v>0</v>
      </c>
      <c r="O91" s="96" t="e">
        <f t="shared" si="17"/>
        <v>#DIV/0!</v>
      </c>
      <c r="P91" s="149" t="s">
        <v>165</v>
      </c>
      <c r="Q91" s="239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</row>
    <row r="92" spans="1:49" ht="15.5" x14ac:dyDescent="0.35">
      <c r="A92" s="103"/>
      <c r="B92" s="79"/>
      <c r="C92" s="79"/>
      <c r="D92" s="111">
        <f t="shared" si="12"/>
        <v>1</v>
      </c>
      <c r="E92" s="322">
        <f t="shared" si="15"/>
        <v>0</v>
      </c>
      <c r="F92" s="318"/>
      <c r="G92" s="328">
        <f t="shared" si="13"/>
        <v>0</v>
      </c>
      <c r="H92" s="112"/>
      <c r="I92" s="112"/>
      <c r="J92" s="112"/>
      <c r="K92" s="112"/>
      <c r="L92" s="231"/>
      <c r="M92" s="112"/>
      <c r="N92" s="96">
        <f t="shared" si="14"/>
        <v>0</v>
      </c>
      <c r="O92" s="96" t="e">
        <f t="shared" si="17"/>
        <v>#DIV/0!</v>
      </c>
      <c r="P92" s="149" t="s">
        <v>168</v>
      </c>
      <c r="Q92" s="239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</row>
    <row r="93" spans="1:49" ht="15.5" x14ac:dyDescent="0.35">
      <c r="A93" s="103"/>
      <c r="B93" s="79"/>
      <c r="C93" s="79"/>
      <c r="D93" s="111">
        <f>1+'TUBULAR VERDE'!C99-'TUBULAR VERDE'!B99</f>
        <v>1</v>
      </c>
      <c r="E93" s="322">
        <f t="shared" si="15"/>
        <v>0</v>
      </c>
      <c r="F93" s="318"/>
      <c r="G93" s="328">
        <f t="shared" si="13"/>
        <v>0</v>
      </c>
      <c r="H93" s="112"/>
      <c r="I93" s="112"/>
      <c r="J93" s="112"/>
      <c r="K93" s="112"/>
      <c r="L93" s="231"/>
      <c r="M93" s="112"/>
      <c r="N93" s="96">
        <f t="shared" si="14"/>
        <v>0</v>
      </c>
      <c r="O93" s="96" t="e">
        <f t="shared" si="17"/>
        <v>#DIV/0!</v>
      </c>
      <c r="P93" s="149" t="s">
        <v>188</v>
      </c>
      <c r="Q93" s="239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U93" s="228"/>
      <c r="AV93" s="228"/>
      <c r="AW93" s="228"/>
    </row>
    <row r="94" spans="1:49" s="247" customFormat="1" ht="15.5" x14ac:dyDescent="0.35">
      <c r="A94" s="103"/>
      <c r="B94" s="79"/>
      <c r="C94" s="79"/>
      <c r="D94" s="111">
        <f t="shared" ref="D94:D127" si="18">1+C94-B94</f>
        <v>1</v>
      </c>
      <c r="E94" s="322">
        <f t="shared" si="15"/>
        <v>0</v>
      </c>
      <c r="F94" s="318"/>
      <c r="G94" s="328">
        <f t="shared" si="13"/>
        <v>0</v>
      </c>
      <c r="H94" s="112"/>
      <c r="I94" s="112"/>
      <c r="J94" s="112"/>
      <c r="K94" s="112"/>
      <c r="L94" s="112"/>
      <c r="M94" s="112"/>
      <c r="N94" s="96">
        <f t="shared" si="14"/>
        <v>0</v>
      </c>
      <c r="O94" s="96" t="e">
        <f t="shared" si="17"/>
        <v>#DIV/0!</v>
      </c>
      <c r="P94" s="149" t="s">
        <v>201</v>
      </c>
      <c r="Q94" s="239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</row>
    <row r="95" spans="1:49" ht="15.5" x14ac:dyDescent="0.35">
      <c r="A95" s="103"/>
      <c r="B95" s="79"/>
      <c r="C95" s="79"/>
      <c r="D95" s="111">
        <f t="shared" si="18"/>
        <v>1</v>
      </c>
      <c r="E95" s="322">
        <f t="shared" si="15"/>
        <v>0</v>
      </c>
      <c r="F95" s="318"/>
      <c r="G95" s="328">
        <f t="shared" si="13"/>
        <v>0</v>
      </c>
      <c r="H95" s="112"/>
      <c r="I95" s="112"/>
      <c r="J95" s="112"/>
      <c r="K95" s="112"/>
      <c r="L95" s="231"/>
      <c r="M95" s="112"/>
      <c r="N95" s="96">
        <f t="shared" si="14"/>
        <v>0</v>
      </c>
      <c r="O95" s="96" t="e">
        <f t="shared" si="17"/>
        <v>#DIV/0!</v>
      </c>
      <c r="P95" s="149" t="s">
        <v>201</v>
      </c>
      <c r="Q95" s="61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U95" s="228"/>
      <c r="AV95" s="228"/>
      <c r="AW95" s="228"/>
    </row>
    <row r="96" spans="1:49" ht="15.5" x14ac:dyDescent="0.35">
      <c r="A96" s="103"/>
      <c r="B96" s="79"/>
      <c r="C96" s="79"/>
      <c r="D96" s="111">
        <f t="shared" si="18"/>
        <v>1</v>
      </c>
      <c r="E96" s="322">
        <f t="shared" si="15"/>
        <v>0</v>
      </c>
      <c r="F96" s="318"/>
      <c r="G96" s="328">
        <f t="shared" si="13"/>
        <v>0</v>
      </c>
      <c r="H96" s="112"/>
      <c r="I96" s="112"/>
      <c r="J96" s="112"/>
      <c r="K96" s="112"/>
      <c r="L96" s="231"/>
      <c r="M96" s="231"/>
      <c r="N96" s="96">
        <f t="shared" si="14"/>
        <v>0</v>
      </c>
      <c r="O96" s="96" t="e">
        <f t="shared" si="17"/>
        <v>#DIV/0!</v>
      </c>
      <c r="P96" s="149" t="s">
        <v>168</v>
      </c>
      <c r="Q96" s="239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</row>
    <row r="97" spans="1:49" ht="15.5" x14ac:dyDescent="0.35">
      <c r="A97" s="103"/>
      <c r="B97" s="79"/>
      <c r="C97" s="79"/>
      <c r="D97" s="111">
        <f t="shared" si="18"/>
        <v>1</v>
      </c>
      <c r="E97" s="322">
        <f t="shared" si="15"/>
        <v>0</v>
      </c>
      <c r="F97" s="318"/>
      <c r="G97" s="328">
        <f t="shared" si="13"/>
        <v>0</v>
      </c>
      <c r="H97" s="112"/>
      <c r="I97" s="112"/>
      <c r="J97" s="112"/>
      <c r="K97" s="112"/>
      <c r="L97" s="231"/>
      <c r="M97" s="112"/>
      <c r="N97" s="96">
        <f t="shared" si="14"/>
        <v>0</v>
      </c>
      <c r="O97" s="96" t="e">
        <f t="shared" si="17"/>
        <v>#DIV/0!</v>
      </c>
      <c r="P97" s="149"/>
      <c r="Q97" s="239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U97" s="228"/>
      <c r="AV97" s="228"/>
      <c r="AW97" s="228"/>
    </row>
    <row r="98" spans="1:49" ht="15.5" x14ac:dyDescent="0.35">
      <c r="A98" s="103"/>
      <c r="B98" s="79"/>
      <c r="C98" s="79"/>
      <c r="D98" s="111">
        <f t="shared" si="18"/>
        <v>1</v>
      </c>
      <c r="E98" s="322">
        <f t="shared" si="15"/>
        <v>0</v>
      </c>
      <c r="F98" s="318"/>
      <c r="G98" s="328">
        <f t="shared" si="13"/>
        <v>0</v>
      </c>
      <c r="H98" s="112"/>
      <c r="I98" s="112"/>
      <c r="J98" s="112"/>
      <c r="K98" s="112"/>
      <c r="L98" s="231"/>
      <c r="M98" s="112"/>
      <c r="N98" s="96">
        <f t="shared" si="14"/>
        <v>0</v>
      </c>
      <c r="O98" s="96" t="e">
        <f t="shared" si="17"/>
        <v>#DIV/0!</v>
      </c>
      <c r="P98" s="149"/>
      <c r="Q98" s="239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U98" s="228"/>
      <c r="AV98" s="228"/>
      <c r="AW98" s="228"/>
    </row>
    <row r="99" spans="1:49" ht="15.5" x14ac:dyDescent="0.35">
      <c r="A99" s="103"/>
      <c r="B99" s="79"/>
      <c r="C99" s="79"/>
      <c r="D99" s="111">
        <f t="shared" si="18"/>
        <v>1</v>
      </c>
      <c r="E99" s="322">
        <f t="shared" si="15"/>
        <v>0</v>
      </c>
      <c r="F99" s="318"/>
      <c r="G99" s="328">
        <f t="shared" si="13"/>
        <v>0</v>
      </c>
      <c r="H99" s="112"/>
      <c r="I99" s="112"/>
      <c r="J99" s="112"/>
      <c r="K99" s="112"/>
      <c r="L99" s="231"/>
      <c r="M99" s="112"/>
      <c r="N99" s="96">
        <f t="shared" si="14"/>
        <v>0</v>
      </c>
      <c r="O99" s="96" t="e">
        <f t="shared" si="17"/>
        <v>#DIV/0!</v>
      </c>
      <c r="P99" s="149"/>
      <c r="Q99" s="239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</row>
    <row r="100" spans="1:49" ht="15.5" x14ac:dyDescent="0.35">
      <c r="A100" s="103"/>
      <c r="B100" s="79"/>
      <c r="C100" s="79"/>
      <c r="D100" s="111">
        <f t="shared" si="18"/>
        <v>1</v>
      </c>
      <c r="E100" s="322">
        <f t="shared" si="15"/>
        <v>0</v>
      </c>
      <c r="F100" s="318"/>
      <c r="G100" s="328">
        <f t="shared" si="13"/>
        <v>0</v>
      </c>
      <c r="H100" s="112"/>
      <c r="I100" s="112"/>
      <c r="J100" s="112"/>
      <c r="K100" s="112"/>
      <c r="L100" s="231"/>
      <c r="M100" s="112"/>
      <c r="N100" s="96">
        <f t="shared" si="14"/>
        <v>0</v>
      </c>
      <c r="O100" s="96" t="e">
        <f t="shared" ref="O100:O119" si="19">+N100/G100</f>
        <v>#DIV/0!</v>
      </c>
      <c r="P100" s="149"/>
      <c r="Q100" s="239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</row>
    <row r="101" spans="1:49" ht="15.5" x14ac:dyDescent="0.35">
      <c r="A101" s="103"/>
      <c r="B101" s="79"/>
      <c r="C101" s="79"/>
      <c r="D101" s="111">
        <f t="shared" si="18"/>
        <v>1</v>
      </c>
      <c r="E101" s="322">
        <f t="shared" si="15"/>
        <v>0</v>
      </c>
      <c r="F101" s="318"/>
      <c r="G101" s="328">
        <f t="shared" si="13"/>
        <v>0</v>
      </c>
      <c r="H101" s="112"/>
      <c r="I101" s="112"/>
      <c r="J101" s="112"/>
      <c r="K101" s="112"/>
      <c r="L101" s="231"/>
      <c r="M101" s="112"/>
      <c r="N101" s="96">
        <f t="shared" si="14"/>
        <v>0</v>
      </c>
      <c r="O101" s="96" t="e">
        <f t="shared" si="19"/>
        <v>#DIV/0!</v>
      </c>
      <c r="P101" s="149"/>
      <c r="Q101" s="239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 s="228"/>
    </row>
    <row r="102" spans="1:49" ht="15.5" x14ac:dyDescent="0.35">
      <c r="A102" s="103"/>
      <c r="B102" s="79"/>
      <c r="C102" s="79"/>
      <c r="D102" s="111">
        <f t="shared" si="18"/>
        <v>1</v>
      </c>
      <c r="E102" s="322">
        <f t="shared" si="15"/>
        <v>0</v>
      </c>
      <c r="F102" s="318"/>
      <c r="G102" s="328">
        <f t="shared" si="13"/>
        <v>0</v>
      </c>
      <c r="H102" s="112"/>
      <c r="I102" s="112"/>
      <c r="J102" s="112"/>
      <c r="K102" s="112"/>
      <c r="L102" s="231"/>
      <c r="M102" s="112"/>
      <c r="N102" s="96">
        <f t="shared" si="14"/>
        <v>0</v>
      </c>
      <c r="O102" s="96" t="e">
        <f t="shared" si="19"/>
        <v>#DIV/0!</v>
      </c>
      <c r="P102" s="149"/>
      <c r="Q102" s="239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</row>
    <row r="103" spans="1:49" ht="15.5" x14ac:dyDescent="0.35">
      <c r="A103" s="103"/>
      <c r="B103" s="79"/>
      <c r="C103" s="79"/>
      <c r="D103" s="111">
        <f t="shared" si="18"/>
        <v>1</v>
      </c>
      <c r="E103" s="322"/>
      <c r="F103" s="318"/>
      <c r="G103" s="328">
        <f t="shared" si="13"/>
        <v>0</v>
      </c>
      <c r="H103" s="112"/>
      <c r="I103" s="112"/>
      <c r="J103" s="112"/>
      <c r="K103" s="112"/>
      <c r="L103" s="112"/>
      <c r="M103" s="112"/>
      <c r="N103" s="96">
        <f t="shared" si="14"/>
        <v>0</v>
      </c>
      <c r="O103" s="96" t="e">
        <f t="shared" si="19"/>
        <v>#DIV/0!</v>
      </c>
      <c r="P103" s="333"/>
      <c r="Q103" s="239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8"/>
    </row>
    <row r="104" spans="1:49" ht="15.5" x14ac:dyDescent="0.35">
      <c r="A104" s="103"/>
      <c r="B104" s="79"/>
      <c r="C104" s="79"/>
      <c r="D104" s="111">
        <f t="shared" si="18"/>
        <v>1</v>
      </c>
      <c r="E104" s="322">
        <f t="shared" si="15"/>
        <v>0</v>
      </c>
      <c r="F104" s="318"/>
      <c r="G104" s="328">
        <f t="shared" si="13"/>
        <v>0</v>
      </c>
      <c r="H104" s="112"/>
      <c r="I104" s="112"/>
      <c r="J104" s="112"/>
      <c r="K104" s="112"/>
      <c r="L104" s="231"/>
      <c r="M104" s="112"/>
      <c r="N104" s="96">
        <f t="shared" si="14"/>
        <v>0</v>
      </c>
      <c r="O104" s="96" t="e">
        <f t="shared" si="19"/>
        <v>#DIV/0!</v>
      </c>
      <c r="P104" s="149"/>
      <c r="Q104" s="239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</row>
    <row r="105" spans="1:49" ht="15.5" x14ac:dyDescent="0.35">
      <c r="A105" s="103"/>
      <c r="B105" s="79"/>
      <c r="C105" s="79"/>
      <c r="D105" s="111">
        <f t="shared" si="18"/>
        <v>1</v>
      </c>
      <c r="E105" s="322">
        <f t="shared" si="15"/>
        <v>0</v>
      </c>
      <c r="F105" s="318"/>
      <c r="G105" s="328">
        <f t="shared" si="13"/>
        <v>0</v>
      </c>
      <c r="H105" s="112"/>
      <c r="I105" s="112"/>
      <c r="J105" s="112"/>
      <c r="K105" s="112"/>
      <c r="L105" s="231"/>
      <c r="M105" s="112"/>
      <c r="N105" s="96">
        <f t="shared" si="14"/>
        <v>0</v>
      </c>
      <c r="O105" s="96" t="e">
        <f t="shared" si="19"/>
        <v>#DIV/0!</v>
      </c>
      <c r="P105" s="149"/>
      <c r="Q105" s="239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 s="228"/>
    </row>
    <row r="106" spans="1:49" ht="15.5" x14ac:dyDescent="0.35">
      <c r="A106" s="103"/>
      <c r="B106" s="79"/>
      <c r="C106" s="79"/>
      <c r="D106" s="111">
        <f t="shared" si="18"/>
        <v>1</v>
      </c>
      <c r="E106" s="322">
        <f t="shared" si="15"/>
        <v>0</v>
      </c>
      <c r="F106" s="318"/>
      <c r="G106" s="328">
        <f t="shared" si="13"/>
        <v>0</v>
      </c>
      <c r="H106" s="112"/>
      <c r="I106" s="112"/>
      <c r="J106" s="112"/>
      <c r="K106" s="112"/>
      <c r="L106" s="231"/>
      <c r="M106" s="112"/>
      <c r="N106" s="96">
        <f t="shared" si="14"/>
        <v>0</v>
      </c>
      <c r="O106" s="96" t="e">
        <f t="shared" si="19"/>
        <v>#DIV/0!</v>
      </c>
      <c r="P106" s="149"/>
      <c r="Q106" s="239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 s="228"/>
    </row>
    <row r="107" spans="1:49" ht="15.5" x14ac:dyDescent="0.35">
      <c r="A107" s="103"/>
      <c r="B107" s="79"/>
      <c r="C107" s="79"/>
      <c r="D107" s="111">
        <f t="shared" si="18"/>
        <v>1</v>
      </c>
      <c r="E107" s="322">
        <f t="shared" si="15"/>
        <v>0</v>
      </c>
      <c r="F107" s="318"/>
      <c r="G107" s="328">
        <f t="shared" si="13"/>
        <v>0</v>
      </c>
      <c r="H107" s="112"/>
      <c r="I107" s="112"/>
      <c r="J107" s="112"/>
      <c r="K107" s="112"/>
      <c r="L107" s="231"/>
      <c r="M107" s="112"/>
      <c r="N107" s="96">
        <f t="shared" si="14"/>
        <v>0</v>
      </c>
      <c r="O107" s="96" t="e">
        <f t="shared" si="19"/>
        <v>#DIV/0!</v>
      </c>
      <c r="P107" s="149"/>
      <c r="Q107" s="239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 s="228"/>
    </row>
    <row r="108" spans="1:49" ht="15.5" x14ac:dyDescent="0.35">
      <c r="A108" s="103"/>
      <c r="B108" s="79"/>
      <c r="C108" s="79"/>
      <c r="D108" s="111">
        <f t="shared" si="18"/>
        <v>1</v>
      </c>
      <c r="E108" s="322">
        <f t="shared" si="15"/>
        <v>0</v>
      </c>
      <c r="F108" s="318"/>
      <c r="G108" s="328">
        <f t="shared" si="13"/>
        <v>0</v>
      </c>
      <c r="H108" s="112"/>
      <c r="I108" s="112"/>
      <c r="J108" s="112"/>
      <c r="K108" s="112"/>
      <c r="L108" s="231"/>
      <c r="M108" s="112"/>
      <c r="N108" s="96">
        <f t="shared" si="14"/>
        <v>0</v>
      </c>
      <c r="O108" s="96" t="e">
        <f t="shared" si="19"/>
        <v>#DIV/0!</v>
      </c>
      <c r="P108" s="149"/>
      <c r="Q108" s="239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 s="228"/>
    </row>
    <row r="109" spans="1:49" ht="15.5" x14ac:dyDescent="0.35">
      <c r="A109" s="103"/>
      <c r="B109" s="79"/>
      <c r="C109" s="79"/>
      <c r="D109" s="111">
        <f t="shared" si="18"/>
        <v>1</v>
      </c>
      <c r="E109" s="322">
        <f t="shared" si="15"/>
        <v>0</v>
      </c>
      <c r="F109" s="318"/>
      <c r="G109" s="328">
        <f t="shared" si="13"/>
        <v>0</v>
      </c>
      <c r="H109" s="112"/>
      <c r="I109" s="112"/>
      <c r="J109" s="112"/>
      <c r="K109" s="112"/>
      <c r="L109" s="112"/>
      <c r="M109" s="112"/>
      <c r="N109" s="96">
        <f t="shared" si="14"/>
        <v>0</v>
      </c>
      <c r="O109" s="96" t="e">
        <f t="shared" si="19"/>
        <v>#DIV/0!</v>
      </c>
      <c r="P109" s="149"/>
      <c r="Q109" s="239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 s="228"/>
    </row>
    <row r="110" spans="1:49" ht="15.5" x14ac:dyDescent="0.35">
      <c r="A110" s="103"/>
      <c r="B110" s="79"/>
      <c r="C110" s="79"/>
      <c r="D110" s="111">
        <f t="shared" si="18"/>
        <v>1</v>
      </c>
      <c r="E110" s="322">
        <f t="shared" si="15"/>
        <v>0</v>
      </c>
      <c r="F110" s="318"/>
      <c r="G110" s="328">
        <f t="shared" si="13"/>
        <v>0</v>
      </c>
      <c r="H110" s="112"/>
      <c r="I110" s="112"/>
      <c r="J110" s="112"/>
      <c r="K110" s="112"/>
      <c r="L110" s="231"/>
      <c r="M110" s="112"/>
      <c r="N110" s="96">
        <f t="shared" si="14"/>
        <v>0</v>
      </c>
      <c r="O110" s="96" t="e">
        <f t="shared" si="19"/>
        <v>#DIV/0!</v>
      </c>
      <c r="P110" s="149"/>
      <c r="Q110" s="239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 s="228"/>
    </row>
    <row r="111" spans="1:49" ht="15.5" x14ac:dyDescent="0.35">
      <c r="A111" s="103"/>
      <c r="B111" s="79"/>
      <c r="C111" s="79"/>
      <c r="D111" s="111">
        <f t="shared" si="18"/>
        <v>1</v>
      </c>
      <c r="E111" s="322">
        <f t="shared" si="15"/>
        <v>0</v>
      </c>
      <c r="F111" s="318"/>
      <c r="G111" s="328">
        <f t="shared" si="13"/>
        <v>0</v>
      </c>
      <c r="H111" s="112"/>
      <c r="I111" s="112"/>
      <c r="J111" s="112"/>
      <c r="K111" s="112"/>
      <c r="L111" s="231"/>
      <c r="M111" s="112"/>
      <c r="N111" s="96">
        <f t="shared" si="14"/>
        <v>0</v>
      </c>
      <c r="O111" s="96" t="e">
        <f t="shared" si="19"/>
        <v>#DIV/0!</v>
      </c>
      <c r="P111" s="149"/>
      <c r="Q111" s="239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 s="228"/>
    </row>
    <row r="112" spans="1:49" ht="15.5" x14ac:dyDescent="0.35">
      <c r="A112" s="103"/>
      <c r="B112" s="72"/>
      <c r="C112" s="72"/>
      <c r="D112" s="111">
        <f t="shared" si="18"/>
        <v>1</v>
      </c>
      <c r="E112" s="322">
        <f t="shared" si="15"/>
        <v>0</v>
      </c>
      <c r="F112" s="318"/>
      <c r="G112" s="328">
        <f t="shared" si="13"/>
        <v>0</v>
      </c>
      <c r="H112" s="112"/>
      <c r="I112" s="112"/>
      <c r="J112" s="112"/>
      <c r="K112" s="112"/>
      <c r="L112" s="112"/>
      <c r="M112" s="112"/>
      <c r="N112" s="96">
        <f t="shared" si="14"/>
        <v>0</v>
      </c>
      <c r="O112" s="96" t="e">
        <f t="shared" si="19"/>
        <v>#DIV/0!</v>
      </c>
      <c r="P112" s="149"/>
      <c r="Q112" s="239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</row>
    <row r="113" spans="1:49" ht="15.5" x14ac:dyDescent="0.35">
      <c r="A113" s="104"/>
      <c r="B113" s="79"/>
      <c r="C113" s="79"/>
      <c r="D113" s="111">
        <f t="shared" si="18"/>
        <v>1</v>
      </c>
      <c r="E113" s="322">
        <f t="shared" si="15"/>
        <v>0</v>
      </c>
      <c r="F113" s="318"/>
      <c r="G113" s="328">
        <f t="shared" si="13"/>
        <v>0</v>
      </c>
      <c r="H113" s="112"/>
      <c r="I113" s="112"/>
      <c r="J113" s="112"/>
      <c r="K113" s="112"/>
      <c r="L113" s="231"/>
      <c r="M113" s="112"/>
      <c r="N113" s="96">
        <f t="shared" si="14"/>
        <v>0</v>
      </c>
      <c r="O113" s="96" t="e">
        <f t="shared" si="19"/>
        <v>#DIV/0!</v>
      </c>
      <c r="P113" s="149"/>
      <c r="Q113" s="239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  <c r="AG113" s="228"/>
      <c r="AH113" s="228"/>
      <c r="AI113" s="228"/>
      <c r="AJ113" s="228"/>
      <c r="AK113" s="228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 s="228"/>
    </row>
    <row r="114" spans="1:49" ht="15.5" x14ac:dyDescent="0.35">
      <c r="A114" s="104"/>
      <c r="B114" s="79"/>
      <c r="C114" s="79"/>
      <c r="D114" s="111">
        <f t="shared" si="18"/>
        <v>1</v>
      </c>
      <c r="E114" s="322">
        <f t="shared" si="15"/>
        <v>0</v>
      </c>
      <c r="F114" s="318"/>
      <c r="G114" s="328">
        <f t="shared" si="13"/>
        <v>0</v>
      </c>
      <c r="H114" s="112"/>
      <c r="I114" s="112"/>
      <c r="J114" s="112"/>
      <c r="K114" s="112"/>
      <c r="L114" s="231"/>
      <c r="M114" s="112"/>
      <c r="N114" s="96">
        <f t="shared" si="14"/>
        <v>0</v>
      </c>
      <c r="O114" s="96" t="e">
        <f t="shared" si="19"/>
        <v>#DIV/0!</v>
      </c>
      <c r="P114" s="149"/>
      <c r="Q114" s="239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</row>
    <row r="115" spans="1:49" ht="15.5" x14ac:dyDescent="0.35">
      <c r="A115" s="104"/>
      <c r="B115" s="79"/>
      <c r="C115" s="79"/>
      <c r="D115" s="111">
        <f t="shared" si="18"/>
        <v>1</v>
      </c>
      <c r="E115" s="322">
        <f t="shared" si="15"/>
        <v>0</v>
      </c>
      <c r="F115" s="318"/>
      <c r="G115" s="328">
        <f t="shared" si="13"/>
        <v>0</v>
      </c>
      <c r="H115" s="112"/>
      <c r="I115" s="112"/>
      <c r="J115" s="112"/>
      <c r="K115" s="112"/>
      <c r="L115" s="231"/>
      <c r="M115" s="112"/>
      <c r="N115" s="96">
        <f t="shared" si="14"/>
        <v>0</v>
      </c>
      <c r="O115" s="96" t="e">
        <f t="shared" si="19"/>
        <v>#DIV/0!</v>
      </c>
      <c r="P115" s="149"/>
      <c r="Q115" s="239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  <c r="AG115" s="228"/>
      <c r="AH115" s="228"/>
      <c r="AI115" s="228"/>
      <c r="AJ115" s="228"/>
      <c r="AK115" s="228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 s="228"/>
    </row>
    <row r="116" spans="1:49" ht="15.5" x14ac:dyDescent="0.35">
      <c r="A116" s="104"/>
      <c r="B116" s="79"/>
      <c r="C116" s="79"/>
      <c r="D116" s="111">
        <f t="shared" si="18"/>
        <v>1</v>
      </c>
      <c r="E116" s="322">
        <f t="shared" ref="E116:E127" si="20">F115</f>
        <v>0</v>
      </c>
      <c r="F116" s="318"/>
      <c r="G116" s="328">
        <f t="shared" si="13"/>
        <v>0</v>
      </c>
      <c r="H116" s="112"/>
      <c r="I116" s="112"/>
      <c r="J116" s="112"/>
      <c r="K116" s="112"/>
      <c r="L116" s="231"/>
      <c r="M116" s="112"/>
      <c r="N116" s="96">
        <f t="shared" si="14"/>
        <v>0</v>
      </c>
      <c r="O116" s="96" t="e">
        <f t="shared" si="19"/>
        <v>#DIV/0!</v>
      </c>
      <c r="P116" s="149"/>
      <c r="Q116" s="239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 s="228"/>
    </row>
    <row r="117" spans="1:49" ht="15.5" x14ac:dyDescent="0.35">
      <c r="A117" s="104"/>
      <c r="B117" s="79"/>
      <c r="C117" s="79"/>
      <c r="D117" s="111">
        <f t="shared" si="18"/>
        <v>1</v>
      </c>
      <c r="E117" s="322">
        <f t="shared" si="20"/>
        <v>0</v>
      </c>
      <c r="F117" s="318"/>
      <c r="G117" s="328">
        <f t="shared" si="13"/>
        <v>0</v>
      </c>
      <c r="H117" s="112"/>
      <c r="I117" s="112"/>
      <c r="J117" s="112"/>
      <c r="K117" s="112"/>
      <c r="L117" s="231"/>
      <c r="M117" s="112"/>
      <c r="N117" s="96">
        <f t="shared" si="14"/>
        <v>0</v>
      </c>
      <c r="O117" s="96" t="e">
        <f t="shared" si="19"/>
        <v>#DIV/0!</v>
      </c>
      <c r="P117" s="149"/>
      <c r="Q117" s="239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 s="228"/>
    </row>
    <row r="118" spans="1:49" ht="15.5" x14ac:dyDescent="0.35">
      <c r="A118" s="104"/>
      <c r="B118" s="79"/>
      <c r="C118" s="79"/>
      <c r="D118" s="111">
        <f t="shared" si="18"/>
        <v>1</v>
      </c>
      <c r="E118" s="322">
        <f t="shared" si="20"/>
        <v>0</v>
      </c>
      <c r="F118" s="318"/>
      <c r="G118" s="328">
        <f t="shared" ref="G118:G126" si="21">(F118-E118)/100</f>
        <v>0</v>
      </c>
      <c r="H118" s="112"/>
      <c r="I118" s="112"/>
      <c r="J118" s="112"/>
      <c r="K118" s="112"/>
      <c r="L118" s="231"/>
      <c r="M118" s="112"/>
      <c r="N118" s="96">
        <f t="shared" si="14"/>
        <v>0</v>
      </c>
      <c r="O118" s="96" t="e">
        <f t="shared" si="19"/>
        <v>#DIV/0!</v>
      </c>
      <c r="P118" s="149"/>
      <c r="Q118" s="239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 s="228"/>
    </row>
    <row r="119" spans="1:49" ht="15.5" x14ac:dyDescent="0.35">
      <c r="A119" s="104"/>
      <c r="B119" s="79"/>
      <c r="C119" s="79"/>
      <c r="D119" s="111">
        <f t="shared" si="18"/>
        <v>1</v>
      </c>
      <c r="E119" s="322">
        <f t="shared" si="20"/>
        <v>0</v>
      </c>
      <c r="F119" s="318"/>
      <c r="G119" s="328">
        <f t="shared" si="21"/>
        <v>0</v>
      </c>
      <c r="H119" s="112"/>
      <c r="I119" s="112"/>
      <c r="J119" s="112"/>
      <c r="K119" s="112"/>
      <c r="L119" s="231"/>
      <c r="M119" s="112"/>
      <c r="N119" s="96">
        <f t="shared" si="14"/>
        <v>0</v>
      </c>
      <c r="O119" s="96" t="e">
        <f t="shared" si="19"/>
        <v>#DIV/0!</v>
      </c>
      <c r="P119" s="149"/>
      <c r="Q119" s="239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 s="228"/>
    </row>
    <row r="120" spans="1:49" s="247" customFormat="1" ht="15.5" x14ac:dyDescent="0.35">
      <c r="A120" s="104"/>
      <c r="B120" s="79"/>
      <c r="C120" s="79"/>
      <c r="D120" s="111">
        <f t="shared" si="18"/>
        <v>1</v>
      </c>
      <c r="E120" s="322">
        <f t="shared" si="20"/>
        <v>0</v>
      </c>
      <c r="F120" s="318"/>
      <c r="G120" s="328">
        <f t="shared" si="21"/>
        <v>0</v>
      </c>
      <c r="H120" s="112"/>
      <c r="I120" s="112"/>
      <c r="J120" s="112"/>
      <c r="K120" s="231"/>
      <c r="L120" s="112"/>
      <c r="M120" s="237"/>
      <c r="N120" s="96">
        <f t="shared" si="14"/>
        <v>0</v>
      </c>
      <c r="O120" s="239"/>
      <c r="P120" s="149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 s="228"/>
    </row>
    <row r="121" spans="1:49" ht="15.5" x14ac:dyDescent="0.35">
      <c r="A121" s="104"/>
      <c r="B121" s="79"/>
      <c r="C121" s="79"/>
      <c r="D121" s="111">
        <f t="shared" si="18"/>
        <v>1</v>
      </c>
      <c r="E121" s="322">
        <f t="shared" si="20"/>
        <v>0</v>
      </c>
      <c r="F121" s="318"/>
      <c r="G121" s="328">
        <f t="shared" si="21"/>
        <v>0</v>
      </c>
      <c r="H121" s="112"/>
      <c r="I121" s="112"/>
      <c r="J121" s="112"/>
      <c r="K121" s="112"/>
      <c r="L121" s="231"/>
      <c r="M121" s="112"/>
      <c r="N121" s="96">
        <f t="shared" si="14"/>
        <v>0</v>
      </c>
      <c r="O121" s="96" t="e">
        <f t="shared" ref="O121:O127" si="22">+N121/G121</f>
        <v>#DIV/0!</v>
      </c>
      <c r="P121" s="149"/>
      <c r="Q121" s="239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</row>
    <row r="122" spans="1:49" ht="15.5" x14ac:dyDescent="0.35">
      <c r="A122" s="104"/>
      <c r="B122" s="79"/>
      <c r="C122" s="79"/>
      <c r="D122" s="111">
        <f t="shared" si="18"/>
        <v>1</v>
      </c>
      <c r="E122" s="322">
        <f t="shared" si="20"/>
        <v>0</v>
      </c>
      <c r="F122" s="318"/>
      <c r="G122" s="328">
        <f t="shared" si="21"/>
        <v>0</v>
      </c>
      <c r="H122" s="112"/>
      <c r="I122" s="112"/>
      <c r="J122" s="112"/>
      <c r="K122" s="112"/>
      <c r="L122" s="231"/>
      <c r="M122" s="112"/>
      <c r="N122" s="96">
        <f t="shared" si="14"/>
        <v>0</v>
      </c>
      <c r="O122" s="96" t="e">
        <f t="shared" si="22"/>
        <v>#DIV/0!</v>
      </c>
      <c r="P122" s="149"/>
      <c r="Q122" s="239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</row>
    <row r="123" spans="1:49" ht="15.5" x14ac:dyDescent="0.35">
      <c r="A123" s="103"/>
      <c r="B123" s="72"/>
      <c r="C123" s="72"/>
      <c r="D123" s="111">
        <f t="shared" si="18"/>
        <v>1</v>
      </c>
      <c r="E123" s="322">
        <f t="shared" si="20"/>
        <v>0</v>
      </c>
      <c r="F123" s="318"/>
      <c r="G123" s="328">
        <f t="shared" si="21"/>
        <v>0</v>
      </c>
      <c r="H123" s="112"/>
      <c r="I123" s="112"/>
      <c r="J123" s="112"/>
      <c r="K123" s="112"/>
      <c r="L123" s="231"/>
      <c r="M123" s="112"/>
      <c r="N123" s="96">
        <f t="shared" si="14"/>
        <v>0</v>
      </c>
      <c r="O123" s="96" t="e">
        <f t="shared" si="22"/>
        <v>#DIV/0!</v>
      </c>
      <c r="P123" s="149"/>
      <c r="Q123" s="239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 s="228"/>
    </row>
    <row r="124" spans="1:49" ht="15.5" x14ac:dyDescent="0.35">
      <c r="A124" s="103"/>
      <c r="B124" s="72"/>
      <c r="C124" s="72"/>
      <c r="D124" s="111">
        <f t="shared" si="18"/>
        <v>1</v>
      </c>
      <c r="E124" s="322">
        <f t="shared" si="20"/>
        <v>0</v>
      </c>
      <c r="F124" s="318"/>
      <c r="G124" s="328">
        <f t="shared" si="21"/>
        <v>0</v>
      </c>
      <c r="H124" s="112"/>
      <c r="I124" s="112"/>
      <c r="J124" s="112"/>
      <c r="K124" s="112"/>
      <c r="L124" s="231"/>
      <c r="M124" s="112"/>
      <c r="N124" s="96">
        <f t="shared" si="14"/>
        <v>0</v>
      </c>
      <c r="O124" s="96" t="e">
        <f t="shared" si="22"/>
        <v>#DIV/0!</v>
      </c>
      <c r="P124" s="149"/>
      <c r="Q124" s="239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</row>
    <row r="125" spans="1:49" ht="15.5" x14ac:dyDescent="0.35">
      <c r="A125" s="103"/>
      <c r="B125" s="72"/>
      <c r="C125" s="72"/>
      <c r="D125" s="111">
        <f t="shared" si="18"/>
        <v>1</v>
      </c>
      <c r="E125" s="322">
        <f t="shared" si="20"/>
        <v>0</v>
      </c>
      <c r="F125" s="318"/>
      <c r="G125" s="328">
        <f t="shared" si="21"/>
        <v>0</v>
      </c>
      <c r="H125" s="112"/>
      <c r="I125" s="112"/>
      <c r="J125" s="112"/>
      <c r="K125" s="112"/>
      <c r="L125" s="231"/>
      <c r="M125" s="112"/>
      <c r="N125" s="96">
        <f t="shared" si="14"/>
        <v>0</v>
      </c>
      <c r="O125" s="96" t="e">
        <f t="shared" si="22"/>
        <v>#DIV/0!</v>
      </c>
      <c r="P125" s="149"/>
      <c r="Q125" s="239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  <c r="AG125" s="228"/>
      <c r="AH125" s="228"/>
      <c r="AI125" s="228"/>
      <c r="AJ125" s="228"/>
      <c r="AK125" s="228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 s="228"/>
    </row>
    <row r="126" spans="1:49" ht="15.5" x14ac:dyDescent="0.35">
      <c r="A126" s="103"/>
      <c r="B126" s="72"/>
      <c r="C126" s="72"/>
      <c r="D126" s="111">
        <f t="shared" si="18"/>
        <v>1</v>
      </c>
      <c r="E126" s="322">
        <f t="shared" si="20"/>
        <v>0</v>
      </c>
      <c r="F126" s="318"/>
      <c r="G126" s="328">
        <f t="shared" si="21"/>
        <v>0</v>
      </c>
      <c r="H126" s="112"/>
      <c r="I126" s="112"/>
      <c r="J126" s="112"/>
      <c r="K126" s="112"/>
      <c r="L126" s="231"/>
      <c r="M126" s="112"/>
      <c r="N126" s="96">
        <f t="shared" si="14"/>
        <v>0</v>
      </c>
      <c r="O126" s="96" t="e">
        <f t="shared" si="22"/>
        <v>#DIV/0!</v>
      </c>
      <c r="P126" s="149"/>
      <c r="Q126" s="239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 s="228"/>
    </row>
    <row r="127" spans="1:49" ht="15.5" x14ac:dyDescent="0.35">
      <c r="A127" s="59"/>
      <c r="B127" s="72"/>
      <c r="C127" s="72"/>
      <c r="D127" s="111">
        <f t="shared" si="18"/>
        <v>1</v>
      </c>
      <c r="E127" s="322">
        <f t="shared" si="20"/>
        <v>0</v>
      </c>
      <c r="F127" s="318"/>
      <c r="G127" s="328">
        <f>(F127-E127)/100</f>
        <v>0</v>
      </c>
      <c r="H127" s="112"/>
      <c r="I127" s="112"/>
      <c r="J127" s="112"/>
      <c r="K127" s="112"/>
      <c r="L127" s="231"/>
      <c r="M127" s="112"/>
      <c r="N127" s="96">
        <f t="shared" si="14"/>
        <v>0</v>
      </c>
      <c r="O127" s="96" t="e">
        <f t="shared" si="22"/>
        <v>#DIV/0!</v>
      </c>
      <c r="P127" s="149"/>
      <c r="Q127" s="239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 s="228"/>
    </row>
    <row r="128" spans="1:49" ht="15.5" x14ac:dyDescent="0.35">
      <c r="A128" s="95"/>
      <c r="B128" s="114"/>
      <c r="C128" s="114"/>
      <c r="D128" s="115"/>
      <c r="E128" s="116"/>
      <c r="F128" s="88" t="s">
        <v>70</v>
      </c>
      <c r="G128" s="301">
        <f>SUM(G7:G127)</f>
        <v>-23355.43</v>
      </c>
      <c r="H128" s="117"/>
      <c r="I128" s="117"/>
      <c r="J128" s="90"/>
      <c r="K128" s="90"/>
      <c r="L128" s="118"/>
      <c r="M128" s="90"/>
      <c r="N128" s="301" t="e">
        <f>SUM(N7:N127)</f>
        <v>#VALUE!</v>
      </c>
      <c r="O128" s="68"/>
      <c r="P128" s="68"/>
      <c r="Q128" s="6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</row>
    <row r="129" spans="1:49" ht="15.5" x14ac:dyDescent="0.35">
      <c r="A129" s="95"/>
      <c r="B129" s="114"/>
      <c r="C129" s="114"/>
      <c r="D129" s="115"/>
      <c r="E129" s="116"/>
      <c r="F129" s="88" t="s">
        <v>71</v>
      </c>
      <c r="G129" s="301">
        <f>(G128*30)/720</f>
        <v>-973.14291666666668</v>
      </c>
      <c r="H129" s="117"/>
      <c r="I129" s="117"/>
      <c r="J129" s="90"/>
      <c r="K129" s="90"/>
      <c r="L129" s="118"/>
      <c r="M129" s="90"/>
      <c r="N129" s="99" t="e">
        <f>N128/1000</f>
        <v>#VALUE!</v>
      </c>
      <c r="O129" s="68"/>
      <c r="P129" s="68"/>
      <c r="Q129" s="6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 s="228"/>
    </row>
    <row r="130" spans="1:49" ht="15.5" x14ac:dyDescent="0.35">
      <c r="A130" s="95"/>
      <c r="B130" s="114"/>
      <c r="C130" s="114"/>
      <c r="D130" s="115"/>
      <c r="E130" s="116"/>
      <c r="F130" s="119"/>
      <c r="G130" s="120"/>
      <c r="H130" s="117"/>
      <c r="I130" s="117"/>
      <c r="J130" s="90"/>
      <c r="K130" s="90"/>
      <c r="L130" s="118"/>
      <c r="M130" s="90"/>
      <c r="N130" s="68"/>
      <c r="O130" s="68"/>
      <c r="P130" s="68"/>
      <c r="Q130" s="6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</row>
    <row r="131" spans="1:49" ht="15.5" x14ac:dyDescent="0.35">
      <c r="A131" s="26"/>
      <c r="B131" s="121"/>
      <c r="C131" s="121"/>
      <c r="D131" s="122"/>
      <c r="E131" s="116"/>
      <c r="F131" s="119"/>
      <c r="G131" s="120"/>
      <c r="H131" s="117"/>
      <c r="I131" s="117"/>
      <c r="J131" s="90"/>
      <c r="K131" s="90"/>
      <c r="L131" s="118"/>
      <c r="M131" s="90"/>
      <c r="N131" s="68"/>
      <c r="O131" s="68"/>
      <c r="P131" s="68"/>
      <c r="Q131" s="6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</row>
    <row r="132" spans="1:49" ht="15.5" x14ac:dyDescent="0.35">
      <c r="A132" s="26"/>
      <c r="B132" s="121"/>
      <c r="C132" s="121"/>
      <c r="D132" s="122"/>
      <c r="E132" s="116"/>
      <c r="F132" s="119"/>
      <c r="G132" s="120"/>
      <c r="H132" s="117"/>
      <c r="I132" s="117"/>
      <c r="J132" s="90"/>
      <c r="K132" s="90"/>
      <c r="L132" s="118"/>
      <c r="M132" s="90"/>
      <c r="N132" s="68"/>
      <c r="O132" s="68"/>
      <c r="P132" s="68"/>
      <c r="Q132" s="6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 s="228"/>
    </row>
    <row r="133" spans="1:49" ht="15.5" x14ac:dyDescent="0.35">
      <c r="A133" s="26"/>
      <c r="B133" s="121"/>
      <c r="C133" s="121"/>
      <c r="D133" s="122"/>
      <c r="E133" s="116"/>
      <c r="F133" s="119"/>
      <c r="G133" s="120"/>
      <c r="H133" s="117"/>
      <c r="I133" s="117"/>
      <c r="J133" s="90"/>
      <c r="K133" s="90"/>
      <c r="L133" s="118"/>
      <c r="M133" s="90"/>
      <c r="N133" s="68"/>
      <c r="O133" s="68"/>
      <c r="P133" s="68"/>
      <c r="Q133" s="6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</row>
    <row r="134" spans="1:49" ht="15.5" x14ac:dyDescent="0.35">
      <c r="A134" s="26"/>
      <c r="B134" s="121"/>
      <c r="C134" s="121"/>
      <c r="D134" s="122"/>
      <c r="E134" s="116"/>
      <c r="F134" s="119"/>
      <c r="G134" s="120"/>
      <c r="H134" s="117"/>
      <c r="I134" s="117"/>
      <c r="J134" s="90"/>
      <c r="K134" s="90"/>
      <c r="L134" s="118"/>
      <c r="M134" s="90"/>
      <c r="N134" s="68"/>
      <c r="O134" s="68"/>
      <c r="P134" s="68"/>
      <c r="Q134" s="6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 s="228"/>
    </row>
    <row r="135" spans="1:49" ht="15.5" x14ac:dyDescent="0.35">
      <c r="A135" s="26"/>
      <c r="B135" s="121"/>
      <c r="C135" s="121"/>
      <c r="D135" s="122"/>
      <c r="E135" s="116"/>
      <c r="F135" s="119"/>
      <c r="G135" s="120"/>
      <c r="H135" s="117"/>
      <c r="I135" s="117"/>
      <c r="J135" s="90"/>
      <c r="K135" s="90"/>
      <c r="L135" s="118"/>
      <c r="M135" s="90"/>
      <c r="N135" s="68"/>
      <c r="O135" s="68"/>
      <c r="P135" s="68"/>
      <c r="Q135" s="6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</row>
    <row r="136" spans="1:49" ht="15.5" x14ac:dyDescent="0.35">
      <c r="A136" s="26"/>
      <c r="B136" s="27"/>
      <c r="C136" s="27"/>
      <c r="D136" s="28"/>
      <c r="E136" s="98"/>
      <c r="F136" s="101"/>
      <c r="G136" s="102"/>
      <c r="H136" s="99"/>
      <c r="I136" s="99"/>
      <c r="J136" s="68"/>
      <c r="K136" s="68"/>
      <c r="L136" s="100"/>
      <c r="M136" s="68"/>
      <c r="N136" s="68"/>
      <c r="O136" s="68"/>
      <c r="P136" s="68"/>
      <c r="Q136" s="6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</row>
    <row r="137" spans="1:49" ht="15.5" x14ac:dyDescent="0.35">
      <c r="A137" s="26"/>
      <c r="B137" s="27"/>
      <c r="C137" s="27"/>
      <c r="D137" s="28"/>
      <c r="E137" s="98"/>
      <c r="F137" s="101"/>
      <c r="G137" s="102"/>
      <c r="H137" s="99"/>
      <c r="I137" s="99"/>
      <c r="J137" s="68"/>
      <c r="K137" s="68"/>
      <c r="L137" s="100"/>
      <c r="M137" s="68"/>
      <c r="N137" s="68"/>
      <c r="O137" s="68"/>
      <c r="P137" s="68"/>
      <c r="Q137" s="6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</row>
    <row r="138" spans="1:49" ht="15.5" x14ac:dyDescent="0.35">
      <c r="A138" s="26"/>
      <c r="B138" s="27"/>
      <c r="C138" s="27"/>
      <c r="D138" s="28"/>
      <c r="E138" s="98"/>
      <c r="F138" s="101"/>
      <c r="G138" s="102"/>
      <c r="H138" s="99"/>
      <c r="I138" s="99"/>
      <c r="J138" s="68"/>
      <c r="K138" s="68"/>
      <c r="L138" s="100"/>
      <c r="M138" s="68"/>
      <c r="N138" s="68"/>
      <c r="O138" s="68"/>
      <c r="P138" s="68"/>
      <c r="Q138" s="6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</row>
    <row r="139" spans="1:49" ht="15.5" x14ac:dyDescent="0.35">
      <c r="A139" s="26"/>
      <c r="B139" s="27"/>
      <c r="C139" s="27"/>
      <c r="D139" s="28"/>
      <c r="E139" s="98"/>
      <c r="F139" s="101"/>
      <c r="G139" s="102"/>
      <c r="H139" s="99"/>
      <c r="I139" s="99"/>
      <c r="J139" s="68"/>
      <c r="K139" s="68"/>
      <c r="L139" s="100"/>
      <c r="M139" s="68"/>
      <c r="N139" s="68"/>
      <c r="O139" s="68"/>
      <c r="P139" s="68"/>
      <c r="Q139" s="6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</row>
    <row r="140" spans="1:49" x14ac:dyDescent="0.35">
      <c r="A140" s="26"/>
      <c r="B140" s="27"/>
      <c r="C140" s="27"/>
      <c r="D140" s="28"/>
      <c r="E140" s="29"/>
      <c r="F140" s="30"/>
      <c r="G140" s="16"/>
      <c r="H140" s="38"/>
      <c r="I140" s="38"/>
      <c r="J140" s="15"/>
      <c r="K140" s="15"/>
      <c r="L140" s="19"/>
      <c r="M140" s="15"/>
      <c r="N140" s="15"/>
      <c r="O140" s="15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</row>
    <row r="141" spans="1:49" x14ac:dyDescent="0.35">
      <c r="A141" s="26"/>
      <c r="B141" s="27"/>
      <c r="C141" s="27"/>
      <c r="D141" s="28"/>
      <c r="E141" s="29"/>
      <c r="F141" s="30"/>
      <c r="G141" s="15"/>
      <c r="H141" s="38"/>
      <c r="I141" s="38"/>
      <c r="J141" s="15"/>
      <c r="K141" s="15"/>
      <c r="L141" s="19"/>
      <c r="M141" s="15"/>
      <c r="N141" s="15"/>
      <c r="O141" s="15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</row>
    <row r="142" spans="1:49" x14ac:dyDescent="0.35">
      <c r="A142" s="26"/>
      <c r="B142" s="27"/>
      <c r="C142" s="27"/>
      <c r="D142" s="28"/>
      <c r="E142" s="29"/>
      <c r="F142" s="30"/>
      <c r="G142" s="15"/>
      <c r="H142" s="38"/>
      <c r="I142" s="38"/>
      <c r="J142" s="15"/>
      <c r="K142" s="15"/>
      <c r="L142" s="19"/>
      <c r="M142" s="15"/>
      <c r="N142" s="15"/>
      <c r="O142" s="15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</row>
    <row r="143" spans="1:49" x14ac:dyDescent="0.35">
      <c r="A143" s="26"/>
      <c r="B143" s="27"/>
      <c r="C143" s="27"/>
      <c r="D143" s="28"/>
      <c r="E143" s="29"/>
      <c r="F143" s="30"/>
      <c r="G143" s="15"/>
      <c r="H143" s="38"/>
      <c r="I143" s="38"/>
      <c r="J143" s="15"/>
      <c r="K143" s="15"/>
      <c r="L143" s="19"/>
      <c r="M143" s="15"/>
      <c r="N143" s="15"/>
      <c r="O143" s="15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</row>
    <row r="144" spans="1:49" x14ac:dyDescent="0.35">
      <c r="A144" s="26"/>
      <c r="B144" s="27"/>
      <c r="C144" s="27"/>
      <c r="D144" s="28"/>
      <c r="E144" s="29"/>
      <c r="F144" s="30"/>
      <c r="G144" s="15"/>
      <c r="H144" s="38"/>
      <c r="I144" s="38"/>
      <c r="J144" s="15"/>
      <c r="K144" s="15"/>
      <c r="L144" s="19"/>
      <c r="M144" s="15"/>
      <c r="N144" s="15"/>
      <c r="O144" s="15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</row>
    <row r="145" spans="1:49" x14ac:dyDescent="0.35">
      <c r="A145" s="26"/>
      <c r="B145" s="27"/>
      <c r="C145" s="27"/>
      <c r="D145" s="28"/>
      <c r="E145" s="29"/>
      <c r="F145" s="30"/>
      <c r="G145" s="15"/>
      <c r="H145" s="38"/>
      <c r="I145" s="38"/>
      <c r="J145" s="15"/>
      <c r="K145" s="15"/>
      <c r="L145" s="19"/>
      <c r="M145" s="15"/>
      <c r="N145" s="15"/>
      <c r="O145" s="15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</row>
    <row r="146" spans="1:49" x14ac:dyDescent="0.35">
      <c r="A146" s="15"/>
      <c r="B146" s="34"/>
      <c r="C146" s="34"/>
      <c r="D146" s="31"/>
      <c r="E146" s="35"/>
      <c r="F146" s="32"/>
      <c r="G146" s="33"/>
      <c r="H146" s="39"/>
      <c r="I146" s="39"/>
      <c r="J146" s="34"/>
      <c r="K146" s="34"/>
      <c r="L146" s="25"/>
      <c r="M146" s="34"/>
      <c r="N146" s="34"/>
      <c r="O146" s="34"/>
      <c r="P146" s="2"/>
      <c r="Q146" s="2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</row>
    <row r="147" spans="1:49" x14ac:dyDescent="0.35">
      <c r="A147" s="15"/>
      <c r="B147" s="34"/>
      <c r="C147" s="34"/>
      <c r="D147" s="31"/>
      <c r="E147" s="35"/>
      <c r="F147" s="32"/>
      <c r="G147" s="33"/>
      <c r="H147" s="39"/>
      <c r="I147" s="39"/>
      <c r="J147" s="34"/>
      <c r="K147" s="34"/>
      <c r="L147" s="25"/>
      <c r="M147" s="34"/>
      <c r="N147" s="34"/>
      <c r="O147" s="34"/>
      <c r="P147" s="2"/>
      <c r="Q147" s="2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</row>
    <row r="148" spans="1:49" x14ac:dyDescent="0.35">
      <c r="A148" s="15"/>
      <c r="B148" s="34"/>
      <c r="C148" s="34"/>
      <c r="D148" s="31"/>
      <c r="E148" s="35"/>
      <c r="F148" s="32"/>
      <c r="G148" s="33"/>
      <c r="H148" s="39"/>
      <c r="I148" s="39"/>
      <c r="J148" s="34"/>
      <c r="K148" s="34"/>
      <c r="L148" s="25"/>
      <c r="M148" s="34"/>
      <c r="N148" s="34"/>
      <c r="O148" s="34"/>
      <c r="P148" s="2"/>
      <c r="Q148" s="2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</row>
    <row r="149" spans="1:49" x14ac:dyDescent="0.35">
      <c r="A149" s="15"/>
      <c r="B149" s="34"/>
      <c r="C149" s="34"/>
      <c r="D149" s="31"/>
      <c r="E149" s="35"/>
      <c r="F149" s="32"/>
      <c r="G149" s="33"/>
      <c r="H149" s="39"/>
      <c r="I149" s="39"/>
      <c r="J149" s="34"/>
      <c r="K149" s="34"/>
      <c r="L149" s="25"/>
      <c r="M149" s="34"/>
      <c r="N149" s="34"/>
      <c r="O149" s="34"/>
      <c r="P149" s="2"/>
      <c r="Q149" s="2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</row>
    <row r="150" spans="1:49" x14ac:dyDescent="0.35">
      <c r="A150" s="15"/>
      <c r="B150" s="34"/>
      <c r="C150" s="34"/>
      <c r="D150" s="31"/>
      <c r="E150" s="35"/>
      <c r="F150" s="32"/>
      <c r="G150" s="33"/>
      <c r="H150" s="39"/>
      <c r="I150" s="39"/>
      <c r="J150" s="34"/>
      <c r="K150" s="34"/>
      <c r="L150" s="25"/>
      <c r="M150" s="34"/>
      <c r="N150" s="34"/>
      <c r="O150" s="34"/>
      <c r="P150" s="2"/>
      <c r="Q150" s="2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</row>
    <row r="151" spans="1:49" x14ac:dyDescent="0.35">
      <c r="A151" s="15"/>
      <c r="B151" s="34"/>
      <c r="C151" s="34"/>
      <c r="D151" s="31"/>
      <c r="E151" s="35"/>
      <c r="F151" s="32"/>
      <c r="G151" s="33"/>
      <c r="H151" s="39"/>
      <c r="I151" s="39"/>
      <c r="J151" s="34"/>
      <c r="K151" s="34"/>
      <c r="L151" s="25"/>
      <c r="M151" s="34"/>
      <c r="N151" s="34"/>
      <c r="O151" s="34"/>
      <c r="P151" s="2"/>
      <c r="Q151" s="2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</row>
    <row r="152" spans="1:49" x14ac:dyDescent="0.35">
      <c r="A152" s="15"/>
      <c r="B152" s="34"/>
      <c r="C152" s="34"/>
      <c r="D152" s="31"/>
      <c r="E152" s="35"/>
      <c r="F152" s="32"/>
      <c r="G152" s="33"/>
      <c r="H152" s="39"/>
      <c r="I152" s="39"/>
      <c r="J152" s="34"/>
      <c r="K152" s="34"/>
      <c r="L152" s="25"/>
      <c r="M152" s="34"/>
      <c r="N152" s="34"/>
      <c r="O152" s="34"/>
      <c r="P152" s="2"/>
      <c r="Q152" s="2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</row>
    <row r="153" spans="1:49" x14ac:dyDescent="0.35">
      <c r="A153" s="15"/>
      <c r="B153" s="34"/>
      <c r="C153" s="34"/>
      <c r="D153" s="31"/>
      <c r="E153" s="35"/>
      <c r="F153" s="32"/>
      <c r="G153" s="33"/>
      <c r="H153" s="39"/>
      <c r="I153" s="39"/>
      <c r="J153" s="34"/>
      <c r="K153" s="34"/>
      <c r="L153" s="25"/>
      <c r="M153" s="34"/>
      <c r="N153" s="34"/>
      <c r="O153" s="34"/>
      <c r="P153" s="2"/>
      <c r="Q153" s="2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</row>
    <row r="154" spans="1:49" x14ac:dyDescent="0.35">
      <c r="A154" s="15"/>
      <c r="B154" s="34"/>
      <c r="C154" s="34"/>
      <c r="D154" s="31"/>
      <c r="E154" s="35"/>
      <c r="F154" s="32"/>
      <c r="G154" s="33"/>
      <c r="H154" s="39"/>
      <c r="I154" s="39"/>
      <c r="J154" s="34"/>
      <c r="K154" s="34"/>
      <c r="L154" s="25"/>
      <c r="M154" s="34"/>
      <c r="N154" s="34"/>
      <c r="O154" s="34"/>
      <c r="P154" s="2"/>
      <c r="Q154" s="2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 s="228"/>
    </row>
    <row r="155" spans="1:49" x14ac:dyDescent="0.35">
      <c r="A155" s="15"/>
      <c r="B155" s="34"/>
      <c r="C155" s="34"/>
      <c r="D155" s="31"/>
      <c r="E155" s="35"/>
      <c r="F155" s="32"/>
      <c r="G155" s="33"/>
      <c r="H155" s="39"/>
      <c r="I155" s="39"/>
      <c r="J155" s="34"/>
      <c r="K155" s="34"/>
      <c r="L155" s="25"/>
      <c r="M155" s="34"/>
      <c r="N155" s="34"/>
      <c r="O155" s="34"/>
      <c r="P155" s="2"/>
      <c r="Q155" s="2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</row>
    <row r="156" spans="1:49" x14ac:dyDescent="0.35">
      <c r="A156" s="15"/>
      <c r="B156" s="34"/>
      <c r="C156" s="34"/>
      <c r="D156" s="31"/>
      <c r="E156" s="35"/>
      <c r="F156" s="32"/>
      <c r="G156" s="33"/>
      <c r="H156" s="39"/>
      <c r="I156" s="39"/>
      <c r="J156" s="34"/>
      <c r="K156" s="34"/>
      <c r="L156" s="25"/>
      <c r="M156" s="34"/>
      <c r="N156" s="34"/>
      <c r="O156" s="34"/>
      <c r="P156" s="2"/>
      <c r="Q156" s="2"/>
    </row>
    <row r="157" spans="1:49" x14ac:dyDescent="0.35">
      <c r="A157" s="15"/>
      <c r="B157" s="34"/>
      <c r="C157" s="34"/>
      <c r="D157" s="31"/>
      <c r="E157" s="35"/>
      <c r="F157" s="32"/>
      <c r="G157" s="33"/>
      <c r="H157" s="39"/>
      <c r="I157" s="39"/>
      <c r="J157" s="34"/>
      <c r="K157" s="34"/>
      <c r="L157" s="25"/>
      <c r="M157" s="34"/>
      <c r="N157" s="34"/>
      <c r="O157" s="34"/>
      <c r="P157" s="2"/>
      <c r="Q157" s="2"/>
    </row>
    <row r="158" spans="1:49" x14ac:dyDescent="0.35">
      <c r="A158" s="15"/>
      <c r="B158" s="34"/>
      <c r="C158" s="34"/>
      <c r="D158" s="31"/>
      <c r="E158" s="35"/>
      <c r="F158" s="32"/>
      <c r="G158" s="33"/>
      <c r="H158" s="39"/>
      <c r="I158" s="39"/>
      <c r="J158" s="34"/>
      <c r="K158" s="34"/>
      <c r="L158" s="25"/>
      <c r="M158" s="34"/>
      <c r="N158" s="34"/>
      <c r="O158" s="34"/>
      <c r="P158" s="2"/>
      <c r="Q158" s="2"/>
    </row>
    <row r="159" spans="1:49" x14ac:dyDescent="0.35">
      <c r="A159" s="15"/>
      <c r="B159" s="34"/>
      <c r="C159" s="34"/>
      <c r="D159" s="31"/>
      <c r="E159" s="35"/>
      <c r="F159" s="32"/>
      <c r="G159" s="33"/>
      <c r="H159" s="39"/>
      <c r="I159" s="39"/>
      <c r="J159" s="34"/>
      <c r="K159" s="34"/>
      <c r="L159" s="25"/>
      <c r="M159" s="34"/>
      <c r="N159" s="34"/>
      <c r="O159" s="34"/>
      <c r="P159" s="2"/>
      <c r="Q159" s="2"/>
    </row>
    <row r="160" spans="1:49" x14ac:dyDescent="0.35">
      <c r="A160" s="15"/>
      <c r="B160" s="34"/>
      <c r="C160" s="34"/>
      <c r="D160" s="31"/>
      <c r="E160" s="35"/>
      <c r="F160" s="32"/>
      <c r="G160" s="33"/>
      <c r="H160" s="39"/>
      <c r="I160" s="39"/>
      <c r="J160" s="34"/>
      <c r="K160" s="34"/>
      <c r="L160" s="25"/>
      <c r="M160" s="34"/>
      <c r="N160" s="34"/>
      <c r="O160" s="34"/>
      <c r="P160" s="2"/>
      <c r="Q160" s="2"/>
    </row>
    <row r="161" spans="1:17" x14ac:dyDescent="0.35">
      <c r="A161" s="15"/>
      <c r="B161" s="34"/>
      <c r="C161" s="34"/>
      <c r="D161" s="31"/>
      <c r="E161" s="35"/>
      <c r="F161" s="32"/>
      <c r="G161" s="33"/>
      <c r="H161" s="39"/>
      <c r="I161" s="39"/>
      <c r="J161" s="34"/>
      <c r="K161" s="34"/>
      <c r="L161" s="25"/>
      <c r="M161" s="34"/>
      <c r="N161" s="34"/>
      <c r="O161" s="34"/>
      <c r="P161" s="2"/>
      <c r="Q161" s="2"/>
    </row>
    <row r="162" spans="1:17" x14ac:dyDescent="0.35">
      <c r="A162" s="15"/>
      <c r="B162" s="34"/>
      <c r="C162" s="34"/>
      <c r="D162" s="31"/>
      <c r="E162" s="35"/>
      <c r="F162" s="32"/>
      <c r="G162" s="33"/>
      <c r="H162" s="39"/>
      <c r="I162" s="39"/>
      <c r="J162" s="34"/>
      <c r="K162" s="34"/>
      <c r="L162" s="25"/>
      <c r="M162" s="34"/>
      <c r="N162" s="34"/>
      <c r="O162" s="34"/>
      <c r="P162" s="2"/>
      <c r="Q162" s="2"/>
    </row>
    <row r="163" spans="1:17" x14ac:dyDescent="0.35">
      <c r="A163" s="15"/>
      <c r="B163" s="34"/>
      <c r="C163" s="34"/>
      <c r="D163" s="31"/>
      <c r="E163" s="35"/>
      <c r="F163" s="32"/>
      <c r="G163" s="33"/>
      <c r="H163" s="39"/>
      <c r="I163" s="39"/>
      <c r="J163" s="34"/>
      <c r="K163" s="34"/>
      <c r="L163" s="25"/>
      <c r="M163" s="34"/>
      <c r="N163" s="34"/>
      <c r="O163" s="34"/>
      <c r="P163" s="2"/>
      <c r="Q163" s="2"/>
    </row>
    <row r="164" spans="1:17" x14ac:dyDescent="0.35">
      <c r="A164" s="15"/>
      <c r="B164" s="34"/>
      <c r="C164" s="34"/>
      <c r="D164" s="31"/>
      <c r="E164" s="35"/>
      <c r="F164" s="32"/>
      <c r="G164" s="33"/>
      <c r="H164" s="39"/>
      <c r="I164" s="39"/>
      <c r="J164" s="34"/>
      <c r="K164" s="34"/>
      <c r="L164" s="25"/>
      <c r="M164" s="34"/>
      <c r="N164" s="34"/>
      <c r="O164" s="34"/>
      <c r="P164" s="2"/>
      <c r="Q164" s="2"/>
    </row>
    <row r="165" spans="1:17" x14ac:dyDescent="0.35">
      <c r="A165" s="15"/>
      <c r="B165" s="34"/>
      <c r="C165" s="34"/>
      <c r="D165" s="31"/>
      <c r="E165" s="35"/>
      <c r="F165" s="32"/>
      <c r="G165" s="33"/>
      <c r="H165" s="39"/>
      <c r="I165" s="39"/>
      <c r="J165" s="34"/>
      <c r="K165" s="34"/>
      <c r="L165" s="25"/>
      <c r="M165" s="34"/>
      <c r="N165" s="34"/>
      <c r="O165" s="34"/>
      <c r="P165" s="2"/>
      <c r="Q165" s="2"/>
    </row>
    <row r="166" spans="1:17" x14ac:dyDescent="0.35">
      <c r="A166" s="15"/>
      <c r="B166" s="34"/>
      <c r="C166" s="34"/>
      <c r="D166" s="31"/>
      <c r="E166" s="35"/>
      <c r="F166" s="32"/>
      <c r="G166" s="33"/>
      <c r="H166" s="39"/>
      <c r="I166" s="39"/>
      <c r="J166" s="34"/>
      <c r="K166" s="34"/>
      <c r="L166" s="25"/>
      <c r="M166" s="34"/>
      <c r="N166" s="34"/>
      <c r="O166" s="34"/>
      <c r="P166" s="2"/>
      <c r="Q166" s="2"/>
    </row>
    <row r="167" spans="1:17" x14ac:dyDescent="0.35">
      <c r="A167" s="15"/>
      <c r="B167" s="34"/>
      <c r="C167" s="34"/>
      <c r="D167" s="31"/>
      <c r="E167" s="35"/>
      <c r="F167" s="32"/>
      <c r="G167" s="33"/>
      <c r="H167" s="39"/>
      <c r="I167" s="39"/>
      <c r="J167" s="34"/>
      <c r="K167" s="34"/>
      <c r="L167" s="25"/>
      <c r="M167" s="34"/>
      <c r="N167" s="34"/>
      <c r="O167" s="34"/>
      <c r="P167" s="2"/>
      <c r="Q167" s="2"/>
    </row>
    <row r="168" spans="1:17" x14ac:dyDescent="0.35">
      <c r="A168" s="15"/>
      <c r="B168" s="34"/>
      <c r="C168" s="34"/>
      <c r="D168" s="31"/>
      <c r="E168" s="35"/>
      <c r="F168" s="32"/>
      <c r="G168" s="33"/>
      <c r="H168" s="39"/>
      <c r="I168" s="39"/>
      <c r="J168" s="34"/>
      <c r="K168" s="34"/>
      <c r="L168" s="25"/>
      <c r="M168" s="34"/>
      <c r="N168" s="34"/>
      <c r="O168" s="34"/>
      <c r="P168" s="2"/>
      <c r="Q168" s="2"/>
    </row>
    <row r="169" spans="1:17" x14ac:dyDescent="0.35">
      <c r="A169" s="15"/>
      <c r="B169" s="34"/>
      <c r="C169" s="34"/>
      <c r="D169" s="31"/>
      <c r="E169" s="35"/>
      <c r="F169" s="32"/>
      <c r="G169" s="33"/>
      <c r="H169" s="39"/>
      <c r="I169" s="39"/>
      <c r="J169" s="34"/>
      <c r="K169" s="34"/>
      <c r="L169" s="25"/>
      <c r="M169" s="34"/>
      <c r="N169" s="34"/>
      <c r="O169" s="34"/>
      <c r="P169" s="2"/>
      <c r="Q169" s="2"/>
    </row>
    <row r="170" spans="1:17" x14ac:dyDescent="0.35">
      <c r="A170" s="15"/>
      <c r="B170" s="34"/>
      <c r="C170" s="34"/>
      <c r="D170" s="31"/>
      <c r="E170" s="35"/>
      <c r="F170" s="32"/>
      <c r="G170" s="33"/>
      <c r="H170" s="39"/>
      <c r="I170" s="39"/>
      <c r="J170" s="34"/>
      <c r="K170" s="34"/>
      <c r="L170" s="25"/>
      <c r="M170" s="34"/>
      <c r="N170" s="34"/>
      <c r="O170" s="34"/>
      <c r="P170" s="2"/>
      <c r="Q170" s="2"/>
    </row>
    <row r="171" spans="1:17" x14ac:dyDescent="0.35">
      <c r="A171" s="15"/>
      <c r="B171" s="34"/>
      <c r="C171" s="34"/>
      <c r="D171" s="31"/>
      <c r="E171" s="35"/>
      <c r="F171" s="32"/>
      <c r="G171" s="33"/>
      <c r="H171" s="39"/>
      <c r="I171" s="39"/>
      <c r="J171" s="34"/>
      <c r="K171" s="34"/>
      <c r="L171" s="25"/>
      <c r="M171" s="34"/>
      <c r="N171" s="34"/>
      <c r="O171" s="34"/>
      <c r="P171" s="2"/>
      <c r="Q171" s="2"/>
    </row>
    <row r="172" spans="1:17" x14ac:dyDescent="0.35">
      <c r="A172" s="15"/>
      <c r="B172" s="34"/>
      <c r="C172" s="34"/>
      <c r="D172" s="31"/>
      <c r="E172" s="35"/>
      <c r="F172" s="32"/>
      <c r="G172" s="33"/>
      <c r="H172" s="39"/>
      <c r="I172" s="39"/>
      <c r="J172" s="34"/>
      <c r="K172" s="34"/>
      <c r="L172" s="25"/>
      <c r="M172" s="34"/>
      <c r="N172" s="34"/>
      <c r="O172" s="34"/>
      <c r="P172" s="2"/>
      <c r="Q172" s="2"/>
    </row>
    <row r="173" spans="1:17" x14ac:dyDescent="0.35">
      <c r="A173" s="15"/>
      <c r="B173" s="34"/>
      <c r="C173" s="34"/>
      <c r="D173" s="31"/>
      <c r="E173" s="35"/>
      <c r="F173" s="32"/>
      <c r="G173" s="33"/>
      <c r="H173" s="39"/>
      <c r="I173" s="39"/>
      <c r="J173" s="34"/>
      <c r="K173" s="34"/>
      <c r="L173" s="25"/>
      <c r="M173" s="34"/>
      <c r="N173" s="34"/>
      <c r="O173" s="34"/>
      <c r="P173" s="2"/>
      <c r="Q173" s="2"/>
    </row>
    <row r="174" spans="1:17" x14ac:dyDescent="0.35">
      <c r="A174" s="15"/>
      <c r="B174" s="34"/>
      <c r="C174" s="34"/>
      <c r="D174" s="31"/>
      <c r="E174" s="35"/>
      <c r="F174" s="32"/>
      <c r="G174" s="33"/>
      <c r="H174" s="39"/>
      <c r="I174" s="39"/>
      <c r="J174" s="34"/>
      <c r="K174" s="34"/>
      <c r="L174" s="25"/>
      <c r="M174" s="34"/>
      <c r="N174" s="34"/>
      <c r="O174" s="34"/>
      <c r="P174" s="2"/>
      <c r="Q174" s="2"/>
    </row>
    <row r="175" spans="1:17" x14ac:dyDescent="0.35">
      <c r="A175" s="15"/>
      <c r="B175" s="34"/>
      <c r="C175" s="34"/>
      <c r="D175" s="31"/>
      <c r="E175" s="35"/>
      <c r="F175" s="32"/>
      <c r="G175" s="33"/>
      <c r="H175" s="39"/>
      <c r="I175" s="39"/>
      <c r="J175" s="34"/>
      <c r="K175" s="34"/>
      <c r="L175" s="25"/>
      <c r="M175" s="34"/>
      <c r="N175" s="34"/>
      <c r="O175" s="34"/>
      <c r="P175" s="2"/>
      <c r="Q175" s="2"/>
    </row>
    <row r="176" spans="1:17" x14ac:dyDescent="0.35">
      <c r="A176" s="15"/>
      <c r="B176" s="34"/>
      <c r="C176" s="34"/>
      <c r="D176" s="31"/>
      <c r="E176" s="35"/>
      <c r="F176" s="32"/>
      <c r="G176" s="33"/>
      <c r="H176" s="39"/>
      <c r="I176" s="39"/>
      <c r="J176" s="34"/>
      <c r="K176" s="34"/>
      <c r="L176" s="25"/>
      <c r="M176" s="34"/>
      <c r="N176" s="34"/>
      <c r="O176" s="34"/>
      <c r="P176" s="2"/>
      <c r="Q176" s="2"/>
    </row>
    <row r="177" spans="1:17" x14ac:dyDescent="0.35">
      <c r="A177" s="15"/>
      <c r="B177" s="34"/>
      <c r="C177" s="34"/>
      <c r="D177" s="31"/>
      <c r="E177" s="35"/>
      <c r="F177" s="32"/>
      <c r="G177" s="33"/>
      <c r="H177" s="39"/>
      <c r="I177" s="39"/>
      <c r="J177" s="34"/>
      <c r="K177" s="34"/>
      <c r="L177" s="25"/>
      <c r="M177" s="34"/>
      <c r="N177" s="34"/>
      <c r="O177" s="34"/>
      <c r="P177" s="2"/>
      <c r="Q177" s="2"/>
    </row>
    <row r="178" spans="1:17" x14ac:dyDescent="0.35">
      <c r="A178" s="15"/>
      <c r="B178" s="34"/>
      <c r="C178" s="34"/>
      <c r="D178" s="31"/>
      <c r="E178" s="35"/>
      <c r="F178" s="32"/>
      <c r="G178" s="33"/>
      <c r="H178" s="39"/>
      <c r="I178" s="39"/>
      <c r="J178" s="34"/>
      <c r="K178" s="34"/>
      <c r="L178" s="25"/>
      <c r="M178" s="34"/>
      <c r="N178" s="34"/>
      <c r="O178" s="34"/>
      <c r="P178" s="2"/>
      <c r="Q178" s="2"/>
    </row>
    <row r="179" spans="1:17" x14ac:dyDescent="0.35">
      <c r="A179" s="15"/>
      <c r="B179" s="34"/>
      <c r="C179" s="34"/>
      <c r="D179" s="31"/>
      <c r="E179" s="35"/>
      <c r="F179" s="32"/>
      <c r="G179" s="33"/>
      <c r="H179" s="39"/>
      <c r="I179" s="39"/>
      <c r="J179" s="34"/>
      <c r="K179" s="34"/>
      <c r="L179" s="25"/>
      <c r="M179" s="34"/>
      <c r="N179" s="34"/>
      <c r="O179" s="34"/>
      <c r="P179" s="2"/>
      <c r="Q179" s="2"/>
    </row>
    <row r="180" spans="1:17" x14ac:dyDescent="0.35">
      <c r="A180" s="15"/>
      <c r="B180" s="34"/>
      <c r="C180" s="34"/>
      <c r="D180" s="31"/>
      <c r="E180" s="35"/>
      <c r="F180" s="32"/>
      <c r="G180" s="33"/>
      <c r="H180" s="39"/>
      <c r="I180" s="39"/>
      <c r="J180" s="34"/>
      <c r="K180" s="34"/>
      <c r="L180" s="25"/>
      <c r="M180" s="34"/>
      <c r="N180" s="34"/>
      <c r="O180" s="34"/>
      <c r="P180" s="2"/>
      <c r="Q180" s="2"/>
    </row>
    <row r="181" spans="1:17" x14ac:dyDescent="0.35">
      <c r="A181" s="15"/>
      <c r="B181" s="34"/>
      <c r="C181" s="34"/>
      <c r="D181" s="31"/>
      <c r="E181" s="35"/>
      <c r="F181" s="32"/>
      <c r="G181" s="33"/>
      <c r="H181" s="39"/>
      <c r="I181" s="39"/>
      <c r="J181" s="34"/>
      <c r="K181" s="34"/>
      <c r="L181" s="25"/>
      <c r="M181" s="34"/>
      <c r="N181" s="34"/>
      <c r="O181" s="34"/>
      <c r="P181" s="2"/>
      <c r="Q181" s="2"/>
    </row>
    <row r="182" spans="1:17" x14ac:dyDescent="0.35">
      <c r="A182" s="15"/>
      <c r="B182" s="34"/>
      <c r="C182" s="34"/>
      <c r="D182" s="31"/>
      <c r="E182" s="35"/>
      <c r="F182" s="32"/>
      <c r="G182" s="33"/>
      <c r="H182" s="39"/>
      <c r="I182" s="39"/>
      <c r="J182" s="34"/>
      <c r="K182" s="34"/>
      <c r="L182" s="25"/>
      <c r="M182" s="34"/>
      <c r="N182" s="34"/>
      <c r="O182" s="34"/>
      <c r="P182" s="2"/>
      <c r="Q182" s="2"/>
    </row>
    <row r="183" spans="1:17" x14ac:dyDescent="0.35">
      <c r="A183" s="15"/>
      <c r="B183" s="34"/>
      <c r="C183" s="34"/>
      <c r="D183" s="31"/>
      <c r="E183" s="35"/>
      <c r="F183" s="32"/>
      <c r="G183" s="33"/>
      <c r="H183" s="39"/>
      <c r="I183" s="39"/>
      <c r="J183" s="34"/>
      <c r="K183" s="34"/>
      <c r="L183" s="25"/>
      <c r="M183" s="34"/>
      <c r="N183" s="34"/>
      <c r="O183" s="34"/>
      <c r="P183" s="2"/>
      <c r="Q183" s="2"/>
    </row>
    <row r="184" spans="1:17" x14ac:dyDescent="0.35">
      <c r="A184" s="15"/>
      <c r="B184" s="34"/>
      <c r="C184" s="34"/>
      <c r="D184" s="31"/>
      <c r="E184" s="35"/>
      <c r="F184" s="32"/>
      <c r="G184" s="33"/>
      <c r="H184" s="39"/>
      <c r="I184" s="39"/>
      <c r="J184" s="34"/>
      <c r="K184" s="34"/>
      <c r="L184" s="25"/>
      <c r="M184" s="34"/>
      <c r="N184" s="34"/>
      <c r="O184" s="34"/>
      <c r="P184" s="2"/>
      <c r="Q184" s="2"/>
    </row>
    <row r="185" spans="1:17" x14ac:dyDescent="0.35">
      <c r="A185" s="15"/>
      <c r="B185" s="34"/>
      <c r="C185" s="34"/>
      <c r="D185" s="31"/>
      <c r="E185" s="35"/>
      <c r="F185" s="32"/>
      <c r="G185" s="33"/>
      <c r="H185" s="39"/>
      <c r="I185" s="39"/>
      <c r="J185" s="34"/>
      <c r="K185" s="34"/>
      <c r="L185" s="25"/>
      <c r="M185" s="34"/>
      <c r="N185" s="34"/>
      <c r="O185" s="34"/>
      <c r="P185" s="2"/>
      <c r="Q185" s="2"/>
    </row>
    <row r="186" spans="1:17" x14ac:dyDescent="0.35">
      <c r="A186" s="15"/>
      <c r="B186" s="34"/>
      <c r="C186" s="34"/>
      <c r="D186" s="31"/>
      <c r="E186" s="35"/>
      <c r="F186" s="32"/>
      <c r="G186" s="33"/>
      <c r="H186" s="39"/>
      <c r="I186" s="39"/>
      <c r="J186" s="34"/>
      <c r="K186" s="34"/>
      <c r="L186" s="25"/>
      <c r="M186" s="34"/>
      <c r="N186" s="34"/>
      <c r="O186" s="34"/>
      <c r="P186" s="2"/>
      <c r="Q186" s="2"/>
    </row>
    <row r="187" spans="1:17" x14ac:dyDescent="0.35">
      <c r="A187" s="15"/>
      <c r="B187" s="34"/>
      <c r="C187" s="34"/>
      <c r="D187" s="31"/>
      <c r="E187" s="35"/>
      <c r="F187" s="32"/>
      <c r="G187" s="33"/>
      <c r="H187" s="39"/>
      <c r="I187" s="39"/>
      <c r="J187" s="34"/>
      <c r="K187" s="34"/>
      <c r="L187" s="25"/>
      <c r="M187" s="34"/>
      <c r="N187" s="34"/>
      <c r="O187" s="34"/>
      <c r="P187" s="2"/>
      <c r="Q187" s="2"/>
    </row>
    <row r="188" spans="1:17" x14ac:dyDescent="0.35">
      <c r="A188" s="15"/>
      <c r="B188" s="34"/>
      <c r="C188" s="34"/>
      <c r="D188" s="31"/>
      <c r="E188" s="35"/>
      <c r="F188" s="32"/>
      <c r="G188" s="33"/>
      <c r="H188" s="39"/>
      <c r="I188" s="39"/>
      <c r="J188" s="34"/>
      <c r="K188" s="34"/>
      <c r="L188" s="25"/>
      <c r="M188" s="34"/>
      <c r="N188" s="34"/>
      <c r="O188" s="34"/>
      <c r="P188" s="2"/>
      <c r="Q188" s="2"/>
    </row>
    <row r="189" spans="1:17" x14ac:dyDescent="0.35">
      <c r="A189" s="15"/>
      <c r="B189" s="34"/>
      <c r="C189" s="34"/>
      <c r="D189" s="31"/>
      <c r="E189" s="35"/>
      <c r="F189" s="32"/>
      <c r="G189" s="33"/>
      <c r="H189" s="39"/>
      <c r="I189" s="39"/>
      <c r="J189" s="34"/>
      <c r="K189" s="34"/>
      <c r="L189" s="25"/>
      <c r="M189" s="34"/>
      <c r="N189" s="34"/>
      <c r="O189" s="34"/>
      <c r="P189" s="2"/>
      <c r="Q189" s="2"/>
    </row>
    <row r="190" spans="1:17" x14ac:dyDescent="0.35">
      <c r="A190" s="15"/>
      <c r="B190" s="34"/>
      <c r="C190" s="34"/>
      <c r="D190" s="31"/>
      <c r="E190" s="35"/>
      <c r="F190" s="32"/>
      <c r="G190" s="33"/>
      <c r="H190" s="39"/>
      <c r="I190" s="39"/>
      <c r="J190" s="34"/>
      <c r="K190" s="34"/>
      <c r="L190" s="25"/>
      <c r="M190" s="34"/>
      <c r="N190" s="34"/>
      <c r="O190" s="34"/>
      <c r="P190" s="2"/>
      <c r="Q190" s="2"/>
    </row>
    <row r="191" spans="1:17" x14ac:dyDescent="0.35">
      <c r="A191" s="15"/>
      <c r="B191" s="34"/>
      <c r="C191" s="34"/>
      <c r="D191" s="31"/>
      <c r="E191" s="35"/>
      <c r="F191" s="32"/>
      <c r="G191" s="33"/>
      <c r="H191" s="39"/>
      <c r="I191" s="39"/>
      <c r="J191" s="34"/>
      <c r="K191" s="34"/>
      <c r="L191" s="25"/>
      <c r="M191" s="34"/>
      <c r="N191" s="34"/>
      <c r="O191" s="34"/>
      <c r="P191" s="2"/>
      <c r="Q191" s="2"/>
    </row>
    <row r="192" spans="1:17" x14ac:dyDescent="0.35">
      <c r="A192" s="15"/>
      <c r="B192" s="34"/>
      <c r="C192" s="34"/>
      <c r="D192" s="31"/>
      <c r="E192" s="35"/>
      <c r="F192" s="32"/>
      <c r="G192" s="33"/>
      <c r="H192" s="39"/>
      <c r="I192" s="39"/>
      <c r="J192" s="34"/>
      <c r="K192" s="34"/>
      <c r="L192" s="25"/>
      <c r="M192" s="34"/>
      <c r="N192" s="34"/>
      <c r="O192" s="34"/>
      <c r="P192" s="2"/>
      <c r="Q192" s="2"/>
    </row>
    <row r="193" spans="1:17" x14ac:dyDescent="0.35">
      <c r="A193" s="15"/>
      <c r="B193" s="34"/>
      <c r="C193" s="34"/>
      <c r="D193" s="31"/>
      <c r="E193" s="35"/>
      <c r="F193" s="32"/>
      <c r="G193" s="33"/>
      <c r="H193" s="39"/>
      <c r="I193" s="39"/>
      <c r="J193" s="34"/>
      <c r="K193" s="34"/>
      <c r="L193" s="25"/>
      <c r="M193" s="34"/>
      <c r="N193" s="34"/>
      <c r="O193" s="34"/>
      <c r="P193" s="2"/>
      <c r="Q193" s="2"/>
    </row>
    <row r="194" spans="1:17" x14ac:dyDescent="0.35">
      <c r="A194" s="15"/>
      <c r="B194" s="34"/>
      <c r="C194" s="34"/>
      <c r="D194" s="31"/>
      <c r="E194" s="35"/>
      <c r="F194" s="32"/>
      <c r="G194" s="33"/>
      <c r="H194" s="39"/>
      <c r="I194" s="39"/>
      <c r="J194" s="34"/>
      <c r="K194" s="34"/>
      <c r="L194" s="25"/>
      <c r="M194" s="34"/>
      <c r="N194" s="34"/>
      <c r="O194" s="34"/>
      <c r="P194" s="2"/>
      <c r="Q194" s="2"/>
    </row>
    <row r="195" spans="1:17" x14ac:dyDescent="0.35">
      <c r="A195" s="15"/>
      <c r="B195" s="34"/>
      <c r="C195" s="34"/>
      <c r="D195" s="31"/>
      <c r="E195" s="35"/>
      <c r="F195" s="32"/>
      <c r="G195" s="33"/>
      <c r="H195" s="39"/>
      <c r="I195" s="39"/>
      <c r="J195" s="34"/>
      <c r="K195" s="34"/>
      <c r="L195" s="25"/>
      <c r="M195" s="34"/>
      <c r="N195" s="34"/>
      <c r="O195" s="34"/>
      <c r="P195" s="2"/>
      <c r="Q195" s="2"/>
    </row>
    <row r="196" spans="1:17" x14ac:dyDescent="0.35">
      <c r="A196" s="15"/>
      <c r="B196" s="34"/>
      <c r="C196" s="34"/>
      <c r="D196" s="31"/>
      <c r="E196" s="35"/>
      <c r="F196" s="32"/>
      <c r="G196" s="33"/>
      <c r="H196" s="39"/>
      <c r="I196" s="39"/>
      <c r="J196" s="34"/>
      <c r="K196" s="34"/>
      <c r="L196" s="25"/>
      <c r="M196" s="34"/>
      <c r="N196" s="34"/>
      <c r="O196" s="34"/>
      <c r="P196" s="2"/>
      <c r="Q196" s="2"/>
    </row>
    <row r="197" spans="1:17" x14ac:dyDescent="0.35">
      <c r="A197" s="15"/>
      <c r="B197" s="34"/>
      <c r="C197" s="34"/>
      <c r="D197" s="31"/>
      <c r="E197" s="35"/>
      <c r="F197" s="32"/>
      <c r="G197" s="33"/>
      <c r="H197" s="39"/>
      <c r="I197" s="39"/>
      <c r="J197" s="34"/>
      <c r="K197" s="34"/>
      <c r="L197" s="25"/>
      <c r="M197" s="34"/>
      <c r="N197" s="34"/>
      <c r="O197" s="34"/>
      <c r="P197" s="2"/>
      <c r="Q197" s="2"/>
    </row>
    <row r="198" spans="1:17" x14ac:dyDescent="0.35">
      <c r="A198" s="15"/>
      <c r="B198" s="34"/>
      <c r="C198" s="34"/>
      <c r="D198" s="31"/>
      <c r="E198" s="35"/>
      <c r="F198" s="32"/>
      <c r="G198" s="33"/>
      <c r="H198" s="39"/>
      <c r="I198" s="39"/>
      <c r="J198" s="34"/>
      <c r="K198" s="34"/>
      <c r="L198" s="25"/>
      <c r="M198" s="34"/>
      <c r="N198" s="34"/>
      <c r="O198" s="34"/>
      <c r="P198" s="2"/>
      <c r="Q198" s="2"/>
    </row>
    <row r="199" spans="1:17" x14ac:dyDescent="0.35">
      <c r="A199" s="15"/>
      <c r="B199" s="34"/>
      <c r="C199" s="34"/>
      <c r="D199" s="31"/>
      <c r="E199" s="35"/>
      <c r="F199" s="32"/>
      <c r="G199" s="33"/>
      <c r="H199" s="39"/>
      <c r="I199" s="39"/>
      <c r="J199" s="34"/>
      <c r="K199" s="34"/>
      <c r="L199" s="25"/>
      <c r="M199" s="34"/>
      <c r="N199" s="34"/>
      <c r="O199" s="34"/>
      <c r="P199" s="2"/>
      <c r="Q199" s="2"/>
    </row>
    <row r="200" spans="1:17" x14ac:dyDescent="0.35">
      <c r="A200" s="15"/>
      <c r="B200" s="34"/>
      <c r="C200" s="34"/>
      <c r="D200" s="31"/>
      <c r="E200" s="35"/>
      <c r="F200" s="32"/>
      <c r="G200" s="33"/>
      <c r="H200" s="39"/>
      <c r="I200" s="39"/>
      <c r="J200" s="34"/>
      <c r="K200" s="34"/>
      <c r="L200" s="25"/>
      <c r="M200" s="34"/>
      <c r="N200" s="34"/>
      <c r="O200" s="34"/>
      <c r="P200" s="2"/>
      <c r="Q200" s="2"/>
    </row>
    <row r="201" spans="1:17" x14ac:dyDescent="0.35">
      <c r="A201" s="15"/>
      <c r="B201" s="34"/>
      <c r="C201" s="34"/>
      <c r="D201" s="31"/>
      <c r="E201" s="35"/>
      <c r="F201" s="32"/>
      <c r="G201" s="33"/>
      <c r="H201" s="39"/>
      <c r="I201" s="39"/>
      <c r="J201" s="34"/>
      <c r="K201" s="34"/>
      <c r="L201" s="25"/>
      <c r="M201" s="34"/>
      <c r="N201" s="34"/>
      <c r="O201" s="34"/>
      <c r="P201" s="2"/>
      <c r="Q201" s="2"/>
    </row>
    <row r="202" spans="1:17" x14ac:dyDescent="0.35">
      <c r="A202" s="15"/>
      <c r="B202" s="34"/>
      <c r="C202" s="34"/>
      <c r="D202" s="31"/>
      <c r="E202" s="35"/>
      <c r="F202" s="32"/>
      <c r="G202" s="33"/>
      <c r="H202" s="39"/>
      <c r="I202" s="39"/>
      <c r="J202" s="34"/>
      <c r="K202" s="34"/>
      <c r="L202" s="25"/>
      <c r="M202" s="34"/>
      <c r="N202" s="34"/>
      <c r="O202" s="34"/>
      <c r="P202" s="2"/>
      <c r="Q202" s="2"/>
    </row>
    <row r="203" spans="1:17" x14ac:dyDescent="0.35">
      <c r="A203" s="15"/>
      <c r="B203" s="34"/>
      <c r="C203" s="34"/>
      <c r="D203" s="31"/>
      <c r="E203" s="35"/>
      <c r="F203" s="32"/>
      <c r="G203" s="33"/>
      <c r="H203" s="39"/>
      <c r="I203" s="39"/>
      <c r="J203" s="34"/>
      <c r="K203" s="34"/>
      <c r="L203" s="25"/>
      <c r="M203" s="34"/>
      <c r="N203" s="34"/>
      <c r="O203" s="34"/>
      <c r="P203" s="2"/>
      <c r="Q203" s="2"/>
    </row>
    <row r="204" spans="1:17" x14ac:dyDescent="0.35">
      <c r="A204" s="15"/>
      <c r="B204" s="34"/>
      <c r="C204" s="34"/>
      <c r="D204" s="31"/>
      <c r="E204" s="35"/>
      <c r="F204" s="32"/>
      <c r="G204" s="33"/>
      <c r="H204" s="39"/>
      <c r="I204" s="39"/>
      <c r="J204" s="34"/>
      <c r="K204" s="34"/>
      <c r="L204" s="25"/>
      <c r="M204" s="34"/>
      <c r="N204" s="34"/>
      <c r="O204" s="34"/>
      <c r="P204" s="2"/>
      <c r="Q204" s="2"/>
    </row>
    <row r="205" spans="1:17" x14ac:dyDescent="0.35">
      <c r="A205" s="15"/>
      <c r="B205" s="34"/>
      <c r="C205" s="34"/>
      <c r="D205" s="31"/>
      <c r="E205" s="35"/>
      <c r="F205" s="32"/>
      <c r="G205" s="33"/>
      <c r="H205" s="39"/>
      <c r="I205" s="39"/>
      <c r="J205" s="34"/>
      <c r="K205" s="34"/>
      <c r="L205" s="25"/>
      <c r="M205" s="34"/>
      <c r="N205" s="34"/>
      <c r="O205" s="34"/>
      <c r="P205" s="2"/>
      <c r="Q205" s="2"/>
    </row>
    <row r="206" spans="1:17" x14ac:dyDescent="0.35">
      <c r="A206" s="15"/>
      <c r="B206" s="34"/>
      <c r="C206" s="34"/>
      <c r="D206" s="31"/>
      <c r="E206" s="35"/>
      <c r="F206" s="32"/>
      <c r="G206" s="33"/>
      <c r="H206" s="39"/>
      <c r="I206" s="39"/>
      <c r="J206" s="34"/>
      <c r="K206" s="34"/>
      <c r="L206" s="25"/>
      <c r="M206" s="34"/>
      <c r="N206" s="34"/>
      <c r="O206" s="34"/>
      <c r="P206" s="2"/>
      <c r="Q206" s="2"/>
    </row>
    <row r="207" spans="1:17" x14ac:dyDescent="0.35">
      <c r="A207" s="15"/>
      <c r="B207" s="34"/>
      <c r="C207" s="34"/>
      <c r="D207" s="31"/>
      <c r="E207" s="35"/>
      <c r="F207" s="32"/>
      <c r="G207" s="33"/>
      <c r="H207" s="39"/>
      <c r="I207" s="39"/>
      <c r="J207" s="34"/>
      <c r="K207" s="34"/>
      <c r="L207" s="25"/>
      <c r="M207" s="34"/>
      <c r="N207" s="34"/>
      <c r="O207" s="34"/>
      <c r="P207" s="2"/>
      <c r="Q207" s="2"/>
    </row>
    <row r="208" spans="1:17" x14ac:dyDescent="0.35">
      <c r="A208" s="15"/>
      <c r="B208" s="34"/>
      <c r="C208" s="34"/>
      <c r="D208" s="31"/>
      <c r="E208" s="35"/>
      <c r="F208" s="32"/>
      <c r="G208" s="33"/>
      <c r="H208" s="39"/>
      <c r="I208" s="39"/>
      <c r="J208" s="34"/>
      <c r="K208" s="34"/>
      <c r="L208" s="25"/>
      <c r="M208" s="34"/>
      <c r="N208" s="34"/>
      <c r="O208" s="34"/>
      <c r="P208" s="2"/>
      <c r="Q208" s="2"/>
    </row>
    <row r="209" spans="1:17" x14ac:dyDescent="0.35">
      <c r="A209" s="15"/>
      <c r="B209" s="34"/>
      <c r="C209" s="34"/>
      <c r="D209" s="31"/>
      <c r="E209" s="35"/>
      <c r="F209" s="32"/>
      <c r="G209" s="33"/>
      <c r="H209" s="39"/>
      <c r="I209" s="39"/>
      <c r="J209" s="34"/>
      <c r="K209" s="34"/>
      <c r="L209" s="25"/>
      <c r="M209" s="34"/>
      <c r="N209" s="34"/>
      <c r="O209" s="34"/>
      <c r="P209" s="2"/>
      <c r="Q209" s="2"/>
    </row>
    <row r="210" spans="1:17" x14ac:dyDescent="0.35">
      <c r="A210" s="15"/>
      <c r="B210" s="34"/>
      <c r="C210" s="34"/>
      <c r="D210" s="31"/>
      <c r="E210" s="35"/>
      <c r="F210" s="32"/>
      <c r="G210" s="33"/>
      <c r="H210" s="39"/>
      <c r="I210" s="39"/>
      <c r="J210" s="34"/>
      <c r="K210" s="34"/>
      <c r="L210" s="25"/>
      <c r="M210" s="34"/>
      <c r="N210" s="34"/>
      <c r="O210" s="34"/>
      <c r="P210" s="2"/>
      <c r="Q210" s="2"/>
    </row>
    <row r="211" spans="1:17" x14ac:dyDescent="0.35">
      <c r="A211" s="15"/>
      <c r="B211" s="34"/>
      <c r="C211" s="34"/>
      <c r="D211" s="31"/>
      <c r="E211" s="35"/>
      <c r="F211" s="32"/>
      <c r="G211" s="33"/>
      <c r="H211" s="39"/>
      <c r="I211" s="39"/>
      <c r="J211" s="34"/>
      <c r="K211" s="34"/>
      <c r="L211" s="25"/>
      <c r="M211" s="34"/>
      <c r="N211" s="34"/>
      <c r="O211" s="34"/>
      <c r="P211" s="2"/>
      <c r="Q211" s="2"/>
    </row>
    <row r="212" spans="1:17" x14ac:dyDescent="0.35">
      <c r="A212" s="15"/>
      <c r="B212" s="34"/>
      <c r="C212" s="34"/>
      <c r="D212" s="31"/>
      <c r="E212" s="35"/>
      <c r="F212" s="32"/>
      <c r="G212" s="33"/>
      <c r="H212" s="39"/>
      <c r="I212" s="39"/>
      <c r="J212" s="34"/>
      <c r="K212" s="34"/>
      <c r="L212" s="25"/>
      <c r="M212" s="34"/>
      <c r="N212" s="34"/>
      <c r="O212" s="34"/>
      <c r="P212" s="2"/>
      <c r="Q212" s="2"/>
    </row>
    <row r="213" spans="1:17" x14ac:dyDescent="0.35">
      <c r="A213" s="15"/>
      <c r="B213" s="34"/>
      <c r="C213" s="34"/>
      <c r="D213" s="31"/>
      <c r="E213" s="35"/>
      <c r="F213" s="32"/>
      <c r="G213" s="33"/>
      <c r="H213" s="39"/>
      <c r="I213" s="39"/>
      <c r="J213" s="34"/>
      <c r="K213" s="34"/>
      <c r="L213" s="25"/>
      <c r="M213" s="34"/>
      <c r="N213" s="34"/>
      <c r="O213" s="34"/>
      <c r="P213" s="2"/>
      <c r="Q213" s="2"/>
    </row>
    <row r="214" spans="1:17" x14ac:dyDescent="0.35">
      <c r="A214" s="15"/>
      <c r="B214" s="34"/>
      <c r="C214" s="34"/>
      <c r="D214" s="31"/>
      <c r="E214" s="35"/>
      <c r="F214" s="32"/>
      <c r="G214" s="33"/>
      <c r="H214" s="39"/>
      <c r="I214" s="39"/>
      <c r="J214" s="34"/>
      <c r="K214" s="34"/>
      <c r="L214" s="25"/>
      <c r="M214" s="34"/>
      <c r="N214" s="34"/>
      <c r="O214" s="34"/>
      <c r="P214" s="2"/>
      <c r="Q214" s="2"/>
    </row>
    <row r="215" spans="1:17" x14ac:dyDescent="0.35">
      <c r="A215" s="15"/>
      <c r="B215" s="34"/>
      <c r="C215" s="34"/>
      <c r="D215" s="31"/>
      <c r="E215" s="35"/>
      <c r="F215" s="32"/>
      <c r="G215" s="33"/>
      <c r="H215" s="39"/>
      <c r="I215" s="39"/>
      <c r="J215" s="34"/>
      <c r="K215" s="34"/>
      <c r="L215" s="25"/>
      <c r="M215" s="34"/>
      <c r="N215" s="34"/>
      <c r="O215" s="34"/>
      <c r="P215" s="2"/>
      <c r="Q215" s="2"/>
    </row>
    <row r="216" spans="1:17" x14ac:dyDescent="0.35">
      <c r="A216" s="15"/>
      <c r="B216" s="34"/>
      <c r="C216" s="34"/>
      <c r="D216" s="31"/>
      <c r="E216" s="35"/>
      <c r="F216" s="32"/>
      <c r="G216" s="33"/>
      <c r="H216" s="39"/>
      <c r="I216" s="39"/>
      <c r="J216" s="34"/>
      <c r="K216" s="34"/>
      <c r="L216" s="25"/>
      <c r="M216" s="34"/>
      <c r="N216" s="34"/>
      <c r="O216" s="34"/>
      <c r="P216" s="2"/>
      <c r="Q216" s="2"/>
    </row>
    <row r="217" spans="1:17" x14ac:dyDescent="0.35">
      <c r="A217" s="15"/>
      <c r="B217" s="34"/>
      <c r="C217" s="34"/>
      <c r="D217" s="31"/>
      <c r="E217" s="35"/>
      <c r="F217" s="32"/>
      <c r="G217" s="33"/>
      <c r="H217" s="39"/>
      <c r="I217" s="39"/>
      <c r="J217" s="34"/>
      <c r="K217" s="34"/>
      <c r="L217" s="25"/>
      <c r="M217" s="34"/>
      <c r="N217" s="34"/>
      <c r="O217" s="34"/>
      <c r="P217" s="2"/>
      <c r="Q217" s="2"/>
    </row>
    <row r="218" spans="1:17" x14ac:dyDescent="0.35">
      <c r="A218" s="15"/>
      <c r="B218" s="34"/>
      <c r="C218" s="34"/>
      <c r="D218" s="31"/>
      <c r="E218" s="35"/>
      <c r="F218" s="32"/>
      <c r="G218" s="33"/>
      <c r="H218" s="39"/>
      <c r="I218" s="39"/>
      <c r="J218" s="34"/>
      <c r="K218" s="34"/>
      <c r="L218" s="25"/>
      <c r="M218" s="34"/>
      <c r="N218" s="34"/>
      <c r="O218" s="34"/>
      <c r="P218" s="2"/>
      <c r="Q218" s="2"/>
    </row>
    <row r="219" spans="1:17" x14ac:dyDescent="0.35">
      <c r="A219" s="15"/>
      <c r="B219" s="34"/>
      <c r="C219" s="34"/>
      <c r="D219" s="31"/>
      <c r="E219" s="35"/>
      <c r="F219" s="32"/>
      <c r="G219" s="33"/>
      <c r="H219" s="39"/>
      <c r="I219" s="39"/>
      <c r="J219" s="34"/>
      <c r="K219" s="34"/>
      <c r="L219" s="25"/>
      <c r="M219" s="34"/>
      <c r="N219" s="34"/>
      <c r="O219" s="34"/>
      <c r="P219" s="2"/>
      <c r="Q219" s="2"/>
    </row>
    <row r="220" spans="1:17" x14ac:dyDescent="0.35">
      <c r="A220" s="15"/>
      <c r="B220" s="34"/>
      <c r="C220" s="34"/>
      <c r="D220" s="31"/>
      <c r="E220" s="35"/>
      <c r="F220" s="32"/>
      <c r="G220" s="33"/>
      <c r="H220" s="39"/>
      <c r="I220" s="39"/>
      <c r="J220" s="34"/>
      <c r="K220" s="34"/>
      <c r="L220" s="25"/>
      <c r="M220" s="34"/>
      <c r="N220" s="34"/>
      <c r="O220" s="34"/>
      <c r="P220" s="2"/>
      <c r="Q220" s="2"/>
    </row>
    <row r="221" spans="1:17" x14ac:dyDescent="0.35">
      <c r="A221" s="15"/>
      <c r="B221" s="34"/>
      <c r="C221" s="34"/>
      <c r="D221" s="31"/>
      <c r="E221" s="35"/>
      <c r="F221" s="32"/>
      <c r="G221" s="33"/>
      <c r="H221" s="39"/>
      <c r="I221" s="39"/>
      <c r="J221" s="34"/>
      <c r="K221" s="34"/>
      <c r="L221" s="25"/>
      <c r="M221" s="34"/>
      <c r="N221" s="34"/>
      <c r="O221" s="34"/>
      <c r="P221" s="2"/>
      <c r="Q221" s="2"/>
    </row>
    <row r="222" spans="1:17" x14ac:dyDescent="0.35">
      <c r="A222" s="15"/>
      <c r="B222" s="34"/>
      <c r="C222" s="34"/>
      <c r="D222" s="31"/>
      <c r="E222" s="35"/>
      <c r="F222" s="32"/>
      <c r="G222" s="33"/>
      <c r="H222" s="39"/>
      <c r="I222" s="39"/>
      <c r="J222" s="34"/>
      <c r="K222" s="34"/>
      <c r="L222" s="25"/>
      <c r="M222" s="34"/>
      <c r="N222" s="34"/>
      <c r="O222" s="34"/>
      <c r="P222" s="2"/>
      <c r="Q222" s="2"/>
    </row>
    <row r="223" spans="1:17" x14ac:dyDescent="0.35">
      <c r="A223" s="15"/>
      <c r="B223" s="34"/>
      <c r="C223" s="34"/>
      <c r="D223" s="31"/>
      <c r="E223" s="35"/>
      <c r="F223" s="32"/>
      <c r="G223" s="33"/>
      <c r="H223" s="39"/>
      <c r="I223" s="39"/>
      <c r="J223" s="34"/>
      <c r="K223" s="34"/>
      <c r="L223" s="25"/>
      <c r="M223" s="34"/>
      <c r="N223" s="34"/>
      <c r="O223" s="34"/>
      <c r="P223" s="2"/>
      <c r="Q223" s="2"/>
    </row>
    <row r="224" spans="1:17" x14ac:dyDescent="0.35">
      <c r="A224" s="15"/>
      <c r="B224" s="34"/>
      <c r="C224" s="34"/>
      <c r="D224" s="31"/>
      <c r="E224" s="35"/>
      <c r="F224" s="32"/>
      <c r="G224" s="33"/>
      <c r="H224" s="39"/>
      <c r="I224" s="39"/>
      <c r="J224" s="34"/>
      <c r="K224" s="34"/>
      <c r="L224" s="25"/>
      <c r="M224" s="34"/>
      <c r="N224" s="34"/>
      <c r="O224" s="34"/>
      <c r="P224" s="2"/>
      <c r="Q224" s="2"/>
    </row>
    <row r="225" spans="1:17" x14ac:dyDescent="0.35">
      <c r="A225" s="15"/>
      <c r="B225" s="34"/>
      <c r="C225" s="34"/>
      <c r="D225" s="31"/>
      <c r="E225" s="35"/>
      <c r="F225" s="32"/>
      <c r="G225" s="33"/>
      <c r="H225" s="39"/>
      <c r="I225" s="39"/>
      <c r="J225" s="34"/>
      <c r="K225" s="34"/>
      <c r="L225" s="25"/>
      <c r="M225" s="34"/>
      <c r="N225" s="34"/>
      <c r="O225" s="34"/>
      <c r="P225" s="2"/>
      <c r="Q225" s="2"/>
    </row>
    <row r="226" spans="1:17" x14ac:dyDescent="0.35">
      <c r="A226" s="15"/>
      <c r="B226" s="34"/>
      <c r="C226" s="34"/>
      <c r="D226" s="31"/>
      <c r="E226" s="35"/>
      <c r="F226" s="32"/>
      <c r="G226" s="33"/>
      <c r="H226" s="39"/>
      <c r="I226" s="39"/>
      <c r="J226" s="34"/>
      <c r="K226" s="34"/>
      <c r="L226" s="25"/>
      <c r="M226" s="34"/>
      <c r="N226" s="34"/>
      <c r="O226" s="34"/>
      <c r="P226" s="2"/>
      <c r="Q226" s="2"/>
    </row>
    <row r="227" spans="1:17" x14ac:dyDescent="0.35">
      <c r="A227" s="15"/>
      <c r="B227" s="34"/>
      <c r="C227" s="34"/>
      <c r="D227" s="31"/>
      <c r="E227" s="35"/>
      <c r="F227" s="32"/>
      <c r="G227" s="33"/>
      <c r="H227" s="39"/>
      <c r="I227" s="39"/>
      <c r="J227" s="34"/>
      <c r="K227" s="34"/>
      <c r="L227" s="25"/>
      <c r="M227" s="34"/>
      <c r="N227" s="34"/>
      <c r="O227" s="34"/>
      <c r="P227" s="2"/>
      <c r="Q227" s="2"/>
    </row>
    <row r="228" spans="1:17" x14ac:dyDescent="0.35">
      <c r="A228" s="15"/>
      <c r="B228" s="34"/>
      <c r="C228" s="34"/>
      <c r="D228" s="31"/>
      <c r="E228" s="35"/>
      <c r="F228" s="32"/>
      <c r="G228" s="33"/>
      <c r="H228" s="39"/>
      <c r="I228" s="39"/>
      <c r="J228" s="34"/>
      <c r="K228" s="34"/>
      <c r="L228" s="25"/>
      <c r="M228" s="34"/>
      <c r="N228" s="34"/>
      <c r="O228" s="34"/>
      <c r="P228" s="2"/>
      <c r="Q228" s="2"/>
    </row>
    <row r="229" spans="1:17" x14ac:dyDescent="0.35">
      <c r="A229" s="15"/>
      <c r="B229" s="34"/>
      <c r="C229" s="34"/>
      <c r="D229" s="31"/>
      <c r="E229" s="35"/>
      <c r="F229" s="32"/>
      <c r="G229" s="33"/>
      <c r="H229" s="39"/>
      <c r="I229" s="39"/>
      <c r="J229" s="34"/>
      <c r="K229" s="34"/>
      <c r="L229" s="25"/>
      <c r="M229" s="34"/>
      <c r="N229" s="34"/>
      <c r="O229" s="34"/>
      <c r="P229" s="2"/>
      <c r="Q229" s="2"/>
    </row>
    <row r="230" spans="1:17" x14ac:dyDescent="0.35">
      <c r="A230" s="15"/>
      <c r="B230" s="34"/>
      <c r="C230" s="34"/>
      <c r="D230" s="31"/>
      <c r="E230" s="35"/>
      <c r="F230" s="32"/>
      <c r="G230" s="33"/>
      <c r="H230" s="39"/>
      <c r="I230" s="39"/>
      <c r="J230" s="34"/>
      <c r="K230" s="34"/>
      <c r="L230" s="25"/>
      <c r="M230" s="34"/>
      <c r="N230" s="34"/>
      <c r="O230" s="34"/>
      <c r="P230" s="2"/>
      <c r="Q230" s="2"/>
    </row>
    <row r="231" spans="1:17" x14ac:dyDescent="0.35">
      <c r="A231" s="15"/>
      <c r="B231" s="34"/>
      <c r="C231" s="34"/>
      <c r="D231" s="31"/>
      <c r="E231" s="35"/>
      <c r="F231" s="32"/>
      <c r="G231" s="33"/>
      <c r="H231" s="39"/>
      <c r="I231" s="39"/>
      <c r="J231" s="34"/>
      <c r="K231" s="34"/>
      <c r="L231" s="25"/>
      <c r="M231" s="34"/>
      <c r="N231" s="34"/>
      <c r="O231" s="34"/>
      <c r="P231" s="2"/>
      <c r="Q231" s="2"/>
    </row>
    <row r="232" spans="1:17" x14ac:dyDescent="0.35">
      <c r="A232" s="15"/>
      <c r="B232" s="34"/>
      <c r="C232" s="34"/>
      <c r="D232" s="31"/>
      <c r="E232" s="35"/>
      <c r="F232" s="32"/>
      <c r="G232" s="33"/>
      <c r="H232" s="39"/>
      <c r="I232" s="39"/>
      <c r="J232" s="34"/>
      <c r="K232" s="34"/>
      <c r="L232" s="25"/>
      <c r="M232" s="34"/>
      <c r="N232" s="34"/>
      <c r="O232" s="34"/>
      <c r="P232" s="2"/>
      <c r="Q232" s="2"/>
    </row>
    <row r="233" spans="1:17" x14ac:dyDescent="0.35">
      <c r="A233" s="15"/>
      <c r="B233" s="34"/>
      <c r="C233" s="34"/>
      <c r="D233" s="31"/>
      <c r="E233" s="35"/>
      <c r="F233" s="32"/>
      <c r="G233" s="33"/>
      <c r="H233" s="39"/>
      <c r="I233" s="39"/>
      <c r="J233" s="34"/>
      <c r="K233" s="34"/>
      <c r="L233" s="25"/>
      <c r="M233" s="34"/>
      <c r="N233" s="34"/>
      <c r="O233" s="34"/>
      <c r="P233" s="2"/>
      <c r="Q233" s="2"/>
    </row>
    <row r="234" spans="1:17" x14ac:dyDescent="0.35">
      <c r="A234" s="15"/>
      <c r="B234" s="34"/>
      <c r="C234" s="34"/>
      <c r="D234" s="31"/>
      <c r="E234" s="35"/>
      <c r="F234" s="32"/>
      <c r="G234" s="33"/>
      <c r="H234" s="39"/>
      <c r="I234" s="39"/>
      <c r="J234" s="34"/>
      <c r="K234" s="34"/>
      <c r="L234" s="25"/>
      <c r="M234" s="34"/>
      <c r="N234" s="34"/>
      <c r="O234" s="34"/>
      <c r="P234" s="2"/>
      <c r="Q234" s="2"/>
    </row>
    <row r="235" spans="1:17" x14ac:dyDescent="0.35">
      <c r="A235" s="15"/>
      <c r="B235" s="34"/>
      <c r="C235" s="34"/>
      <c r="D235" s="31"/>
      <c r="E235" s="35"/>
      <c r="F235" s="32"/>
      <c r="G235" s="33"/>
      <c r="H235" s="39"/>
      <c r="I235" s="39"/>
      <c r="J235" s="34"/>
      <c r="K235" s="34"/>
      <c r="L235" s="25"/>
      <c r="M235" s="34"/>
      <c r="N235" s="34"/>
      <c r="O235" s="34"/>
      <c r="P235" s="2"/>
      <c r="Q235" s="2"/>
    </row>
    <row r="1048574" spans="1:1" ht="15.5" x14ac:dyDescent="0.35">
      <c r="A1048574" s="103">
        <v>44977</v>
      </c>
    </row>
  </sheetData>
  <mergeCells count="8">
    <mergeCell ref="H4:O4"/>
    <mergeCell ref="P4:Q4"/>
    <mergeCell ref="A1:D1"/>
    <mergeCell ref="E1:G3"/>
    <mergeCell ref="A2:D2"/>
    <mergeCell ref="A3:D3"/>
    <mergeCell ref="B4:D4"/>
    <mergeCell ref="E4:G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9"/>
    <pageSetUpPr fitToPage="1"/>
  </sheetPr>
  <dimension ref="A1:HH284"/>
  <sheetViews>
    <sheetView showWhiteSpace="0" topLeftCell="A49" zoomScale="112" zoomScaleNormal="112" workbookViewId="0">
      <selection activeCell="A59" sqref="A59"/>
    </sheetView>
  </sheetViews>
  <sheetFormatPr baseColWidth="10" defaultRowHeight="14.5" x14ac:dyDescent="0.35"/>
  <cols>
    <col min="1" max="1" width="14.26953125" customWidth="1"/>
    <col min="2" max="2" width="16.54296875" style="34" customWidth="1"/>
    <col min="3" max="3" width="17.7265625" style="34" customWidth="1"/>
    <col min="4" max="4" width="15.81640625" style="31" customWidth="1"/>
    <col min="5" max="5" width="23" style="36" customWidth="1"/>
    <col min="6" max="6" width="18.81640625" style="36" customWidth="1"/>
    <col min="7" max="7" width="17" style="36" customWidth="1"/>
    <col min="8" max="8" width="23.54296875" style="34" customWidth="1"/>
    <col min="9" max="9" width="14.26953125" style="34" customWidth="1"/>
    <col min="10" max="10" width="28.54296875" style="34" customWidth="1"/>
    <col min="11" max="11" width="27.453125" style="34" customWidth="1"/>
    <col min="12" max="12" width="13.7265625" style="34" bestFit="1" customWidth="1"/>
    <col min="13" max="14" width="11.453125" style="34"/>
    <col min="15" max="15" width="13" style="34" bestFit="1" customWidth="1"/>
    <col min="16" max="16" width="27.26953125" style="34" customWidth="1"/>
    <col min="17" max="17" width="25.81640625" style="34" customWidth="1"/>
    <col min="18" max="18" width="21.81640625" style="34" customWidth="1"/>
    <col min="19" max="19" width="20.7265625" style="34" customWidth="1"/>
    <col min="20" max="20" width="12.7265625" style="34" customWidth="1"/>
    <col min="21" max="21" width="29.7265625" style="2" customWidth="1"/>
    <col min="22" max="22" width="98" style="2" customWidth="1"/>
  </cols>
  <sheetData>
    <row r="1" spans="1:22" ht="15" customHeight="1" x14ac:dyDescent="0.35">
      <c r="A1" s="67" t="s">
        <v>8</v>
      </c>
      <c r="B1" s="68"/>
      <c r="C1" s="68"/>
      <c r="D1" s="94"/>
      <c r="E1" s="144"/>
      <c r="F1" s="144"/>
      <c r="G1" s="144"/>
      <c r="H1" s="397" t="s">
        <v>86</v>
      </c>
      <c r="I1" s="397"/>
      <c r="J1" s="397"/>
      <c r="K1" s="397"/>
      <c r="L1" s="397"/>
      <c r="M1" s="397"/>
      <c r="N1" s="397"/>
      <c r="O1" s="15"/>
      <c r="P1" s="15"/>
      <c r="Q1" s="15"/>
      <c r="R1" s="15"/>
      <c r="S1" s="15"/>
      <c r="T1" s="15"/>
      <c r="U1"/>
      <c r="V1"/>
    </row>
    <row r="2" spans="1:22" ht="15" customHeight="1" x14ac:dyDescent="0.35">
      <c r="A2" s="67" t="s">
        <v>0</v>
      </c>
      <c r="B2" s="68"/>
      <c r="C2" s="68"/>
      <c r="D2" s="94"/>
      <c r="E2" s="144"/>
      <c r="F2" s="144"/>
      <c r="G2" s="144"/>
      <c r="H2" s="397"/>
      <c r="I2" s="397"/>
      <c r="J2" s="397"/>
      <c r="K2" s="397"/>
      <c r="L2" s="397"/>
      <c r="M2" s="397"/>
      <c r="N2" s="397"/>
      <c r="O2" s="15"/>
      <c r="P2" s="15"/>
      <c r="Q2" s="15"/>
      <c r="R2" s="15"/>
      <c r="S2" s="15"/>
      <c r="T2" s="15"/>
      <c r="U2"/>
      <c r="V2"/>
    </row>
    <row r="3" spans="1:22" ht="15" customHeight="1" x14ac:dyDescent="0.35">
      <c r="A3" s="67" t="s">
        <v>27</v>
      </c>
      <c r="B3" s="68"/>
      <c r="C3" s="68"/>
      <c r="D3" s="94"/>
      <c r="E3" s="145"/>
      <c r="F3" s="145"/>
      <c r="G3" s="145"/>
      <c r="H3" s="398"/>
      <c r="I3" s="398"/>
      <c r="J3" s="398"/>
      <c r="K3" s="398"/>
      <c r="L3" s="398"/>
      <c r="M3" s="398"/>
      <c r="N3" s="398"/>
      <c r="O3" s="15"/>
      <c r="P3" s="15"/>
      <c r="Q3" s="15"/>
      <c r="R3" s="15"/>
      <c r="S3" s="15"/>
      <c r="T3" s="15"/>
      <c r="U3"/>
      <c r="V3"/>
    </row>
    <row r="4" spans="1:22" ht="15.5" x14ac:dyDescent="0.35">
      <c r="A4" s="123"/>
      <c r="B4" s="360" t="s">
        <v>10</v>
      </c>
      <c r="C4" s="360"/>
      <c r="D4" s="360"/>
      <c r="E4" s="373" t="s">
        <v>12</v>
      </c>
      <c r="F4" s="373"/>
      <c r="G4" s="373"/>
      <c r="H4" s="388" t="s">
        <v>13</v>
      </c>
      <c r="I4" s="389"/>
      <c r="J4" s="389"/>
      <c r="K4" s="389"/>
      <c r="L4" s="389"/>
      <c r="M4" s="389"/>
      <c r="N4" s="389"/>
      <c r="O4" s="389"/>
      <c r="P4" s="390"/>
      <c r="Q4" s="157" t="s">
        <v>91</v>
      </c>
      <c r="R4" s="157" t="s">
        <v>90</v>
      </c>
      <c r="S4" s="157" t="s">
        <v>49</v>
      </c>
      <c r="T4" s="157" t="s">
        <v>51</v>
      </c>
      <c r="U4" s="368" t="s">
        <v>21</v>
      </c>
      <c r="V4" s="368"/>
    </row>
    <row r="5" spans="1:22" s="19" customFormat="1" ht="62" x14ac:dyDescent="0.35">
      <c r="A5" s="92" t="s">
        <v>1</v>
      </c>
      <c r="B5" s="92" t="s">
        <v>2</v>
      </c>
      <c r="C5" s="92" t="s">
        <v>3</v>
      </c>
      <c r="D5" s="154" t="s">
        <v>11</v>
      </c>
      <c r="E5" s="155" t="s">
        <v>4</v>
      </c>
      <c r="F5" s="155" t="s">
        <v>5</v>
      </c>
      <c r="G5" s="155" t="s">
        <v>6</v>
      </c>
      <c r="H5" s="92" t="s">
        <v>35</v>
      </c>
      <c r="I5" s="92" t="s">
        <v>61</v>
      </c>
      <c r="J5" s="92" t="s">
        <v>36</v>
      </c>
      <c r="K5" s="92" t="s">
        <v>83</v>
      </c>
      <c r="L5" s="156" t="s">
        <v>47</v>
      </c>
      <c r="M5" s="156" t="s">
        <v>62</v>
      </c>
      <c r="N5" s="156" t="s">
        <v>48</v>
      </c>
      <c r="O5" s="156" t="s">
        <v>124</v>
      </c>
      <c r="P5" s="92" t="s">
        <v>38</v>
      </c>
      <c r="Q5" s="92" t="s">
        <v>37</v>
      </c>
      <c r="R5" s="92" t="s">
        <v>37</v>
      </c>
      <c r="S5" s="92" t="s">
        <v>50</v>
      </c>
      <c r="T5" s="92" t="s">
        <v>30</v>
      </c>
      <c r="U5" s="92" t="s">
        <v>22</v>
      </c>
      <c r="V5" s="92" t="s">
        <v>7</v>
      </c>
    </row>
    <row r="6" spans="1:22" ht="15.5" x14ac:dyDescent="0.35">
      <c r="A6" s="136"/>
      <c r="B6" s="72"/>
      <c r="C6" s="72"/>
      <c r="D6" s="84"/>
      <c r="E6" s="152"/>
      <c r="F6" s="152"/>
      <c r="G6" s="152"/>
      <c r="H6" s="131">
        <v>25</v>
      </c>
      <c r="I6" s="131">
        <v>26</v>
      </c>
      <c r="J6" s="131">
        <v>13</v>
      </c>
      <c r="K6" s="131">
        <v>15</v>
      </c>
      <c r="L6" s="113"/>
      <c r="M6" s="113"/>
      <c r="N6" s="113"/>
      <c r="O6" s="113"/>
      <c r="P6" s="113"/>
      <c r="Q6" s="113"/>
      <c r="R6" s="113"/>
      <c r="S6" s="113"/>
      <c r="T6" s="113"/>
      <c r="U6" s="106"/>
      <c r="V6" s="135"/>
    </row>
    <row r="7" spans="1:22" ht="15.5" x14ac:dyDescent="0.35">
      <c r="A7" s="103">
        <v>46082</v>
      </c>
      <c r="B7" s="79">
        <v>0.25555555555555554</v>
      </c>
      <c r="C7" s="79">
        <v>0.74027777777777781</v>
      </c>
      <c r="D7" s="73">
        <f t="shared" ref="D7:D50" si="0">1+C7-B7</f>
        <v>1.4847222222222223</v>
      </c>
      <c r="E7" s="323">
        <v>519895</v>
      </c>
      <c r="F7" s="113">
        <v>521017</v>
      </c>
      <c r="G7" s="302">
        <f t="shared" ref="G7:G71" si="1">(F7-E7)/100</f>
        <v>11.22</v>
      </c>
      <c r="H7" s="112">
        <v>246</v>
      </c>
      <c r="I7" s="112"/>
      <c r="J7" s="112"/>
      <c r="K7" s="112"/>
      <c r="L7" s="148">
        <f t="shared" ref="L7:L56" si="2">+H7*$H$6</f>
        <v>6150</v>
      </c>
      <c r="M7" s="148">
        <f t="shared" ref="M7:M36" si="3">+$I$6*I7</f>
        <v>0</v>
      </c>
      <c r="N7" s="148">
        <f>+J7*$J$6+(K7*15)</f>
        <v>0</v>
      </c>
      <c r="O7" s="148">
        <f>+L7+M7+N7</f>
        <v>6150</v>
      </c>
      <c r="P7" s="148">
        <f>(O7/G7)</f>
        <v>548.1283422459893</v>
      </c>
      <c r="Q7" s="113">
        <v>279</v>
      </c>
      <c r="R7" s="113">
        <f>H7+I7</f>
        <v>246</v>
      </c>
      <c r="S7" s="298">
        <f>R7-Q7</f>
        <v>-33</v>
      </c>
      <c r="T7" s="113">
        <f>S7</f>
        <v>-33</v>
      </c>
      <c r="U7" s="92" t="s">
        <v>171</v>
      </c>
      <c r="V7" s="149"/>
    </row>
    <row r="8" spans="1:22" ht="15.5" x14ac:dyDescent="0.35">
      <c r="A8" s="103">
        <v>46082</v>
      </c>
      <c r="B8" s="79">
        <v>0.76041666666666663</v>
      </c>
      <c r="C8" s="79">
        <v>0.24166666666666667</v>
      </c>
      <c r="D8" s="73">
        <f t="shared" si="0"/>
        <v>0.48125000000000007</v>
      </c>
      <c r="E8" s="323">
        <f t="shared" ref="E8:E71" si="4">F7</f>
        <v>521017</v>
      </c>
      <c r="F8" s="113">
        <v>522227</v>
      </c>
      <c r="G8" s="302">
        <f t="shared" si="1"/>
        <v>12.1</v>
      </c>
      <c r="H8" s="112">
        <v>252</v>
      </c>
      <c r="I8" s="112"/>
      <c r="J8" s="112"/>
      <c r="K8" s="112"/>
      <c r="L8" s="148">
        <f t="shared" si="2"/>
        <v>6300</v>
      </c>
      <c r="M8" s="148">
        <f t="shared" si="3"/>
        <v>0</v>
      </c>
      <c r="N8" s="148">
        <f t="shared" ref="N8:N36" si="5">+J8*$J$6+(K8*15)</f>
        <v>0</v>
      </c>
      <c r="O8" s="148">
        <f t="shared" ref="O8:O36" si="6">+L8+M8+N8</f>
        <v>6300</v>
      </c>
      <c r="P8" s="148">
        <f t="shared" ref="P8:P36" si="7">(O8/G8)</f>
        <v>520.6611570247934</v>
      </c>
      <c r="Q8" s="113">
        <v>275</v>
      </c>
      <c r="R8" s="113">
        <f>H8+I8</f>
        <v>252</v>
      </c>
      <c r="S8" s="298">
        <f t="shared" ref="S8:S71" si="8">R8-Q8</f>
        <v>-23</v>
      </c>
      <c r="T8" s="113">
        <f>-S7-(S8)</f>
        <v>56</v>
      </c>
      <c r="U8" s="92" t="s">
        <v>175</v>
      </c>
      <c r="V8" s="149"/>
    </row>
    <row r="9" spans="1:22" s="19" customFormat="1" ht="15.5" x14ac:dyDescent="0.35">
      <c r="A9" s="103">
        <v>46083</v>
      </c>
      <c r="B9" s="79">
        <v>0.25694444444444442</v>
      </c>
      <c r="C9" s="79">
        <v>0.5756944444444444</v>
      </c>
      <c r="D9" s="73">
        <f t="shared" si="0"/>
        <v>1.3187499999999999</v>
      </c>
      <c r="E9" s="323">
        <f t="shared" si="4"/>
        <v>522227</v>
      </c>
      <c r="F9" s="323">
        <v>523028</v>
      </c>
      <c r="G9" s="302">
        <v>8</v>
      </c>
      <c r="H9" s="76">
        <v>176</v>
      </c>
      <c r="I9" s="76"/>
      <c r="J9" s="76"/>
      <c r="K9" s="76"/>
      <c r="L9" s="148">
        <f t="shared" si="2"/>
        <v>4400</v>
      </c>
      <c r="M9" s="148">
        <f t="shared" si="3"/>
        <v>0</v>
      </c>
      <c r="N9" s="148">
        <f t="shared" si="5"/>
        <v>0</v>
      </c>
      <c r="O9" s="148">
        <f t="shared" si="6"/>
        <v>4400</v>
      </c>
      <c r="P9" s="148">
        <f t="shared" si="7"/>
        <v>550</v>
      </c>
      <c r="Q9" s="337">
        <v>200</v>
      </c>
      <c r="R9" s="113">
        <f t="shared" ref="R9:R36" si="9">H9+I9</f>
        <v>176</v>
      </c>
      <c r="S9" s="298">
        <f t="shared" si="8"/>
        <v>-24</v>
      </c>
      <c r="T9" s="113">
        <f>-S8-(S9)</f>
        <v>47</v>
      </c>
      <c r="U9" s="243" t="s">
        <v>185</v>
      </c>
      <c r="V9" s="149"/>
    </row>
    <row r="10" spans="1:22" s="19" customFormat="1" ht="15.5" x14ac:dyDescent="0.35">
      <c r="A10" s="103">
        <v>46083</v>
      </c>
      <c r="B10" s="79">
        <v>0.59027777777777779</v>
      </c>
      <c r="C10" s="79">
        <v>0.74097222222222225</v>
      </c>
      <c r="D10" s="73">
        <f t="shared" si="0"/>
        <v>1.1506944444444445</v>
      </c>
      <c r="E10" s="323">
        <f t="shared" si="4"/>
        <v>523028</v>
      </c>
      <c r="F10" s="113">
        <v>523424</v>
      </c>
      <c r="G10" s="302">
        <v>3</v>
      </c>
      <c r="H10" s="76">
        <v>49</v>
      </c>
      <c r="I10" s="76"/>
      <c r="J10" s="76"/>
      <c r="K10" s="76">
        <v>50</v>
      </c>
      <c r="L10" s="148">
        <f t="shared" si="2"/>
        <v>1225</v>
      </c>
      <c r="M10" s="148">
        <f t="shared" si="3"/>
        <v>0</v>
      </c>
      <c r="N10" s="148">
        <f t="shared" si="5"/>
        <v>750</v>
      </c>
      <c r="O10" s="148">
        <f t="shared" si="6"/>
        <v>1975</v>
      </c>
      <c r="P10" s="148">
        <f t="shared" si="7"/>
        <v>658.33333333333337</v>
      </c>
      <c r="Q10" s="76">
        <v>100</v>
      </c>
      <c r="R10" s="113">
        <f t="shared" si="9"/>
        <v>49</v>
      </c>
      <c r="S10" s="298">
        <f t="shared" si="8"/>
        <v>-51</v>
      </c>
      <c r="T10" s="113">
        <f>T9-(S10)</f>
        <v>98</v>
      </c>
      <c r="U10" s="243" t="s">
        <v>171</v>
      </c>
      <c r="V10" s="149"/>
    </row>
    <row r="11" spans="1:22" s="19" customFormat="1" ht="15.5" x14ac:dyDescent="0.35">
      <c r="A11" s="103">
        <v>46083</v>
      </c>
      <c r="B11" s="79">
        <v>0.77569444444444446</v>
      </c>
      <c r="C11" s="79">
        <v>0.90694444444444444</v>
      </c>
      <c r="D11" s="73">
        <f t="shared" si="0"/>
        <v>1.1312500000000001</v>
      </c>
      <c r="E11" s="323">
        <f t="shared" si="4"/>
        <v>523424</v>
      </c>
      <c r="F11" s="113">
        <v>523774</v>
      </c>
      <c r="G11" s="302">
        <f t="shared" si="1"/>
        <v>3.5</v>
      </c>
      <c r="H11" s="76">
        <v>91</v>
      </c>
      <c r="I11" s="76"/>
      <c r="J11" s="76"/>
      <c r="K11" s="76"/>
      <c r="L11" s="148">
        <f t="shared" si="2"/>
        <v>2275</v>
      </c>
      <c r="M11" s="148">
        <f t="shared" si="3"/>
        <v>0</v>
      </c>
      <c r="N11" s="148">
        <f t="shared" si="5"/>
        <v>0</v>
      </c>
      <c r="O11" s="148">
        <f t="shared" si="6"/>
        <v>2275</v>
      </c>
      <c r="P11" s="148">
        <f t="shared" si="7"/>
        <v>650</v>
      </c>
      <c r="Q11" s="76">
        <v>100</v>
      </c>
      <c r="R11" s="113">
        <f t="shared" si="9"/>
        <v>91</v>
      </c>
      <c r="S11" s="298">
        <f t="shared" si="8"/>
        <v>-9</v>
      </c>
      <c r="T11" s="113">
        <f t="shared" ref="T11:T74" si="10">T10-(S11)</f>
        <v>107</v>
      </c>
      <c r="U11" s="92" t="s">
        <v>176</v>
      </c>
      <c r="V11" s="149"/>
    </row>
    <row r="12" spans="1:22" s="19" customFormat="1" ht="15.5" x14ac:dyDescent="0.35">
      <c r="A12" s="103">
        <v>46083</v>
      </c>
      <c r="B12" s="79">
        <v>0.92361111111111116</v>
      </c>
      <c r="C12" s="79">
        <v>0.24722222222222223</v>
      </c>
      <c r="D12" s="73">
        <f>1+C12-B12</f>
        <v>0.32361111111111107</v>
      </c>
      <c r="E12" s="323">
        <f t="shared" si="4"/>
        <v>523774</v>
      </c>
      <c r="F12" s="113">
        <v>524603</v>
      </c>
      <c r="G12" s="302">
        <f t="shared" si="1"/>
        <v>8.2899999999999991</v>
      </c>
      <c r="H12" s="76">
        <v>187</v>
      </c>
      <c r="I12" s="76"/>
      <c r="J12" s="76"/>
      <c r="K12" s="76"/>
      <c r="L12" s="148">
        <f>+H12*$H$6</f>
        <v>4675</v>
      </c>
      <c r="M12" s="148">
        <f>+$I$6*I12</f>
        <v>0</v>
      </c>
      <c r="N12" s="148">
        <f>+J12*$J$6+(K12*15)</f>
        <v>0</v>
      </c>
      <c r="O12" s="148">
        <f>+L12+M12+N12</f>
        <v>4675</v>
      </c>
      <c r="P12" s="148">
        <f>(O12/G12)</f>
        <v>563.93244873341382</v>
      </c>
      <c r="Q12" s="76">
        <v>100</v>
      </c>
      <c r="R12" s="113">
        <f>H12+I12</f>
        <v>187</v>
      </c>
      <c r="S12" s="298">
        <f t="shared" si="8"/>
        <v>87</v>
      </c>
      <c r="T12" s="113">
        <f t="shared" si="10"/>
        <v>20</v>
      </c>
      <c r="U12" s="92" t="s">
        <v>166</v>
      </c>
      <c r="V12" s="149"/>
    </row>
    <row r="13" spans="1:22" s="19" customFormat="1" ht="15.5" x14ac:dyDescent="0.35">
      <c r="A13" s="103">
        <v>46084</v>
      </c>
      <c r="B13" s="79">
        <v>0.25972222222222224</v>
      </c>
      <c r="C13" s="79">
        <v>0.57152777777777775</v>
      </c>
      <c r="D13" s="73">
        <f t="shared" si="0"/>
        <v>1.3118055555555557</v>
      </c>
      <c r="E13" s="323">
        <f t="shared" si="4"/>
        <v>524603</v>
      </c>
      <c r="F13" s="323">
        <v>525332</v>
      </c>
      <c r="G13" s="302">
        <f t="shared" si="1"/>
        <v>7.29</v>
      </c>
      <c r="H13" s="76">
        <v>153</v>
      </c>
      <c r="I13" s="76"/>
      <c r="J13" s="76"/>
      <c r="K13" s="76"/>
      <c r="L13" s="148">
        <f t="shared" si="2"/>
        <v>3825</v>
      </c>
      <c r="M13" s="148">
        <f t="shared" si="3"/>
        <v>0</v>
      </c>
      <c r="N13" s="148">
        <f t="shared" si="5"/>
        <v>0</v>
      </c>
      <c r="O13" s="148">
        <f t="shared" si="6"/>
        <v>3825</v>
      </c>
      <c r="P13" s="148">
        <f t="shared" si="7"/>
        <v>524.69135802469134</v>
      </c>
      <c r="Q13" s="76">
        <v>150</v>
      </c>
      <c r="R13" s="113">
        <f t="shared" si="9"/>
        <v>153</v>
      </c>
      <c r="S13" s="298">
        <f t="shared" si="8"/>
        <v>3</v>
      </c>
      <c r="T13" s="113">
        <f t="shared" si="10"/>
        <v>17</v>
      </c>
      <c r="U13" s="92" t="s">
        <v>185</v>
      </c>
      <c r="V13" s="149"/>
    </row>
    <row r="14" spans="1:22" s="19" customFormat="1" ht="15.5" x14ac:dyDescent="0.35">
      <c r="A14" s="103">
        <v>46084</v>
      </c>
      <c r="B14" s="79">
        <v>0.58680555555555558</v>
      </c>
      <c r="C14" s="79">
        <v>0.78472222222222221</v>
      </c>
      <c r="D14" s="73">
        <f t="shared" si="0"/>
        <v>1.1979166666666667</v>
      </c>
      <c r="E14" s="323">
        <f t="shared" si="4"/>
        <v>525332</v>
      </c>
      <c r="F14" s="323">
        <v>525748</v>
      </c>
      <c r="G14" s="302">
        <f t="shared" si="1"/>
        <v>4.16</v>
      </c>
      <c r="H14" s="76">
        <v>92</v>
      </c>
      <c r="I14" s="76"/>
      <c r="J14" s="76"/>
      <c r="K14" s="76"/>
      <c r="L14" s="148">
        <f t="shared" si="2"/>
        <v>2300</v>
      </c>
      <c r="M14" s="148">
        <f t="shared" si="3"/>
        <v>0</v>
      </c>
      <c r="N14" s="148">
        <f t="shared" si="5"/>
        <v>0</v>
      </c>
      <c r="O14" s="148">
        <f t="shared" si="6"/>
        <v>2300</v>
      </c>
      <c r="P14" s="148">
        <f t="shared" si="7"/>
        <v>552.88461538461536</v>
      </c>
      <c r="Q14" s="76">
        <v>100</v>
      </c>
      <c r="R14" s="113">
        <f t="shared" si="9"/>
        <v>92</v>
      </c>
      <c r="S14" s="298">
        <f t="shared" si="8"/>
        <v>-8</v>
      </c>
      <c r="T14" s="113">
        <f t="shared" si="10"/>
        <v>25</v>
      </c>
      <c r="U14" s="92" t="s">
        <v>201</v>
      </c>
      <c r="V14" s="82"/>
    </row>
    <row r="15" spans="1:22" s="37" customFormat="1" ht="15.5" x14ac:dyDescent="0.35">
      <c r="A15" s="103">
        <v>46084</v>
      </c>
      <c r="B15" s="79">
        <v>0.77083333333333337</v>
      </c>
      <c r="C15" s="79">
        <v>0.91180555555555554</v>
      </c>
      <c r="D15" s="73">
        <f t="shared" si="0"/>
        <v>1.1409722222222221</v>
      </c>
      <c r="E15" s="323">
        <f t="shared" si="4"/>
        <v>525748</v>
      </c>
      <c r="F15" s="231">
        <v>526111</v>
      </c>
      <c r="G15" s="302">
        <f t="shared" si="1"/>
        <v>3.63</v>
      </c>
      <c r="H15" s="151">
        <v>81</v>
      </c>
      <c r="I15" s="151"/>
      <c r="J15" s="151"/>
      <c r="K15" s="151"/>
      <c r="L15" s="148">
        <f t="shared" si="2"/>
        <v>2025</v>
      </c>
      <c r="M15" s="148">
        <f t="shared" si="3"/>
        <v>0</v>
      </c>
      <c r="N15" s="148">
        <f t="shared" si="5"/>
        <v>0</v>
      </c>
      <c r="O15" s="148">
        <f t="shared" si="6"/>
        <v>2025</v>
      </c>
      <c r="P15" s="148">
        <f t="shared" si="7"/>
        <v>557.85123966942149</v>
      </c>
      <c r="Q15" s="151">
        <v>100</v>
      </c>
      <c r="R15" s="113">
        <f t="shared" si="9"/>
        <v>81</v>
      </c>
      <c r="S15" s="298">
        <f t="shared" si="8"/>
        <v>-19</v>
      </c>
      <c r="T15" s="113">
        <f t="shared" si="10"/>
        <v>44</v>
      </c>
      <c r="U15" s="243" t="s">
        <v>201</v>
      </c>
      <c r="V15" s="82"/>
    </row>
    <row r="16" spans="1:22" s="19" customFormat="1" ht="15.5" x14ac:dyDescent="0.35">
      <c r="A16" s="103">
        <v>46084</v>
      </c>
      <c r="B16" s="79">
        <v>0.92361111111111116</v>
      </c>
      <c r="C16" s="79">
        <v>0.23472222222222222</v>
      </c>
      <c r="D16" s="73">
        <f t="shared" si="0"/>
        <v>0.31111111111111112</v>
      </c>
      <c r="E16" s="323">
        <f t="shared" si="4"/>
        <v>526111</v>
      </c>
      <c r="F16" s="323">
        <v>526922</v>
      </c>
      <c r="G16" s="302">
        <f t="shared" si="1"/>
        <v>8.11</v>
      </c>
      <c r="H16" s="76">
        <v>174</v>
      </c>
      <c r="I16" s="76"/>
      <c r="J16" s="76"/>
      <c r="K16" s="76"/>
      <c r="L16" s="148">
        <f t="shared" si="2"/>
        <v>4350</v>
      </c>
      <c r="M16" s="148">
        <f t="shared" si="3"/>
        <v>0</v>
      </c>
      <c r="N16" s="148">
        <f t="shared" si="5"/>
        <v>0</v>
      </c>
      <c r="O16" s="148">
        <f t="shared" si="6"/>
        <v>4350</v>
      </c>
      <c r="P16" s="148">
        <f t="shared" si="7"/>
        <v>536.37484586929725</v>
      </c>
      <c r="Q16" s="76">
        <v>200</v>
      </c>
      <c r="R16" s="113">
        <f t="shared" si="9"/>
        <v>174</v>
      </c>
      <c r="S16" s="298">
        <f>R16-Q16</f>
        <v>-26</v>
      </c>
      <c r="T16" s="113">
        <f>T15-(S16)</f>
        <v>70</v>
      </c>
      <c r="U16" s="243" t="s">
        <v>164</v>
      </c>
      <c r="V16" s="82"/>
    </row>
    <row r="17" spans="1:22" s="19" customFormat="1" ht="15.5" x14ac:dyDescent="0.35">
      <c r="A17" s="103">
        <v>46085</v>
      </c>
      <c r="B17" s="79">
        <v>0.25277777777777777</v>
      </c>
      <c r="C17" s="79">
        <v>0.58263888888888893</v>
      </c>
      <c r="D17" s="73">
        <f t="shared" si="0"/>
        <v>1.3298611111111112</v>
      </c>
      <c r="E17" s="323">
        <f t="shared" si="4"/>
        <v>526922</v>
      </c>
      <c r="F17" s="323">
        <v>527729</v>
      </c>
      <c r="G17" s="302">
        <f t="shared" si="1"/>
        <v>8.07</v>
      </c>
      <c r="H17" s="76">
        <v>173</v>
      </c>
      <c r="I17" s="76"/>
      <c r="J17" s="76"/>
      <c r="K17" s="76"/>
      <c r="L17" s="148">
        <f t="shared" si="2"/>
        <v>4325</v>
      </c>
      <c r="M17" s="148">
        <f t="shared" si="3"/>
        <v>0</v>
      </c>
      <c r="N17" s="148">
        <f t="shared" si="5"/>
        <v>0</v>
      </c>
      <c r="O17" s="148">
        <f t="shared" si="6"/>
        <v>4325</v>
      </c>
      <c r="P17" s="148">
        <f t="shared" si="7"/>
        <v>535.93556381660471</v>
      </c>
      <c r="Q17" s="76">
        <v>200</v>
      </c>
      <c r="R17" s="113">
        <f t="shared" si="9"/>
        <v>173</v>
      </c>
      <c r="S17" s="298">
        <f>R17-Q17</f>
        <v>-27</v>
      </c>
      <c r="T17" s="113">
        <f t="shared" si="10"/>
        <v>97</v>
      </c>
      <c r="U17" s="243" t="s">
        <v>185</v>
      </c>
      <c r="V17" s="82"/>
    </row>
    <row r="18" spans="1:22" s="19" customFormat="1" ht="15.5" x14ac:dyDescent="0.35">
      <c r="A18" s="103">
        <v>46085</v>
      </c>
      <c r="B18" s="79">
        <v>0.6</v>
      </c>
      <c r="C18" s="79">
        <v>0.74305555555555558</v>
      </c>
      <c r="D18" s="73">
        <f t="shared" si="0"/>
        <v>1.1430555555555557</v>
      </c>
      <c r="E18" s="323">
        <f t="shared" si="4"/>
        <v>527729</v>
      </c>
      <c r="F18" s="323">
        <v>528109</v>
      </c>
      <c r="G18" s="302">
        <v>4</v>
      </c>
      <c r="H18" s="76">
        <v>84</v>
      </c>
      <c r="I18" s="76"/>
      <c r="J18" s="76"/>
      <c r="K18" s="76"/>
      <c r="L18" s="148">
        <f t="shared" si="2"/>
        <v>2100</v>
      </c>
      <c r="M18" s="148">
        <f t="shared" si="3"/>
        <v>0</v>
      </c>
      <c r="N18" s="148">
        <f t="shared" si="5"/>
        <v>0</v>
      </c>
      <c r="O18" s="148">
        <f t="shared" si="6"/>
        <v>2100</v>
      </c>
      <c r="P18" s="148">
        <f t="shared" si="7"/>
        <v>525</v>
      </c>
      <c r="Q18" s="76">
        <v>100</v>
      </c>
      <c r="R18" s="113">
        <f t="shared" si="9"/>
        <v>84</v>
      </c>
      <c r="S18" s="298">
        <f t="shared" si="8"/>
        <v>-16</v>
      </c>
      <c r="T18" s="113">
        <f t="shared" si="10"/>
        <v>113</v>
      </c>
      <c r="U18" s="92" t="s">
        <v>204</v>
      </c>
      <c r="V18" s="82"/>
    </row>
    <row r="19" spans="1:22" s="19" customFormat="1" ht="15.5" x14ac:dyDescent="0.35">
      <c r="A19" s="103">
        <v>46085</v>
      </c>
      <c r="B19" s="79">
        <v>0.7680555555555556</v>
      </c>
      <c r="C19" s="79">
        <v>0.90694444444444444</v>
      </c>
      <c r="D19" s="73">
        <f t="shared" si="0"/>
        <v>1.1388888888888888</v>
      </c>
      <c r="E19" s="323">
        <f t="shared" si="4"/>
        <v>528109</v>
      </c>
      <c r="F19" s="323">
        <v>528508</v>
      </c>
      <c r="G19" s="302">
        <f t="shared" si="1"/>
        <v>3.99</v>
      </c>
      <c r="H19" s="76">
        <v>83</v>
      </c>
      <c r="I19" s="76"/>
      <c r="J19" s="76"/>
      <c r="K19" s="76"/>
      <c r="L19" s="148">
        <f t="shared" si="2"/>
        <v>2075</v>
      </c>
      <c r="M19" s="148">
        <f t="shared" si="3"/>
        <v>0</v>
      </c>
      <c r="N19" s="148">
        <f t="shared" si="5"/>
        <v>0</v>
      </c>
      <c r="O19" s="148">
        <f t="shared" si="6"/>
        <v>2075</v>
      </c>
      <c r="P19" s="148">
        <f t="shared" si="7"/>
        <v>520.05012531328316</v>
      </c>
      <c r="Q19" s="76">
        <v>50</v>
      </c>
      <c r="R19" s="113">
        <f t="shared" si="9"/>
        <v>83</v>
      </c>
      <c r="S19" s="298">
        <f t="shared" si="8"/>
        <v>33</v>
      </c>
      <c r="T19" s="113">
        <f t="shared" si="10"/>
        <v>80</v>
      </c>
      <c r="U19" s="243" t="s">
        <v>189</v>
      </c>
      <c r="V19" s="82"/>
    </row>
    <row r="20" spans="1:22" s="19" customFormat="1" ht="15.5" x14ac:dyDescent="0.35">
      <c r="A20" s="103">
        <v>46085</v>
      </c>
      <c r="B20" s="79">
        <v>0.94861111111111107</v>
      </c>
      <c r="C20" s="79">
        <v>0.23958333333333334</v>
      </c>
      <c r="D20" s="73">
        <f t="shared" si="0"/>
        <v>0.29097222222222219</v>
      </c>
      <c r="E20" s="323">
        <f t="shared" si="4"/>
        <v>528508</v>
      </c>
      <c r="F20" s="323">
        <v>529267</v>
      </c>
      <c r="G20" s="302">
        <f t="shared" si="1"/>
        <v>7.59</v>
      </c>
      <c r="H20" s="76">
        <v>163</v>
      </c>
      <c r="I20" s="76"/>
      <c r="J20" s="76"/>
      <c r="K20" s="76"/>
      <c r="L20" s="148">
        <f t="shared" si="2"/>
        <v>4075</v>
      </c>
      <c r="M20" s="148">
        <f t="shared" si="3"/>
        <v>0</v>
      </c>
      <c r="N20" s="148">
        <f t="shared" si="5"/>
        <v>0</v>
      </c>
      <c r="O20" s="148">
        <f t="shared" si="6"/>
        <v>4075</v>
      </c>
      <c r="P20" s="148">
        <f t="shared" si="7"/>
        <v>536.89064558629775</v>
      </c>
      <c r="Q20" s="76">
        <v>100</v>
      </c>
      <c r="R20" s="113">
        <f t="shared" si="9"/>
        <v>163</v>
      </c>
      <c r="S20" s="298">
        <f t="shared" si="8"/>
        <v>63</v>
      </c>
      <c r="T20" s="113">
        <f t="shared" si="10"/>
        <v>17</v>
      </c>
      <c r="U20" s="92" t="s">
        <v>164</v>
      </c>
      <c r="V20" s="82" t="s">
        <v>205</v>
      </c>
    </row>
    <row r="21" spans="1:22" s="19" customFormat="1" ht="14.25" customHeight="1" x14ac:dyDescent="0.35">
      <c r="A21" s="103">
        <v>46086</v>
      </c>
      <c r="B21" s="79">
        <v>0.26944444444444443</v>
      </c>
      <c r="C21" s="79">
        <v>0.5708333333333333</v>
      </c>
      <c r="D21" s="73">
        <f t="shared" si="0"/>
        <v>1.3013888888888889</v>
      </c>
      <c r="E21" s="323">
        <f t="shared" si="4"/>
        <v>529267</v>
      </c>
      <c r="F21" s="323">
        <v>530062</v>
      </c>
      <c r="G21" s="302">
        <f t="shared" si="1"/>
        <v>7.95</v>
      </c>
      <c r="H21" s="76">
        <v>160</v>
      </c>
      <c r="I21" s="76"/>
      <c r="J21" s="76"/>
      <c r="K21" s="76"/>
      <c r="L21" s="148">
        <f t="shared" si="2"/>
        <v>4000</v>
      </c>
      <c r="M21" s="148">
        <f t="shared" si="3"/>
        <v>0</v>
      </c>
      <c r="N21" s="148">
        <f t="shared" si="5"/>
        <v>0</v>
      </c>
      <c r="O21" s="148">
        <f t="shared" si="6"/>
        <v>4000</v>
      </c>
      <c r="P21" s="148">
        <f t="shared" si="7"/>
        <v>503.14465408805029</v>
      </c>
      <c r="Q21" s="76">
        <v>150</v>
      </c>
      <c r="R21" s="113">
        <f t="shared" si="9"/>
        <v>160</v>
      </c>
      <c r="S21" s="298">
        <f t="shared" si="8"/>
        <v>10</v>
      </c>
      <c r="T21" s="113">
        <f t="shared" si="10"/>
        <v>7</v>
      </c>
      <c r="U21" s="92" t="s">
        <v>185</v>
      </c>
      <c r="V21" s="82"/>
    </row>
    <row r="22" spans="1:22" s="19" customFormat="1" ht="15.5" x14ac:dyDescent="0.35">
      <c r="A22" s="103">
        <v>46086</v>
      </c>
      <c r="B22" s="79">
        <v>0.58750000000000002</v>
      </c>
      <c r="C22" s="79">
        <v>0.74097222222222225</v>
      </c>
      <c r="D22" s="73">
        <f t="shared" si="0"/>
        <v>1.1534722222222222</v>
      </c>
      <c r="E22" s="323">
        <f t="shared" si="4"/>
        <v>530062</v>
      </c>
      <c r="F22" s="323">
        <v>530443</v>
      </c>
      <c r="G22" s="302">
        <f t="shared" si="1"/>
        <v>3.81</v>
      </c>
      <c r="H22" s="76">
        <v>69</v>
      </c>
      <c r="I22" s="76"/>
      <c r="J22" s="76"/>
      <c r="K22" s="76">
        <v>35</v>
      </c>
      <c r="L22" s="148">
        <f t="shared" si="2"/>
        <v>1725</v>
      </c>
      <c r="M22" s="148">
        <f t="shared" si="3"/>
        <v>0</v>
      </c>
      <c r="N22" s="148">
        <f t="shared" si="5"/>
        <v>525</v>
      </c>
      <c r="O22" s="148">
        <f t="shared" si="6"/>
        <v>2250</v>
      </c>
      <c r="P22" s="148">
        <f t="shared" si="7"/>
        <v>590.55118110236219</v>
      </c>
      <c r="Q22" s="76">
        <v>100</v>
      </c>
      <c r="R22" s="113">
        <f t="shared" si="9"/>
        <v>69</v>
      </c>
      <c r="S22" s="298">
        <f t="shared" si="8"/>
        <v>-31</v>
      </c>
      <c r="T22" s="113">
        <f t="shared" si="10"/>
        <v>38</v>
      </c>
      <c r="U22" s="92" t="s">
        <v>190</v>
      </c>
      <c r="V22" s="82"/>
    </row>
    <row r="23" spans="1:22" s="19" customFormat="1" ht="14.25" customHeight="1" x14ac:dyDescent="0.35">
      <c r="A23" s="103">
        <v>46086</v>
      </c>
      <c r="B23" s="79">
        <v>0.75624999999999998</v>
      </c>
      <c r="C23" s="79">
        <v>0.90694444444444444</v>
      </c>
      <c r="D23" s="73">
        <f>1+C23-B23</f>
        <v>1.1506944444444445</v>
      </c>
      <c r="E23" s="323">
        <f t="shared" si="4"/>
        <v>530443</v>
      </c>
      <c r="F23" s="323">
        <v>530855</v>
      </c>
      <c r="G23" s="302">
        <f t="shared" si="1"/>
        <v>4.12</v>
      </c>
      <c r="H23" s="76">
        <v>81</v>
      </c>
      <c r="I23" s="76"/>
      <c r="J23" s="76"/>
      <c r="K23" s="76"/>
      <c r="L23" s="148">
        <f>+H23*$H$6</f>
        <v>2025</v>
      </c>
      <c r="M23" s="148">
        <f>+$I$6*I23</f>
        <v>0</v>
      </c>
      <c r="N23" s="148">
        <f>+J23*$J$6+(K23*15)</f>
        <v>0</v>
      </c>
      <c r="O23" s="148">
        <f>+L23+M23+N23</f>
        <v>2025</v>
      </c>
      <c r="P23" s="148">
        <f>(O23/G23)</f>
        <v>491.504854368932</v>
      </c>
      <c r="Q23" s="76">
        <v>100</v>
      </c>
      <c r="R23" s="113">
        <f>H23+I23</f>
        <v>81</v>
      </c>
      <c r="S23" s="298">
        <f t="shared" si="8"/>
        <v>-19</v>
      </c>
      <c r="T23" s="113">
        <f t="shared" si="10"/>
        <v>57</v>
      </c>
      <c r="U23" s="92" t="s">
        <v>189</v>
      </c>
      <c r="V23" s="82"/>
    </row>
    <row r="24" spans="1:22" s="19" customFormat="1" ht="15.5" x14ac:dyDescent="0.35">
      <c r="A24" s="103">
        <v>46086</v>
      </c>
      <c r="B24" s="79">
        <v>0.92222222222222228</v>
      </c>
      <c r="C24" s="79">
        <v>0.24027777777777778</v>
      </c>
      <c r="D24" s="73">
        <f>1+C24-B24</f>
        <v>0.31805555555555554</v>
      </c>
      <c r="E24" s="323">
        <f t="shared" si="4"/>
        <v>530855</v>
      </c>
      <c r="F24" s="323">
        <v>531649</v>
      </c>
      <c r="G24" s="302">
        <f t="shared" si="1"/>
        <v>7.94</v>
      </c>
      <c r="H24" s="76">
        <v>182</v>
      </c>
      <c r="I24" s="76"/>
      <c r="J24" s="76"/>
      <c r="K24" s="76"/>
      <c r="L24" s="148">
        <f>+H24*$H$6</f>
        <v>4550</v>
      </c>
      <c r="M24" s="148">
        <f>+$I$6*I24</f>
        <v>0</v>
      </c>
      <c r="N24" s="148">
        <f>+J24*$J$6+(K24*15)</f>
        <v>0</v>
      </c>
      <c r="O24" s="148">
        <f>+L24+M24+N24</f>
        <v>4550</v>
      </c>
      <c r="P24" s="148">
        <f>(O24/G24)</f>
        <v>573.04785894206543</v>
      </c>
      <c r="Q24" s="76">
        <v>200</v>
      </c>
      <c r="R24" s="113">
        <f>H24+I24</f>
        <v>182</v>
      </c>
      <c r="S24" s="298">
        <f t="shared" si="8"/>
        <v>-18</v>
      </c>
      <c r="T24" s="113">
        <f t="shared" si="10"/>
        <v>75</v>
      </c>
      <c r="U24" s="92" t="s">
        <v>164</v>
      </c>
      <c r="V24" s="82"/>
    </row>
    <row r="25" spans="1:22" s="19" customFormat="1" ht="15.5" x14ac:dyDescent="0.35">
      <c r="A25" s="103">
        <v>46087</v>
      </c>
      <c r="B25" s="79">
        <v>0.25486111111111109</v>
      </c>
      <c r="C25" s="79">
        <v>0.57499999999999996</v>
      </c>
      <c r="D25" s="73">
        <f t="shared" si="0"/>
        <v>1.3201388888888888</v>
      </c>
      <c r="E25" s="323">
        <f t="shared" si="4"/>
        <v>531649</v>
      </c>
      <c r="F25" s="113">
        <v>532454</v>
      </c>
      <c r="G25" s="302">
        <f t="shared" si="1"/>
        <v>8.0500000000000007</v>
      </c>
      <c r="H25" s="112">
        <v>170</v>
      </c>
      <c r="I25" s="76"/>
      <c r="J25" s="76"/>
      <c r="K25" s="76"/>
      <c r="L25" s="148">
        <f t="shared" si="2"/>
        <v>4250</v>
      </c>
      <c r="M25" s="148">
        <f t="shared" si="3"/>
        <v>0</v>
      </c>
      <c r="N25" s="148">
        <f t="shared" si="5"/>
        <v>0</v>
      </c>
      <c r="O25" s="148">
        <f t="shared" si="6"/>
        <v>4250</v>
      </c>
      <c r="P25" s="148">
        <f t="shared" si="7"/>
        <v>527.9503105590062</v>
      </c>
      <c r="Q25" s="76">
        <v>200</v>
      </c>
      <c r="R25" s="113">
        <f t="shared" si="9"/>
        <v>170</v>
      </c>
      <c r="S25" s="298">
        <f t="shared" si="8"/>
        <v>-30</v>
      </c>
      <c r="T25" s="113">
        <f t="shared" si="10"/>
        <v>105</v>
      </c>
      <c r="U25" s="243" t="s">
        <v>185</v>
      </c>
      <c r="V25" s="82"/>
    </row>
    <row r="26" spans="1:22" s="19" customFormat="1" ht="15.5" x14ac:dyDescent="0.35">
      <c r="A26" s="103">
        <v>46087</v>
      </c>
      <c r="B26" s="79">
        <v>0.59236111111111112</v>
      </c>
      <c r="C26" s="79">
        <v>0.74930555555555556</v>
      </c>
      <c r="D26" s="73">
        <f t="shared" si="0"/>
        <v>1.1569444444444443</v>
      </c>
      <c r="E26" s="323">
        <f t="shared" si="4"/>
        <v>532454</v>
      </c>
      <c r="F26" s="323">
        <v>532864</v>
      </c>
      <c r="G26" s="302">
        <f t="shared" si="1"/>
        <v>4.0999999999999996</v>
      </c>
      <c r="H26" s="76">
        <v>89</v>
      </c>
      <c r="I26" s="76"/>
      <c r="J26" s="76"/>
      <c r="K26" s="76"/>
      <c r="L26" s="148">
        <f t="shared" si="2"/>
        <v>2225</v>
      </c>
      <c r="M26" s="148">
        <f t="shared" si="3"/>
        <v>0</v>
      </c>
      <c r="N26" s="148">
        <f t="shared" si="5"/>
        <v>0</v>
      </c>
      <c r="O26" s="148">
        <f t="shared" si="6"/>
        <v>2225</v>
      </c>
      <c r="P26" s="148">
        <f t="shared" si="7"/>
        <v>542.68292682926835</v>
      </c>
      <c r="Q26" s="76">
        <v>100</v>
      </c>
      <c r="R26" s="113">
        <f t="shared" si="9"/>
        <v>89</v>
      </c>
      <c r="S26" s="298">
        <f t="shared" si="8"/>
        <v>-11</v>
      </c>
      <c r="T26" s="113">
        <f t="shared" si="10"/>
        <v>116</v>
      </c>
      <c r="U26" s="92" t="s">
        <v>190</v>
      </c>
      <c r="V26" s="82"/>
    </row>
    <row r="27" spans="1:22" s="19" customFormat="1" ht="15.5" x14ac:dyDescent="0.35">
      <c r="A27" s="103">
        <v>46087</v>
      </c>
      <c r="B27" s="79">
        <v>0.76527777777777772</v>
      </c>
      <c r="C27" s="79">
        <v>0.90972222222222221</v>
      </c>
      <c r="D27" s="73">
        <f t="shared" si="0"/>
        <v>1.1444444444444446</v>
      </c>
      <c r="E27" s="323">
        <f t="shared" si="4"/>
        <v>532864</v>
      </c>
      <c r="F27" s="323">
        <v>533246</v>
      </c>
      <c r="G27" s="302">
        <f t="shared" si="1"/>
        <v>3.82</v>
      </c>
      <c r="H27" s="76">
        <v>83</v>
      </c>
      <c r="I27" s="76"/>
      <c r="J27" s="76"/>
      <c r="K27" s="76"/>
      <c r="L27" s="148">
        <f t="shared" si="2"/>
        <v>2075</v>
      </c>
      <c r="M27" s="148">
        <f t="shared" si="3"/>
        <v>0</v>
      </c>
      <c r="N27" s="148">
        <f t="shared" si="5"/>
        <v>0</v>
      </c>
      <c r="O27" s="148">
        <f t="shared" si="6"/>
        <v>2075</v>
      </c>
      <c r="P27" s="148">
        <f t="shared" si="7"/>
        <v>543.19371727748694</v>
      </c>
      <c r="Q27" s="76">
        <v>100</v>
      </c>
      <c r="R27" s="113">
        <f t="shared" si="9"/>
        <v>83</v>
      </c>
      <c r="S27" s="298">
        <f t="shared" si="8"/>
        <v>-17</v>
      </c>
      <c r="T27" s="113">
        <f t="shared" si="10"/>
        <v>133</v>
      </c>
      <c r="U27" s="92" t="s">
        <v>201</v>
      </c>
      <c r="V27" s="82"/>
    </row>
    <row r="28" spans="1:22" s="19" customFormat="1" ht="15.5" x14ac:dyDescent="0.35">
      <c r="A28" s="103">
        <v>46087</v>
      </c>
      <c r="B28" s="79">
        <v>0.92708333333333337</v>
      </c>
      <c r="C28" s="79">
        <v>0.24305555555555555</v>
      </c>
      <c r="D28" s="73">
        <f t="shared" si="0"/>
        <v>0.31597222222222221</v>
      </c>
      <c r="E28" s="323">
        <f t="shared" si="4"/>
        <v>533246</v>
      </c>
      <c r="F28" s="323">
        <v>534066</v>
      </c>
      <c r="G28" s="302">
        <f t="shared" si="1"/>
        <v>8.1999999999999993</v>
      </c>
      <c r="H28" s="76">
        <f>132+28</f>
        <v>160</v>
      </c>
      <c r="I28" s="76"/>
      <c r="J28" s="76"/>
      <c r="K28" s="76"/>
      <c r="L28" s="148">
        <f t="shared" si="2"/>
        <v>4000</v>
      </c>
      <c r="M28" s="148">
        <f t="shared" si="3"/>
        <v>0</v>
      </c>
      <c r="N28" s="148">
        <f t="shared" si="5"/>
        <v>0</v>
      </c>
      <c r="O28" s="148">
        <f t="shared" si="6"/>
        <v>4000</v>
      </c>
      <c r="P28" s="148">
        <f t="shared" si="7"/>
        <v>487.80487804878055</v>
      </c>
      <c r="Q28" s="76">
        <v>100</v>
      </c>
      <c r="R28" s="113">
        <f t="shared" si="9"/>
        <v>160</v>
      </c>
      <c r="S28" s="298">
        <f t="shared" si="8"/>
        <v>60</v>
      </c>
      <c r="T28" s="113">
        <f t="shared" si="10"/>
        <v>73</v>
      </c>
      <c r="U28" s="243" t="s">
        <v>164</v>
      </c>
      <c r="V28" s="82"/>
    </row>
    <row r="29" spans="1:22" s="19" customFormat="1" ht="15.5" x14ac:dyDescent="0.35">
      <c r="A29" s="103">
        <v>46088</v>
      </c>
      <c r="B29" s="79">
        <v>0.2673611111111111</v>
      </c>
      <c r="C29" s="79">
        <v>0.57916666666666672</v>
      </c>
      <c r="D29" s="73">
        <f t="shared" si="0"/>
        <v>1.3118055555555554</v>
      </c>
      <c r="E29" s="323">
        <f t="shared" si="4"/>
        <v>534066</v>
      </c>
      <c r="F29" s="323">
        <v>534869</v>
      </c>
      <c r="G29" s="302">
        <v>8</v>
      </c>
      <c r="H29" s="76">
        <v>171</v>
      </c>
      <c r="I29" s="76"/>
      <c r="J29" s="76"/>
      <c r="K29" s="76"/>
      <c r="L29" s="148">
        <f t="shared" si="2"/>
        <v>4275</v>
      </c>
      <c r="M29" s="148">
        <f t="shared" si="3"/>
        <v>0</v>
      </c>
      <c r="N29" s="148">
        <f t="shared" si="5"/>
        <v>0</v>
      </c>
      <c r="O29" s="148">
        <f t="shared" si="6"/>
        <v>4275</v>
      </c>
      <c r="P29" s="148">
        <f t="shared" si="7"/>
        <v>534.375</v>
      </c>
      <c r="Q29" s="76">
        <v>200</v>
      </c>
      <c r="R29" s="113">
        <f t="shared" si="9"/>
        <v>171</v>
      </c>
      <c r="S29" s="298">
        <f t="shared" si="8"/>
        <v>-29</v>
      </c>
      <c r="T29" s="113">
        <f t="shared" si="10"/>
        <v>102</v>
      </c>
      <c r="U29" s="243" t="s">
        <v>185</v>
      </c>
      <c r="V29" s="82"/>
    </row>
    <row r="30" spans="1:22" s="19" customFormat="1" ht="15.5" x14ac:dyDescent="0.35">
      <c r="A30" s="103">
        <v>46088</v>
      </c>
      <c r="B30" s="79">
        <v>0.59444444444444444</v>
      </c>
      <c r="C30" s="79">
        <v>0.74930555555555556</v>
      </c>
      <c r="D30" s="73">
        <f t="shared" si="0"/>
        <v>1.1548611111111109</v>
      </c>
      <c r="E30" s="323">
        <f t="shared" si="4"/>
        <v>534869</v>
      </c>
      <c r="F30" s="323">
        <v>535268</v>
      </c>
      <c r="G30" s="302">
        <v>8</v>
      </c>
      <c r="H30" s="76">
        <v>87</v>
      </c>
      <c r="I30" s="76"/>
      <c r="J30" s="76"/>
      <c r="K30" s="76"/>
      <c r="L30" s="148">
        <f t="shared" si="2"/>
        <v>2175</v>
      </c>
      <c r="M30" s="148">
        <f t="shared" si="3"/>
        <v>0</v>
      </c>
      <c r="N30" s="148">
        <f t="shared" si="5"/>
        <v>0</v>
      </c>
      <c r="O30" s="148">
        <f t="shared" si="6"/>
        <v>2175</v>
      </c>
      <c r="P30" s="148">
        <f t="shared" si="7"/>
        <v>271.875</v>
      </c>
      <c r="Q30" s="76">
        <v>100</v>
      </c>
      <c r="R30" s="113">
        <f t="shared" si="9"/>
        <v>87</v>
      </c>
      <c r="S30" s="298">
        <f t="shared" si="8"/>
        <v>-13</v>
      </c>
      <c r="T30" s="113">
        <f t="shared" si="10"/>
        <v>115</v>
      </c>
      <c r="U30" s="243" t="s">
        <v>173</v>
      </c>
      <c r="V30" s="82"/>
    </row>
    <row r="31" spans="1:22" s="19" customFormat="1" ht="15.5" x14ac:dyDescent="0.35">
      <c r="A31" s="103">
        <v>46088</v>
      </c>
      <c r="B31" s="79">
        <v>0.7631944444444444</v>
      </c>
      <c r="C31" s="79">
        <v>0.90763888888888888</v>
      </c>
      <c r="D31" s="73">
        <f t="shared" si="0"/>
        <v>1.1444444444444444</v>
      </c>
      <c r="E31" s="323">
        <f t="shared" si="4"/>
        <v>535268</v>
      </c>
      <c r="F31" s="323">
        <v>535662</v>
      </c>
      <c r="G31" s="302">
        <f t="shared" si="1"/>
        <v>3.94</v>
      </c>
      <c r="H31" s="76">
        <v>80</v>
      </c>
      <c r="I31" s="76"/>
      <c r="J31" s="76"/>
      <c r="K31" s="76"/>
      <c r="L31" s="148">
        <f t="shared" si="2"/>
        <v>2000</v>
      </c>
      <c r="M31" s="148">
        <f t="shared" si="3"/>
        <v>0</v>
      </c>
      <c r="N31" s="148">
        <f t="shared" si="5"/>
        <v>0</v>
      </c>
      <c r="O31" s="148">
        <f t="shared" si="6"/>
        <v>2000</v>
      </c>
      <c r="P31" s="148">
        <f t="shared" si="7"/>
        <v>507.61421319796955</v>
      </c>
      <c r="Q31" s="76">
        <v>100</v>
      </c>
      <c r="R31" s="113">
        <f t="shared" si="9"/>
        <v>80</v>
      </c>
      <c r="S31" s="298">
        <f t="shared" si="8"/>
        <v>-20</v>
      </c>
      <c r="T31" s="113">
        <f t="shared" si="10"/>
        <v>135</v>
      </c>
      <c r="U31" s="243" t="s">
        <v>173</v>
      </c>
      <c r="V31" s="82"/>
    </row>
    <row r="32" spans="1:22" s="19" customFormat="1" ht="15.5" x14ac:dyDescent="0.35">
      <c r="A32" s="103">
        <v>46088</v>
      </c>
      <c r="B32" s="79">
        <v>0.92361111111111116</v>
      </c>
      <c r="C32" s="79">
        <v>0.24305555555555555</v>
      </c>
      <c r="D32" s="73">
        <f t="shared" si="0"/>
        <v>0.31944444444444442</v>
      </c>
      <c r="E32" s="323">
        <f t="shared" si="4"/>
        <v>535662</v>
      </c>
      <c r="F32" s="323">
        <v>536448</v>
      </c>
      <c r="G32" s="302">
        <f t="shared" si="1"/>
        <v>7.86</v>
      </c>
      <c r="H32" s="76">
        <v>171</v>
      </c>
      <c r="I32" s="76"/>
      <c r="J32" s="76"/>
      <c r="K32" s="76"/>
      <c r="L32" s="148">
        <f t="shared" si="2"/>
        <v>4275</v>
      </c>
      <c r="M32" s="148">
        <f t="shared" si="3"/>
        <v>0</v>
      </c>
      <c r="N32" s="148">
        <f t="shared" si="5"/>
        <v>0</v>
      </c>
      <c r="O32" s="148">
        <f t="shared" si="6"/>
        <v>4275</v>
      </c>
      <c r="P32" s="148">
        <f t="shared" si="7"/>
        <v>543.89312977099235</v>
      </c>
      <c r="Q32" s="76">
        <v>200</v>
      </c>
      <c r="R32" s="113">
        <f t="shared" si="9"/>
        <v>171</v>
      </c>
      <c r="S32" s="298">
        <f t="shared" si="8"/>
        <v>-29</v>
      </c>
      <c r="T32" s="113">
        <f t="shared" si="10"/>
        <v>164</v>
      </c>
      <c r="U32" s="243" t="s">
        <v>164</v>
      </c>
      <c r="V32" s="82"/>
    </row>
    <row r="33" spans="1:216" s="19" customFormat="1" ht="15.5" x14ac:dyDescent="0.35">
      <c r="A33" s="103">
        <v>46089</v>
      </c>
      <c r="B33" s="79">
        <v>0.25416666666666665</v>
      </c>
      <c r="C33" s="79">
        <v>0.65902777777777777</v>
      </c>
      <c r="D33" s="73">
        <f t="shared" si="0"/>
        <v>1.4048611111111111</v>
      </c>
      <c r="E33" s="323">
        <v>472837</v>
      </c>
      <c r="F33" s="323">
        <v>537423</v>
      </c>
      <c r="G33" s="302">
        <v>8</v>
      </c>
      <c r="H33" s="76">
        <v>200</v>
      </c>
      <c r="I33" s="76"/>
      <c r="J33" s="76"/>
      <c r="K33" s="76"/>
      <c r="L33" s="148">
        <f t="shared" si="2"/>
        <v>5000</v>
      </c>
      <c r="M33" s="148">
        <f t="shared" si="3"/>
        <v>0</v>
      </c>
      <c r="N33" s="148">
        <f t="shared" si="5"/>
        <v>0</v>
      </c>
      <c r="O33" s="148">
        <f t="shared" si="6"/>
        <v>5000</v>
      </c>
      <c r="P33" s="148">
        <f t="shared" si="7"/>
        <v>625</v>
      </c>
      <c r="Q33" s="76">
        <v>200</v>
      </c>
      <c r="R33" s="113">
        <f t="shared" si="9"/>
        <v>200</v>
      </c>
      <c r="S33" s="298">
        <f t="shared" si="8"/>
        <v>0</v>
      </c>
      <c r="T33" s="113">
        <f t="shared" si="10"/>
        <v>164</v>
      </c>
      <c r="U33" s="243" t="s">
        <v>197</v>
      </c>
      <c r="V33" s="82"/>
    </row>
    <row r="34" spans="1:216" s="19" customFormat="1" ht="15.5" x14ac:dyDescent="0.35">
      <c r="A34" s="103">
        <v>46089</v>
      </c>
      <c r="B34" s="79">
        <v>0.54722222222222228</v>
      </c>
      <c r="C34" s="79">
        <v>0.74097222222222225</v>
      </c>
      <c r="D34" s="73">
        <f t="shared" si="0"/>
        <v>1.1937499999999999</v>
      </c>
      <c r="E34" s="323">
        <f t="shared" si="4"/>
        <v>537423</v>
      </c>
      <c r="F34" s="323">
        <v>538029</v>
      </c>
      <c r="G34" s="302">
        <v>3</v>
      </c>
      <c r="H34" s="76">
        <v>103</v>
      </c>
      <c r="I34" s="76"/>
      <c r="J34" s="76"/>
      <c r="K34" s="76"/>
      <c r="L34" s="148">
        <f t="shared" si="2"/>
        <v>2575</v>
      </c>
      <c r="M34" s="148">
        <f t="shared" si="3"/>
        <v>0</v>
      </c>
      <c r="N34" s="148">
        <f t="shared" si="5"/>
        <v>0</v>
      </c>
      <c r="O34" s="148">
        <f t="shared" si="6"/>
        <v>2575</v>
      </c>
      <c r="P34" s="148">
        <f t="shared" si="7"/>
        <v>858.33333333333337</v>
      </c>
      <c r="Q34" s="76">
        <v>150</v>
      </c>
      <c r="R34" s="113">
        <f t="shared" si="9"/>
        <v>103</v>
      </c>
      <c r="S34" s="298">
        <f t="shared" si="8"/>
        <v>-47</v>
      </c>
      <c r="T34" s="113">
        <f t="shared" si="10"/>
        <v>211</v>
      </c>
      <c r="U34" s="243" t="s">
        <v>189</v>
      </c>
      <c r="V34" s="82"/>
    </row>
    <row r="35" spans="1:216" s="19" customFormat="1" ht="15.5" x14ac:dyDescent="0.35">
      <c r="A35" s="103">
        <v>46090</v>
      </c>
      <c r="B35" s="79">
        <v>0.25347222222222221</v>
      </c>
      <c r="C35" s="79">
        <v>0.57638888888888884</v>
      </c>
      <c r="D35" s="73">
        <f t="shared" si="0"/>
        <v>1.3229166666666665</v>
      </c>
      <c r="E35" s="323">
        <v>538043</v>
      </c>
      <c r="F35" s="323">
        <v>538804</v>
      </c>
      <c r="G35" s="302">
        <v>8</v>
      </c>
      <c r="H35" s="76">
        <v>184</v>
      </c>
      <c r="I35" s="76"/>
      <c r="J35" s="76"/>
      <c r="K35" s="76"/>
      <c r="L35" s="148">
        <f t="shared" si="2"/>
        <v>4600</v>
      </c>
      <c r="M35" s="148">
        <f t="shared" si="3"/>
        <v>0</v>
      </c>
      <c r="N35" s="148">
        <f t="shared" si="5"/>
        <v>0</v>
      </c>
      <c r="O35" s="148">
        <f t="shared" si="6"/>
        <v>4600</v>
      </c>
      <c r="P35" s="148">
        <f t="shared" si="7"/>
        <v>575</v>
      </c>
      <c r="Q35" s="76">
        <v>200</v>
      </c>
      <c r="R35" s="113">
        <f t="shared" si="9"/>
        <v>184</v>
      </c>
      <c r="S35" s="298">
        <f t="shared" si="8"/>
        <v>-16</v>
      </c>
      <c r="T35" s="113">
        <f t="shared" si="10"/>
        <v>227</v>
      </c>
      <c r="U35" s="243" t="s">
        <v>183</v>
      </c>
      <c r="V35" s="82"/>
    </row>
    <row r="36" spans="1:216" s="19" customFormat="1" ht="15.5" x14ac:dyDescent="0.35">
      <c r="A36" s="103">
        <v>46090</v>
      </c>
      <c r="B36" s="79">
        <v>0.58958333333333335</v>
      </c>
      <c r="C36" s="79">
        <v>0.74652777777777779</v>
      </c>
      <c r="D36" s="73">
        <f t="shared" si="0"/>
        <v>1.1569444444444443</v>
      </c>
      <c r="E36" s="323">
        <f t="shared" si="4"/>
        <v>538804</v>
      </c>
      <c r="F36" s="323">
        <v>539197</v>
      </c>
      <c r="G36" s="302">
        <f t="shared" si="1"/>
        <v>3.93</v>
      </c>
      <c r="H36" s="76">
        <v>86</v>
      </c>
      <c r="I36" s="76"/>
      <c r="J36" s="76"/>
      <c r="K36" s="76"/>
      <c r="L36" s="148">
        <f t="shared" si="2"/>
        <v>2150</v>
      </c>
      <c r="M36" s="148">
        <f t="shared" si="3"/>
        <v>0</v>
      </c>
      <c r="N36" s="148">
        <f t="shared" si="5"/>
        <v>0</v>
      </c>
      <c r="O36" s="148">
        <f t="shared" si="6"/>
        <v>2150</v>
      </c>
      <c r="P36" s="148">
        <f t="shared" si="7"/>
        <v>547.07379134860048</v>
      </c>
      <c r="Q36" s="76">
        <v>100</v>
      </c>
      <c r="R36" s="113">
        <f t="shared" si="9"/>
        <v>86</v>
      </c>
      <c r="S36" s="298">
        <f t="shared" si="8"/>
        <v>-14</v>
      </c>
      <c r="T36" s="113">
        <f t="shared" si="10"/>
        <v>241</v>
      </c>
      <c r="U36" s="243" t="s">
        <v>176</v>
      </c>
      <c r="V36" s="82"/>
    </row>
    <row r="37" spans="1:216" s="19" customFormat="1" ht="15.5" x14ac:dyDescent="0.35">
      <c r="A37" s="103">
        <v>46090</v>
      </c>
      <c r="B37" s="79">
        <v>0.77638888888888891</v>
      </c>
      <c r="C37" s="79">
        <v>0.90277777777777779</v>
      </c>
      <c r="D37" s="73">
        <f t="shared" si="0"/>
        <v>1.1263888888888887</v>
      </c>
      <c r="E37" s="323">
        <f t="shared" si="4"/>
        <v>539197</v>
      </c>
      <c r="F37" s="323">
        <v>539568</v>
      </c>
      <c r="G37" s="302">
        <f t="shared" si="1"/>
        <v>3.71</v>
      </c>
      <c r="H37" s="76">
        <v>74</v>
      </c>
      <c r="I37" s="76"/>
      <c r="J37" s="76"/>
      <c r="K37" s="76"/>
      <c r="L37" s="148">
        <f t="shared" si="2"/>
        <v>1850</v>
      </c>
      <c r="M37" s="148">
        <f>+$I$6*I37</f>
        <v>0</v>
      </c>
      <c r="N37" s="148">
        <f t="shared" ref="N37:N45" si="11">+J37*$J$6+(K37*15)</f>
        <v>0</v>
      </c>
      <c r="O37" s="148">
        <f t="shared" ref="O37:O45" si="12">+L37+M37+N37</f>
        <v>1850</v>
      </c>
      <c r="P37" s="148">
        <f t="shared" ref="P37:P45" si="13">(O37/G37)</f>
        <v>498.65229110512132</v>
      </c>
      <c r="Q37" s="76">
        <v>50</v>
      </c>
      <c r="R37" s="113">
        <f t="shared" ref="R37:R46" si="14">H37+I37</f>
        <v>74</v>
      </c>
      <c r="S37" s="298">
        <f t="shared" si="8"/>
        <v>24</v>
      </c>
      <c r="T37" s="113">
        <f t="shared" si="10"/>
        <v>217</v>
      </c>
      <c r="U37" s="243" t="s">
        <v>197</v>
      </c>
      <c r="V37" s="82"/>
      <c r="X37" s="19">
        <v>1</v>
      </c>
    </row>
    <row r="38" spans="1:216" s="19" customFormat="1" ht="15.5" x14ac:dyDescent="0.35">
      <c r="A38" s="103">
        <v>46090</v>
      </c>
      <c r="B38" s="79">
        <v>0.93402777777777779</v>
      </c>
      <c r="C38" s="79">
        <v>0.24166666666666667</v>
      </c>
      <c r="D38" s="73">
        <f t="shared" si="0"/>
        <v>0.30763888888888891</v>
      </c>
      <c r="E38" s="323">
        <f t="shared" si="4"/>
        <v>539568</v>
      </c>
      <c r="F38" s="323">
        <v>540367</v>
      </c>
      <c r="G38" s="302">
        <f t="shared" si="1"/>
        <v>7.99</v>
      </c>
      <c r="H38" s="76">
        <v>170</v>
      </c>
      <c r="I38" s="76"/>
      <c r="J38" s="76"/>
      <c r="K38" s="76"/>
      <c r="L38" s="148">
        <f t="shared" si="2"/>
        <v>4250</v>
      </c>
      <c r="M38" s="148">
        <f>+$I$6*I38</f>
        <v>0</v>
      </c>
      <c r="N38" s="148">
        <f t="shared" si="11"/>
        <v>0</v>
      </c>
      <c r="O38" s="148">
        <f t="shared" si="12"/>
        <v>4250</v>
      </c>
      <c r="P38" s="148">
        <f t="shared" si="13"/>
        <v>531.91489361702122</v>
      </c>
      <c r="Q38" s="76">
        <v>150</v>
      </c>
      <c r="R38" s="113">
        <f t="shared" si="14"/>
        <v>170</v>
      </c>
      <c r="S38" s="298">
        <f t="shared" si="8"/>
        <v>20</v>
      </c>
      <c r="T38" s="113">
        <f t="shared" si="10"/>
        <v>197</v>
      </c>
      <c r="U38" s="243" t="s">
        <v>189</v>
      </c>
      <c r="V38" s="82"/>
    </row>
    <row r="39" spans="1:216" s="19" customFormat="1" ht="15.5" x14ac:dyDescent="0.35">
      <c r="A39" s="103">
        <v>46091</v>
      </c>
      <c r="B39" s="79">
        <v>0.25347222222222221</v>
      </c>
      <c r="C39" s="79">
        <v>0.57986111111111116</v>
      </c>
      <c r="D39" s="73">
        <f t="shared" si="0"/>
        <v>1.3263888888888888</v>
      </c>
      <c r="E39" s="323">
        <f t="shared" si="4"/>
        <v>540367</v>
      </c>
      <c r="F39" s="323">
        <v>540964</v>
      </c>
      <c r="G39" s="302">
        <v>8</v>
      </c>
      <c r="H39" s="76">
        <v>145</v>
      </c>
      <c r="I39" s="76"/>
      <c r="J39" s="76"/>
      <c r="K39" s="76">
        <v>50</v>
      </c>
      <c r="L39" s="148">
        <f t="shared" si="2"/>
        <v>3625</v>
      </c>
      <c r="M39" s="148">
        <f>+$I$6*I39</f>
        <v>0</v>
      </c>
      <c r="N39" s="148">
        <f t="shared" si="11"/>
        <v>750</v>
      </c>
      <c r="O39" s="148">
        <f t="shared" si="12"/>
        <v>4375</v>
      </c>
      <c r="P39" s="148">
        <f t="shared" si="13"/>
        <v>546.875</v>
      </c>
      <c r="Q39" s="76">
        <v>150</v>
      </c>
      <c r="R39" s="113">
        <f t="shared" si="14"/>
        <v>145</v>
      </c>
      <c r="S39" s="298">
        <f t="shared" si="8"/>
        <v>-5</v>
      </c>
      <c r="T39" s="113">
        <f t="shared" si="10"/>
        <v>202</v>
      </c>
      <c r="U39" s="243" t="s">
        <v>183</v>
      </c>
      <c r="V39" s="82"/>
    </row>
    <row r="40" spans="1:216" s="19" customFormat="1" ht="15.5" x14ac:dyDescent="0.35">
      <c r="A40" s="103">
        <v>46091</v>
      </c>
      <c r="B40" s="79">
        <v>0.59305555555555556</v>
      </c>
      <c r="C40" s="79">
        <v>0.76736111111111116</v>
      </c>
      <c r="D40" s="73">
        <f t="shared" si="0"/>
        <v>1.1743055555555557</v>
      </c>
      <c r="E40" s="323">
        <f t="shared" si="4"/>
        <v>540964</v>
      </c>
      <c r="F40" s="323">
        <v>541609</v>
      </c>
      <c r="G40" s="302">
        <f t="shared" ref="G40:G49" si="15">(F40-E40)/100</f>
        <v>6.45</v>
      </c>
      <c r="H40" s="76">
        <v>94</v>
      </c>
      <c r="I40" s="76"/>
      <c r="J40" s="76"/>
      <c r="K40" s="76"/>
      <c r="L40" s="148">
        <f t="shared" ref="L40:L49" si="16">+H40*$H$6</f>
        <v>2350</v>
      </c>
      <c r="M40" s="148">
        <f t="shared" ref="M40:M49" si="17">+$I$6*I40</f>
        <v>0</v>
      </c>
      <c r="N40" s="148">
        <f t="shared" si="11"/>
        <v>0</v>
      </c>
      <c r="O40" s="148">
        <f t="shared" si="12"/>
        <v>2350</v>
      </c>
      <c r="P40" s="148">
        <f t="shared" si="13"/>
        <v>364.34108527131781</v>
      </c>
      <c r="Q40" s="76">
        <v>100</v>
      </c>
      <c r="R40" s="113">
        <f t="shared" si="14"/>
        <v>94</v>
      </c>
      <c r="S40" s="298">
        <f t="shared" si="8"/>
        <v>-6</v>
      </c>
      <c r="T40" s="113">
        <f t="shared" si="10"/>
        <v>208</v>
      </c>
      <c r="U40" s="243" t="s">
        <v>185</v>
      </c>
      <c r="V40" s="82"/>
    </row>
    <row r="41" spans="1:216" s="19" customFormat="1" ht="15.5" x14ac:dyDescent="0.35">
      <c r="A41" s="103">
        <v>46091</v>
      </c>
      <c r="B41" s="79">
        <v>0.79097222222222219</v>
      </c>
      <c r="C41" s="79">
        <v>0.90625</v>
      </c>
      <c r="D41" s="73">
        <f t="shared" si="0"/>
        <v>1.1152777777777778</v>
      </c>
      <c r="E41" s="323">
        <f t="shared" si="4"/>
        <v>541609</v>
      </c>
      <c r="F41" s="323">
        <v>541955</v>
      </c>
      <c r="G41" s="302">
        <f t="shared" si="15"/>
        <v>3.46</v>
      </c>
      <c r="H41" s="76">
        <v>76</v>
      </c>
      <c r="I41" s="76"/>
      <c r="J41" s="76"/>
      <c r="K41" s="76"/>
      <c r="L41" s="148">
        <f t="shared" si="16"/>
        <v>1900</v>
      </c>
      <c r="M41" s="148">
        <f t="shared" si="17"/>
        <v>0</v>
      </c>
      <c r="N41" s="148">
        <f t="shared" si="11"/>
        <v>0</v>
      </c>
      <c r="O41" s="148">
        <f t="shared" si="12"/>
        <v>1900</v>
      </c>
      <c r="P41" s="148">
        <f t="shared" si="13"/>
        <v>549.13294797687865</v>
      </c>
      <c r="Q41" s="76">
        <v>100</v>
      </c>
      <c r="R41" s="113">
        <f t="shared" si="14"/>
        <v>76</v>
      </c>
      <c r="S41" s="298">
        <f t="shared" si="8"/>
        <v>-24</v>
      </c>
      <c r="T41" s="113">
        <f t="shared" si="10"/>
        <v>232</v>
      </c>
      <c r="U41" s="243" t="s">
        <v>185</v>
      </c>
      <c r="V41" s="82"/>
      <c r="X41" s="19">
        <v>1</v>
      </c>
    </row>
    <row r="42" spans="1:216" s="19" customFormat="1" ht="15.5" x14ac:dyDescent="0.35">
      <c r="A42" s="103">
        <v>46091</v>
      </c>
      <c r="B42" s="79">
        <v>0.9194444444444444</v>
      </c>
      <c r="C42" s="79">
        <v>0.24305555555555555</v>
      </c>
      <c r="D42" s="73">
        <f t="shared" si="0"/>
        <v>0.32361111111111118</v>
      </c>
      <c r="E42" s="323">
        <f t="shared" si="4"/>
        <v>541955</v>
      </c>
      <c r="F42" s="323">
        <v>542763</v>
      </c>
      <c r="G42" s="302">
        <f t="shared" si="15"/>
        <v>8.08</v>
      </c>
      <c r="H42" s="76">
        <v>174</v>
      </c>
      <c r="I42" s="76"/>
      <c r="J42" s="76"/>
      <c r="K42" s="76"/>
      <c r="L42" s="148">
        <f t="shared" si="16"/>
        <v>4350</v>
      </c>
      <c r="M42" s="148">
        <f t="shared" si="17"/>
        <v>0</v>
      </c>
      <c r="N42" s="148">
        <f t="shared" si="11"/>
        <v>0</v>
      </c>
      <c r="O42" s="148">
        <f t="shared" si="12"/>
        <v>4350</v>
      </c>
      <c r="P42" s="148">
        <f t="shared" si="13"/>
        <v>538.36633663366331</v>
      </c>
      <c r="Q42" s="76">
        <v>150</v>
      </c>
      <c r="R42" s="113">
        <f t="shared" si="14"/>
        <v>174</v>
      </c>
      <c r="S42" s="298">
        <f t="shared" si="8"/>
        <v>24</v>
      </c>
      <c r="T42" s="113">
        <f t="shared" si="10"/>
        <v>208</v>
      </c>
      <c r="U42" s="243" t="s">
        <v>189</v>
      </c>
      <c r="V42" s="82"/>
    </row>
    <row r="43" spans="1:216" s="19" customFormat="1" ht="15.5" x14ac:dyDescent="0.35">
      <c r="A43" s="103">
        <v>46092</v>
      </c>
      <c r="B43" s="79">
        <v>0.25555555555555554</v>
      </c>
      <c r="C43" s="79">
        <v>0.56111111111111112</v>
      </c>
      <c r="D43" s="73">
        <f t="shared" si="0"/>
        <v>1.3055555555555556</v>
      </c>
      <c r="E43" s="323">
        <f t="shared" si="4"/>
        <v>542763</v>
      </c>
      <c r="F43" s="323">
        <v>543599</v>
      </c>
      <c r="G43" s="302">
        <f t="shared" si="15"/>
        <v>8.36</v>
      </c>
      <c r="H43" s="76">
        <v>160</v>
      </c>
      <c r="I43" s="76"/>
      <c r="J43" s="76"/>
      <c r="K43" s="76"/>
      <c r="L43" s="148">
        <f t="shared" si="16"/>
        <v>4000</v>
      </c>
      <c r="M43" s="148">
        <f t="shared" si="17"/>
        <v>0</v>
      </c>
      <c r="N43" s="148">
        <f t="shared" si="11"/>
        <v>0</v>
      </c>
      <c r="O43" s="148">
        <f t="shared" si="12"/>
        <v>4000</v>
      </c>
      <c r="P43" s="148">
        <f t="shared" si="13"/>
        <v>478.46889952153111</v>
      </c>
      <c r="Q43" s="76">
        <v>200</v>
      </c>
      <c r="R43" s="113">
        <f t="shared" si="14"/>
        <v>160</v>
      </c>
      <c r="S43" s="298">
        <f t="shared" si="8"/>
        <v>-40</v>
      </c>
      <c r="T43" s="113">
        <f t="shared" si="10"/>
        <v>248</v>
      </c>
      <c r="U43" s="243" t="s">
        <v>214</v>
      </c>
      <c r="V43" s="82"/>
    </row>
    <row r="44" spans="1:216" s="19" customFormat="1" ht="15.5" x14ac:dyDescent="0.35">
      <c r="A44" s="103">
        <v>46092</v>
      </c>
      <c r="B44" s="79">
        <v>0.62986111111111109</v>
      </c>
      <c r="C44" s="79">
        <v>0.75763888888888886</v>
      </c>
      <c r="D44" s="73">
        <f t="shared" si="0"/>
        <v>1.1277777777777778</v>
      </c>
      <c r="E44" s="323">
        <f t="shared" si="4"/>
        <v>543599</v>
      </c>
      <c r="F44" s="323">
        <v>543843</v>
      </c>
      <c r="G44" s="302">
        <f t="shared" si="15"/>
        <v>2.44</v>
      </c>
      <c r="H44" s="76">
        <v>72</v>
      </c>
      <c r="I44" s="76"/>
      <c r="J44" s="76"/>
      <c r="K44" s="76"/>
      <c r="L44" s="148">
        <f t="shared" si="16"/>
        <v>1800</v>
      </c>
      <c r="M44" s="148">
        <f t="shared" si="17"/>
        <v>0</v>
      </c>
      <c r="N44" s="148">
        <f t="shared" si="11"/>
        <v>0</v>
      </c>
      <c r="O44" s="148">
        <f t="shared" si="12"/>
        <v>1800</v>
      </c>
      <c r="P44" s="148">
        <f t="shared" si="13"/>
        <v>737.70491803278685</v>
      </c>
      <c r="Q44" s="76">
        <v>50</v>
      </c>
      <c r="R44" s="113">
        <f t="shared" si="14"/>
        <v>72</v>
      </c>
      <c r="S44" s="298">
        <f t="shared" si="8"/>
        <v>22</v>
      </c>
      <c r="T44" s="113">
        <f t="shared" si="10"/>
        <v>226</v>
      </c>
      <c r="U44" s="92" t="s">
        <v>173</v>
      </c>
      <c r="V44" s="82"/>
    </row>
    <row r="45" spans="1:216" s="19" customFormat="1" ht="15.5" x14ac:dyDescent="0.35">
      <c r="A45" s="103">
        <v>46092</v>
      </c>
      <c r="B45" s="79">
        <v>0.7944444444444444</v>
      </c>
      <c r="C45" s="79">
        <v>0.90763888888888888</v>
      </c>
      <c r="D45" s="73">
        <f t="shared" si="0"/>
        <v>1.1131944444444444</v>
      </c>
      <c r="E45" s="323">
        <f t="shared" si="4"/>
        <v>543843</v>
      </c>
      <c r="F45" s="323">
        <v>544226</v>
      </c>
      <c r="G45" s="302">
        <f t="shared" si="15"/>
        <v>3.83</v>
      </c>
      <c r="H45" s="76">
        <v>81</v>
      </c>
      <c r="I45" s="76"/>
      <c r="J45" s="76"/>
      <c r="K45" s="76"/>
      <c r="L45" s="148">
        <f t="shared" si="16"/>
        <v>2025</v>
      </c>
      <c r="M45" s="148">
        <f t="shared" si="17"/>
        <v>0</v>
      </c>
      <c r="N45" s="148">
        <f t="shared" si="11"/>
        <v>0</v>
      </c>
      <c r="O45" s="148">
        <f t="shared" si="12"/>
        <v>2025</v>
      </c>
      <c r="P45" s="148">
        <f t="shared" si="13"/>
        <v>528.72062663185375</v>
      </c>
      <c r="Q45" s="76">
        <v>100</v>
      </c>
      <c r="R45" s="113">
        <f t="shared" si="14"/>
        <v>81</v>
      </c>
      <c r="S45" s="298">
        <f t="shared" si="8"/>
        <v>-19</v>
      </c>
      <c r="T45" s="113">
        <f t="shared" si="10"/>
        <v>245</v>
      </c>
      <c r="U45" s="92" t="s">
        <v>185</v>
      </c>
      <c r="V45" s="82"/>
    </row>
    <row r="46" spans="1:216" s="230" customFormat="1" ht="15.5" x14ac:dyDescent="0.35">
      <c r="A46" s="103">
        <v>46092</v>
      </c>
      <c r="B46" s="79">
        <v>0.93958333333333333</v>
      </c>
      <c r="C46" s="79">
        <v>0.23958333333333334</v>
      </c>
      <c r="D46" s="73">
        <f t="shared" si="0"/>
        <v>0.29999999999999993</v>
      </c>
      <c r="E46" s="323">
        <f t="shared" si="4"/>
        <v>544226</v>
      </c>
      <c r="F46" s="231">
        <v>545014</v>
      </c>
      <c r="G46" s="302">
        <f t="shared" si="15"/>
        <v>7.88</v>
      </c>
      <c r="H46" s="151">
        <v>167</v>
      </c>
      <c r="I46" s="151"/>
      <c r="J46" s="151"/>
      <c r="K46" s="151"/>
      <c r="L46" s="148">
        <f t="shared" si="16"/>
        <v>4175</v>
      </c>
      <c r="M46" s="148">
        <f t="shared" si="17"/>
        <v>0</v>
      </c>
      <c r="N46" s="148">
        <f t="shared" ref="N46:N56" si="18">+J46*$J$6+(K46*15)</f>
        <v>0</v>
      </c>
      <c r="O46" s="148">
        <f t="shared" ref="O46:O59" si="19">+L46+M46+N46</f>
        <v>4175</v>
      </c>
      <c r="P46" s="148">
        <f t="shared" ref="P46:P59" si="20">(O46/G46)</f>
        <v>529.82233502538077</v>
      </c>
      <c r="Q46" s="151">
        <v>200</v>
      </c>
      <c r="R46" s="113">
        <f t="shared" si="14"/>
        <v>167</v>
      </c>
      <c r="S46" s="298">
        <f t="shared" si="8"/>
        <v>-33</v>
      </c>
      <c r="T46" s="113">
        <f t="shared" si="10"/>
        <v>278</v>
      </c>
      <c r="U46" s="243" t="s">
        <v>189</v>
      </c>
      <c r="V46" s="82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</row>
    <row r="47" spans="1:216" s="19" customFormat="1" ht="15.5" x14ac:dyDescent="0.35">
      <c r="A47" s="103">
        <v>46093</v>
      </c>
      <c r="B47" s="79">
        <v>0.25694444444444442</v>
      </c>
      <c r="C47" s="79">
        <v>0.5805555555555556</v>
      </c>
      <c r="D47" s="73">
        <f t="shared" si="0"/>
        <v>1.3236111111111113</v>
      </c>
      <c r="E47" s="323">
        <f t="shared" si="4"/>
        <v>545014</v>
      </c>
      <c r="F47" s="113">
        <v>545562</v>
      </c>
      <c r="G47" s="302">
        <f t="shared" si="15"/>
        <v>5.48</v>
      </c>
      <c r="H47" s="76">
        <v>114</v>
      </c>
      <c r="I47" s="76"/>
      <c r="J47" s="76"/>
      <c r="K47" s="76"/>
      <c r="L47" s="148">
        <f t="shared" si="16"/>
        <v>2850</v>
      </c>
      <c r="M47" s="148">
        <f t="shared" si="17"/>
        <v>0</v>
      </c>
      <c r="N47" s="148">
        <f t="shared" si="18"/>
        <v>0</v>
      </c>
      <c r="O47" s="148">
        <f t="shared" si="19"/>
        <v>2850</v>
      </c>
      <c r="P47" s="148">
        <f t="shared" si="20"/>
        <v>520.07299270072986</v>
      </c>
      <c r="Q47" s="76">
        <v>150</v>
      </c>
      <c r="R47" s="113">
        <f>H47</f>
        <v>114</v>
      </c>
      <c r="S47" s="298">
        <f t="shared" si="8"/>
        <v>-36</v>
      </c>
      <c r="T47" s="113">
        <f t="shared" si="10"/>
        <v>314</v>
      </c>
      <c r="U47" s="243" t="s">
        <v>164</v>
      </c>
      <c r="V47" s="82"/>
    </row>
    <row r="48" spans="1:216" s="19" customFormat="1" ht="15.5" x14ac:dyDescent="0.35">
      <c r="A48" s="103">
        <v>46093</v>
      </c>
      <c r="B48" s="79">
        <v>0.59236111111111112</v>
      </c>
      <c r="C48" s="79">
        <v>0.74722222222222223</v>
      </c>
      <c r="D48" s="73">
        <f t="shared" si="0"/>
        <v>1.1548611111111111</v>
      </c>
      <c r="E48" s="323">
        <f t="shared" si="4"/>
        <v>545562</v>
      </c>
      <c r="F48" s="323">
        <v>545967</v>
      </c>
      <c r="G48" s="302">
        <f t="shared" si="15"/>
        <v>4.05</v>
      </c>
      <c r="H48" s="76">
        <v>67</v>
      </c>
      <c r="I48" s="76"/>
      <c r="J48" s="76"/>
      <c r="K48" s="76">
        <v>30</v>
      </c>
      <c r="L48" s="148">
        <f t="shared" si="16"/>
        <v>1675</v>
      </c>
      <c r="M48" s="148">
        <f t="shared" si="17"/>
        <v>0</v>
      </c>
      <c r="N48" s="148">
        <f t="shared" si="18"/>
        <v>450</v>
      </c>
      <c r="O48" s="148">
        <f t="shared" si="19"/>
        <v>2125</v>
      </c>
      <c r="P48" s="148">
        <f t="shared" si="20"/>
        <v>524.69135802469134</v>
      </c>
      <c r="Q48" s="76">
        <v>100</v>
      </c>
      <c r="R48" s="113">
        <f>H48</f>
        <v>67</v>
      </c>
      <c r="S48" s="298">
        <f t="shared" si="8"/>
        <v>-33</v>
      </c>
      <c r="T48" s="113">
        <f t="shared" si="10"/>
        <v>347</v>
      </c>
      <c r="U48" s="243" t="s">
        <v>173</v>
      </c>
      <c r="V48" s="82"/>
    </row>
    <row r="49" spans="1:22" s="19" customFormat="1" ht="15.5" x14ac:dyDescent="0.35">
      <c r="A49" s="103">
        <v>46093</v>
      </c>
      <c r="B49" s="79">
        <v>0.76249999999999996</v>
      </c>
      <c r="C49" s="79">
        <v>0.90416666666666667</v>
      </c>
      <c r="D49" s="73">
        <f t="shared" si="0"/>
        <v>1.1416666666666668</v>
      </c>
      <c r="E49" s="323">
        <f t="shared" si="4"/>
        <v>545967</v>
      </c>
      <c r="F49" s="323">
        <v>546365</v>
      </c>
      <c r="G49" s="302">
        <f t="shared" si="15"/>
        <v>3.98</v>
      </c>
      <c r="H49" s="76">
        <v>81</v>
      </c>
      <c r="I49" s="76"/>
      <c r="J49" s="76"/>
      <c r="K49" s="76"/>
      <c r="L49" s="148">
        <f t="shared" si="16"/>
        <v>2025</v>
      </c>
      <c r="M49" s="148">
        <f t="shared" si="17"/>
        <v>0</v>
      </c>
      <c r="N49" s="148">
        <f t="shared" si="18"/>
        <v>0</v>
      </c>
      <c r="O49" s="148">
        <f t="shared" si="19"/>
        <v>2025</v>
      </c>
      <c r="P49" s="148">
        <f t="shared" si="20"/>
        <v>508.79396984924625</v>
      </c>
      <c r="Q49" s="76">
        <v>100</v>
      </c>
      <c r="R49" s="113">
        <f>H49</f>
        <v>81</v>
      </c>
      <c r="S49" s="298">
        <f t="shared" si="8"/>
        <v>-19</v>
      </c>
      <c r="T49" s="113">
        <f t="shared" si="10"/>
        <v>366</v>
      </c>
      <c r="U49" s="243" t="s">
        <v>173</v>
      </c>
      <c r="V49" s="82"/>
    </row>
    <row r="50" spans="1:22" s="19" customFormat="1" ht="15.5" x14ac:dyDescent="0.35">
      <c r="A50" s="103">
        <v>46093</v>
      </c>
      <c r="B50" s="79">
        <v>0.93194444444444446</v>
      </c>
      <c r="C50" s="79">
        <v>0.24305555555555555</v>
      </c>
      <c r="D50" s="73">
        <f t="shared" si="0"/>
        <v>0.31111111111111112</v>
      </c>
      <c r="E50" s="323">
        <f t="shared" si="4"/>
        <v>546365</v>
      </c>
      <c r="F50" s="323">
        <v>547159</v>
      </c>
      <c r="G50" s="302">
        <f t="shared" si="1"/>
        <v>7.94</v>
      </c>
      <c r="H50" s="76">
        <v>174</v>
      </c>
      <c r="I50" s="76"/>
      <c r="J50" s="76"/>
      <c r="K50" s="76"/>
      <c r="L50" s="148">
        <f t="shared" si="2"/>
        <v>4350</v>
      </c>
      <c r="M50" s="148">
        <f t="shared" ref="M50:M56" si="21">+$I$6*I50</f>
        <v>0</v>
      </c>
      <c r="N50" s="148">
        <f t="shared" si="18"/>
        <v>0</v>
      </c>
      <c r="O50" s="148">
        <f t="shared" si="19"/>
        <v>4350</v>
      </c>
      <c r="P50" s="148">
        <f t="shared" si="20"/>
        <v>547.85894206549119</v>
      </c>
      <c r="Q50" s="76">
        <v>319</v>
      </c>
      <c r="R50" s="113">
        <f t="shared" ref="R50:R56" si="22">H50</f>
        <v>174</v>
      </c>
      <c r="S50" s="298">
        <f t="shared" si="8"/>
        <v>-145</v>
      </c>
      <c r="T50" s="113">
        <f t="shared" si="10"/>
        <v>511</v>
      </c>
      <c r="U50" s="243" t="s">
        <v>189</v>
      </c>
      <c r="V50" s="82"/>
    </row>
    <row r="51" spans="1:22" s="37" customFormat="1" ht="15.5" x14ac:dyDescent="0.35">
      <c r="A51" s="103">
        <v>46094</v>
      </c>
      <c r="B51" s="79">
        <v>0.25347222222222221</v>
      </c>
      <c r="C51" s="79">
        <v>0.57986111111111116</v>
      </c>
      <c r="D51" s="73">
        <f t="shared" ref="D51:D56" si="23">1+C51-B51</f>
        <v>1.3263888888888888</v>
      </c>
      <c r="E51" s="323">
        <f t="shared" si="4"/>
        <v>547159</v>
      </c>
      <c r="F51" s="231">
        <v>547967</v>
      </c>
      <c r="G51" s="302">
        <f t="shared" si="1"/>
        <v>8.08</v>
      </c>
      <c r="H51" s="151">
        <v>177</v>
      </c>
      <c r="I51" s="151"/>
      <c r="J51" s="151"/>
      <c r="K51" s="151"/>
      <c r="L51" s="151">
        <f t="shared" si="2"/>
        <v>4425</v>
      </c>
      <c r="M51" s="151">
        <f t="shared" si="21"/>
        <v>0</v>
      </c>
      <c r="N51" s="151">
        <f t="shared" si="18"/>
        <v>0</v>
      </c>
      <c r="O51" s="151">
        <f t="shared" si="19"/>
        <v>4425</v>
      </c>
      <c r="P51" s="151">
        <f t="shared" si="20"/>
        <v>547.64851485148517</v>
      </c>
      <c r="Q51" s="151">
        <v>200</v>
      </c>
      <c r="R51" s="112">
        <f t="shared" si="22"/>
        <v>177</v>
      </c>
      <c r="S51" s="298">
        <f t="shared" si="8"/>
        <v>-23</v>
      </c>
      <c r="T51" s="113">
        <f t="shared" si="10"/>
        <v>534</v>
      </c>
      <c r="U51" s="243" t="s">
        <v>217</v>
      </c>
      <c r="V51" s="82"/>
    </row>
    <row r="52" spans="1:22" s="19" customFormat="1" ht="15.5" x14ac:dyDescent="0.35">
      <c r="A52" s="103">
        <v>46094</v>
      </c>
      <c r="B52" s="79">
        <v>0.59375</v>
      </c>
      <c r="C52" s="79">
        <v>0.74791666666666667</v>
      </c>
      <c r="D52" s="73">
        <f t="shared" si="23"/>
        <v>1.1541666666666668</v>
      </c>
      <c r="E52" s="323">
        <f t="shared" si="4"/>
        <v>547967</v>
      </c>
      <c r="F52" s="323">
        <v>548374</v>
      </c>
      <c r="G52" s="302">
        <f t="shared" si="1"/>
        <v>4.07</v>
      </c>
      <c r="H52" s="76">
        <v>73</v>
      </c>
      <c r="I52" s="76"/>
      <c r="J52" s="76"/>
      <c r="K52" s="76"/>
      <c r="L52" s="148">
        <f t="shared" si="2"/>
        <v>1825</v>
      </c>
      <c r="M52" s="148">
        <f t="shared" si="21"/>
        <v>0</v>
      </c>
      <c r="N52" s="148">
        <f t="shared" si="18"/>
        <v>0</v>
      </c>
      <c r="O52" s="148">
        <f t="shared" si="19"/>
        <v>1825</v>
      </c>
      <c r="P52" s="148">
        <f t="shared" si="20"/>
        <v>448.40294840294837</v>
      </c>
      <c r="Q52" s="76">
        <v>100</v>
      </c>
      <c r="R52" s="113">
        <f t="shared" si="22"/>
        <v>73</v>
      </c>
      <c r="S52" s="298">
        <f t="shared" si="8"/>
        <v>-27</v>
      </c>
      <c r="T52" s="113">
        <f t="shared" si="10"/>
        <v>561</v>
      </c>
      <c r="U52" s="243" t="s">
        <v>197</v>
      </c>
      <c r="V52" s="82"/>
    </row>
    <row r="53" spans="1:22" s="19" customFormat="1" ht="15.5" x14ac:dyDescent="0.35">
      <c r="A53" s="103">
        <v>46094</v>
      </c>
      <c r="B53" s="79">
        <v>0.76249999999999996</v>
      </c>
      <c r="C53" s="79">
        <v>0.90277777777777779</v>
      </c>
      <c r="D53" s="73">
        <f t="shared" si="23"/>
        <v>1.1402777777777777</v>
      </c>
      <c r="E53" s="323">
        <f t="shared" si="4"/>
        <v>548374</v>
      </c>
      <c r="F53" s="323">
        <v>548702</v>
      </c>
      <c r="G53" s="302">
        <v>4</v>
      </c>
      <c r="H53" s="76">
        <v>38</v>
      </c>
      <c r="I53" s="76"/>
      <c r="J53" s="76"/>
      <c r="K53" s="76">
        <v>46</v>
      </c>
      <c r="L53" s="148">
        <f t="shared" si="2"/>
        <v>950</v>
      </c>
      <c r="M53" s="148">
        <f t="shared" si="21"/>
        <v>0</v>
      </c>
      <c r="N53" s="148">
        <f t="shared" si="18"/>
        <v>690</v>
      </c>
      <c r="O53" s="148">
        <f t="shared" si="19"/>
        <v>1640</v>
      </c>
      <c r="P53" s="148">
        <f t="shared" si="20"/>
        <v>410</v>
      </c>
      <c r="Q53" s="76">
        <v>50</v>
      </c>
      <c r="R53" s="113">
        <f t="shared" si="22"/>
        <v>38</v>
      </c>
      <c r="S53" s="298">
        <f t="shared" si="8"/>
        <v>-12</v>
      </c>
      <c r="T53" s="113">
        <f t="shared" si="10"/>
        <v>573</v>
      </c>
      <c r="U53" s="243" t="s">
        <v>197</v>
      </c>
      <c r="V53" s="82" t="s">
        <v>218</v>
      </c>
    </row>
    <row r="54" spans="1:22" s="19" customFormat="1" ht="15.5" x14ac:dyDescent="0.35">
      <c r="A54" s="103">
        <v>46094</v>
      </c>
      <c r="B54" s="72">
        <v>0.93333333333333335</v>
      </c>
      <c r="C54" s="72">
        <v>0.23958333333333334</v>
      </c>
      <c r="D54" s="73">
        <v>0.91249999999999998</v>
      </c>
      <c r="E54" s="323">
        <f t="shared" si="4"/>
        <v>548702</v>
      </c>
      <c r="F54" s="323">
        <v>549506</v>
      </c>
      <c r="G54" s="302">
        <v>8</v>
      </c>
      <c r="H54" s="76">
        <v>169</v>
      </c>
      <c r="I54" s="76"/>
      <c r="J54" s="76"/>
      <c r="K54" s="76"/>
      <c r="L54" s="148">
        <f t="shared" si="2"/>
        <v>4225</v>
      </c>
      <c r="M54" s="148">
        <f t="shared" si="21"/>
        <v>0</v>
      </c>
      <c r="N54" s="148">
        <f t="shared" si="18"/>
        <v>0</v>
      </c>
      <c r="O54" s="148">
        <f t="shared" si="19"/>
        <v>4225</v>
      </c>
      <c r="P54" s="148">
        <f t="shared" si="20"/>
        <v>528.125</v>
      </c>
      <c r="Q54" s="76">
        <v>180</v>
      </c>
      <c r="R54" s="113">
        <f t="shared" si="22"/>
        <v>169</v>
      </c>
      <c r="S54" s="298">
        <f t="shared" si="8"/>
        <v>-11</v>
      </c>
      <c r="T54" s="113">
        <f t="shared" si="10"/>
        <v>584</v>
      </c>
      <c r="U54" s="243" t="s">
        <v>189</v>
      </c>
      <c r="V54" s="82"/>
    </row>
    <row r="55" spans="1:22" s="19" customFormat="1" ht="15.5" x14ac:dyDescent="0.35">
      <c r="A55" s="103">
        <v>46095</v>
      </c>
      <c r="B55" s="79">
        <v>0.26041666666666669</v>
      </c>
      <c r="C55" s="79">
        <v>0.5708333333333333</v>
      </c>
      <c r="D55" s="73">
        <f t="shared" si="23"/>
        <v>1.3104166666666666</v>
      </c>
      <c r="E55" s="323">
        <f t="shared" si="4"/>
        <v>549506</v>
      </c>
      <c r="F55" s="323">
        <v>550162</v>
      </c>
      <c r="G55" s="302">
        <f t="shared" si="1"/>
        <v>6.56</v>
      </c>
      <c r="H55" s="76">
        <v>170</v>
      </c>
      <c r="I55" s="76"/>
      <c r="J55" s="76"/>
      <c r="K55" s="76"/>
      <c r="L55" s="148">
        <f t="shared" si="2"/>
        <v>4250</v>
      </c>
      <c r="M55" s="148">
        <f t="shared" si="21"/>
        <v>0</v>
      </c>
      <c r="N55" s="148">
        <f t="shared" si="18"/>
        <v>0</v>
      </c>
      <c r="O55" s="148">
        <f t="shared" si="19"/>
        <v>4250</v>
      </c>
      <c r="P55" s="148">
        <f t="shared" si="20"/>
        <v>647.86585365853659</v>
      </c>
      <c r="Q55" s="76">
        <v>200</v>
      </c>
      <c r="R55" s="113">
        <f t="shared" si="22"/>
        <v>170</v>
      </c>
      <c r="S55" s="298">
        <f t="shared" si="8"/>
        <v>-30</v>
      </c>
      <c r="T55" s="113">
        <f t="shared" si="10"/>
        <v>614</v>
      </c>
      <c r="U55" s="243" t="s">
        <v>214</v>
      </c>
      <c r="V55" s="82"/>
    </row>
    <row r="56" spans="1:22" s="19" customFormat="1" ht="15.5" x14ac:dyDescent="0.35">
      <c r="A56" s="103">
        <v>46095</v>
      </c>
      <c r="B56" s="79">
        <v>0.59375</v>
      </c>
      <c r="C56" s="79">
        <v>0.74861111111111112</v>
      </c>
      <c r="D56" s="73">
        <f t="shared" si="23"/>
        <v>1.1548611111111111</v>
      </c>
      <c r="E56" s="323">
        <f t="shared" si="4"/>
        <v>550162</v>
      </c>
      <c r="F56" s="323">
        <v>550730</v>
      </c>
      <c r="G56" s="302">
        <f t="shared" si="1"/>
        <v>5.68</v>
      </c>
      <c r="H56" s="76">
        <v>90</v>
      </c>
      <c r="I56" s="76"/>
      <c r="J56" s="76"/>
      <c r="K56" s="76"/>
      <c r="L56" s="148">
        <f t="shared" si="2"/>
        <v>2250</v>
      </c>
      <c r="M56" s="148">
        <f t="shared" si="21"/>
        <v>0</v>
      </c>
      <c r="N56" s="148">
        <f t="shared" si="18"/>
        <v>0</v>
      </c>
      <c r="O56" s="148">
        <f t="shared" si="19"/>
        <v>2250</v>
      </c>
      <c r="P56" s="148">
        <f t="shared" si="20"/>
        <v>396.12676056338029</v>
      </c>
      <c r="Q56" s="76">
        <v>100</v>
      </c>
      <c r="R56" s="113">
        <f t="shared" si="22"/>
        <v>90</v>
      </c>
      <c r="S56" s="298">
        <f t="shared" si="8"/>
        <v>-10</v>
      </c>
      <c r="T56" s="113">
        <f t="shared" si="10"/>
        <v>624</v>
      </c>
      <c r="U56" s="243" t="s">
        <v>185</v>
      </c>
      <c r="V56" s="82"/>
    </row>
    <row r="57" spans="1:22" ht="15.5" x14ac:dyDescent="0.35">
      <c r="A57" s="103">
        <v>46095</v>
      </c>
      <c r="B57" s="79">
        <v>0.76388888888888884</v>
      </c>
      <c r="C57" s="79">
        <v>0.91041666666666665</v>
      </c>
      <c r="D57" s="73">
        <f>1+C57-B57</f>
        <v>1.1465277777777778</v>
      </c>
      <c r="E57" s="323">
        <f t="shared" si="4"/>
        <v>550730</v>
      </c>
      <c r="F57" s="113">
        <v>551096</v>
      </c>
      <c r="G57" s="302">
        <f t="shared" si="1"/>
        <v>3.66</v>
      </c>
      <c r="H57" s="112">
        <v>74</v>
      </c>
      <c r="I57" s="112"/>
      <c r="J57" s="112"/>
      <c r="K57" s="112"/>
      <c r="L57" s="148">
        <f>+H57*$H$6</f>
        <v>1850</v>
      </c>
      <c r="M57" s="148">
        <f t="shared" ref="M57:M120" si="24">+$I$6*I57</f>
        <v>0</v>
      </c>
      <c r="N57" s="148">
        <f>+J57*$J$6+(K57*15)</f>
        <v>0</v>
      </c>
      <c r="O57" s="148">
        <f t="shared" si="19"/>
        <v>1850</v>
      </c>
      <c r="P57" s="148">
        <f t="shared" si="20"/>
        <v>505.46448087431691</v>
      </c>
      <c r="Q57" s="113">
        <v>100</v>
      </c>
      <c r="R57" s="113">
        <f>H57</f>
        <v>74</v>
      </c>
      <c r="S57" s="298">
        <f t="shared" si="8"/>
        <v>-26</v>
      </c>
      <c r="T57" s="113">
        <f t="shared" si="10"/>
        <v>650</v>
      </c>
      <c r="U57" s="243" t="s">
        <v>176</v>
      </c>
      <c r="V57" s="149"/>
    </row>
    <row r="58" spans="1:22" s="19" customFormat="1" ht="15.5" x14ac:dyDescent="0.35">
      <c r="A58" s="103">
        <v>46095</v>
      </c>
      <c r="B58" s="79">
        <v>0.9604166666666667</v>
      </c>
      <c r="C58" s="79">
        <v>0.24097222222222223</v>
      </c>
      <c r="D58" s="73">
        <f>1+C58-B58</f>
        <v>0.28055555555555545</v>
      </c>
      <c r="E58" s="323">
        <f t="shared" si="4"/>
        <v>551096</v>
      </c>
      <c r="F58" s="323">
        <v>551903</v>
      </c>
      <c r="G58" s="302">
        <f t="shared" si="1"/>
        <v>8.07</v>
      </c>
      <c r="H58" s="76">
        <v>162</v>
      </c>
      <c r="I58" s="76"/>
      <c r="J58" s="76"/>
      <c r="K58" s="76"/>
      <c r="L58" s="148">
        <f>+H58*$H$6</f>
        <v>4050</v>
      </c>
      <c r="M58" s="148">
        <f t="shared" si="24"/>
        <v>0</v>
      </c>
      <c r="N58" s="148">
        <f t="shared" ref="N58:N74" si="25">+J58*$J$6+(K58*15)</f>
        <v>0</v>
      </c>
      <c r="O58" s="148">
        <f t="shared" si="19"/>
        <v>4050</v>
      </c>
      <c r="P58" s="148">
        <f t="shared" si="20"/>
        <v>501.85873605947955</v>
      </c>
      <c r="Q58" s="76">
        <v>150</v>
      </c>
      <c r="R58" s="113">
        <f>H58</f>
        <v>162</v>
      </c>
      <c r="S58" s="298">
        <f t="shared" si="8"/>
        <v>12</v>
      </c>
      <c r="T58" s="113">
        <f t="shared" si="10"/>
        <v>638</v>
      </c>
      <c r="U58" s="243" t="s">
        <v>181</v>
      </c>
      <c r="V58" s="82"/>
    </row>
    <row r="59" spans="1:22" s="19" customFormat="1" ht="15.5" x14ac:dyDescent="0.35">
      <c r="A59" s="103"/>
      <c r="B59" s="72"/>
      <c r="C59" s="72"/>
      <c r="D59" s="73">
        <f>1+C59-B59</f>
        <v>1</v>
      </c>
      <c r="E59" s="323">
        <f t="shared" si="4"/>
        <v>551903</v>
      </c>
      <c r="F59" s="113"/>
      <c r="G59" s="302">
        <f t="shared" si="1"/>
        <v>-5519.03</v>
      </c>
      <c r="H59" s="76"/>
      <c r="I59" s="76"/>
      <c r="J59" s="76"/>
      <c r="K59" s="76"/>
      <c r="L59" s="148">
        <f>+H59*$H$6</f>
        <v>0</v>
      </c>
      <c r="M59" s="148">
        <f t="shared" si="24"/>
        <v>0</v>
      </c>
      <c r="N59" s="148">
        <f t="shared" si="25"/>
        <v>0</v>
      </c>
      <c r="O59" s="148">
        <f t="shared" si="19"/>
        <v>0</v>
      </c>
      <c r="P59" s="148">
        <f t="shared" si="20"/>
        <v>0</v>
      </c>
      <c r="Q59" s="76">
        <v>250</v>
      </c>
      <c r="R59" s="113">
        <f>H59</f>
        <v>0</v>
      </c>
      <c r="S59" s="298">
        <f t="shared" si="8"/>
        <v>-250</v>
      </c>
      <c r="T59" s="113">
        <f t="shared" si="10"/>
        <v>888</v>
      </c>
      <c r="U59" s="243" t="s">
        <v>176</v>
      </c>
      <c r="V59" s="82"/>
    </row>
    <row r="60" spans="1:22" s="19" customFormat="1" ht="15.5" x14ac:dyDescent="0.35">
      <c r="A60" s="103"/>
      <c r="B60" s="79"/>
      <c r="C60" s="79"/>
      <c r="D60" s="73">
        <f>1+C60-B60</f>
        <v>1</v>
      </c>
      <c r="E60" s="323">
        <f t="shared" si="4"/>
        <v>0</v>
      </c>
      <c r="F60" s="113"/>
      <c r="G60" s="302">
        <f t="shared" si="1"/>
        <v>0</v>
      </c>
      <c r="H60" s="76"/>
      <c r="I60" s="76"/>
      <c r="J60" s="76"/>
      <c r="K60" s="76"/>
      <c r="L60" s="148">
        <f>+H60*$H$6</f>
        <v>0</v>
      </c>
      <c r="M60" s="148">
        <f t="shared" si="24"/>
        <v>0</v>
      </c>
      <c r="N60" s="148">
        <f t="shared" si="25"/>
        <v>0</v>
      </c>
      <c r="O60" s="148">
        <f t="shared" ref="O60:O82" si="26">+L60+M60+N60</f>
        <v>0</v>
      </c>
      <c r="P60" s="148" t="e">
        <f t="shared" ref="P60:P100" si="27">(O60/G60)</f>
        <v>#DIV/0!</v>
      </c>
      <c r="Q60" s="76">
        <v>300</v>
      </c>
      <c r="R60" s="113">
        <f t="shared" ref="R60:R72" si="28">H60</f>
        <v>0</v>
      </c>
      <c r="S60" s="298">
        <f t="shared" si="8"/>
        <v>-300</v>
      </c>
      <c r="T60" s="113">
        <f t="shared" si="10"/>
        <v>1188</v>
      </c>
      <c r="U60" s="243" t="s">
        <v>190</v>
      </c>
      <c r="V60" s="82"/>
    </row>
    <row r="61" spans="1:22" s="19" customFormat="1" ht="15.5" x14ac:dyDescent="0.35">
      <c r="A61" s="103"/>
      <c r="B61" s="79"/>
      <c r="C61" s="79"/>
      <c r="D61" s="73">
        <f t="shared" ref="D61:D79" si="29">1+C61-B61</f>
        <v>1</v>
      </c>
      <c r="E61" s="323">
        <f t="shared" si="4"/>
        <v>0</v>
      </c>
      <c r="F61" s="323"/>
      <c r="G61" s="302">
        <f t="shared" si="1"/>
        <v>0</v>
      </c>
      <c r="H61" s="76"/>
      <c r="I61" s="76"/>
      <c r="J61" s="76"/>
      <c r="K61" s="76"/>
      <c r="L61" s="148">
        <f t="shared" ref="L61:L74" si="30">+H61*$H$6</f>
        <v>0</v>
      </c>
      <c r="M61" s="148">
        <f t="shared" si="24"/>
        <v>0</v>
      </c>
      <c r="N61" s="148">
        <f t="shared" si="25"/>
        <v>0</v>
      </c>
      <c r="O61" s="148">
        <f t="shared" si="26"/>
        <v>0</v>
      </c>
      <c r="P61" s="148" t="e">
        <f t="shared" si="27"/>
        <v>#DIV/0!</v>
      </c>
      <c r="Q61" s="76">
        <v>200</v>
      </c>
      <c r="R61" s="113">
        <f t="shared" si="28"/>
        <v>0</v>
      </c>
      <c r="S61" s="298">
        <f t="shared" si="8"/>
        <v>-200</v>
      </c>
      <c r="T61" s="113">
        <f t="shared" si="10"/>
        <v>1388</v>
      </c>
      <c r="U61" s="243" t="s">
        <v>171</v>
      </c>
      <c r="V61" s="82"/>
    </row>
    <row r="62" spans="1:22" s="19" customFormat="1" ht="15.5" x14ac:dyDescent="0.35">
      <c r="A62" s="103"/>
      <c r="B62" s="79"/>
      <c r="C62" s="79"/>
      <c r="D62" s="73">
        <f t="shared" si="29"/>
        <v>1</v>
      </c>
      <c r="E62" s="323">
        <f t="shared" si="4"/>
        <v>0</v>
      </c>
      <c r="F62" s="323"/>
      <c r="G62" s="302">
        <f t="shared" si="1"/>
        <v>0</v>
      </c>
      <c r="H62" s="76"/>
      <c r="I62" s="76"/>
      <c r="J62" s="76"/>
      <c r="K62" s="76"/>
      <c r="L62" s="148">
        <f t="shared" si="30"/>
        <v>0</v>
      </c>
      <c r="M62" s="148">
        <f t="shared" si="24"/>
        <v>0</v>
      </c>
      <c r="N62" s="148">
        <f t="shared" si="25"/>
        <v>0</v>
      </c>
      <c r="O62" s="148">
        <f t="shared" si="26"/>
        <v>0</v>
      </c>
      <c r="P62" s="148" t="e">
        <f t="shared" si="27"/>
        <v>#DIV/0!</v>
      </c>
      <c r="Q62" s="76">
        <v>100</v>
      </c>
      <c r="R62" s="113">
        <f t="shared" si="28"/>
        <v>0</v>
      </c>
      <c r="S62" s="298">
        <f t="shared" si="8"/>
        <v>-100</v>
      </c>
      <c r="T62" s="113">
        <f t="shared" si="10"/>
        <v>1488</v>
      </c>
      <c r="U62" s="243" t="s">
        <v>183</v>
      </c>
      <c r="V62" s="82"/>
    </row>
    <row r="63" spans="1:22" s="19" customFormat="1" ht="15.5" x14ac:dyDescent="0.35">
      <c r="A63" s="103"/>
      <c r="B63" s="79"/>
      <c r="C63" s="79"/>
      <c r="D63" s="73">
        <f t="shared" si="29"/>
        <v>1</v>
      </c>
      <c r="E63" s="323">
        <f t="shared" si="4"/>
        <v>0</v>
      </c>
      <c r="F63" s="323"/>
      <c r="G63" s="302">
        <f t="shared" si="1"/>
        <v>0</v>
      </c>
      <c r="H63" s="76"/>
      <c r="I63" s="76"/>
      <c r="J63" s="76"/>
      <c r="K63" s="76"/>
      <c r="L63" s="148">
        <f t="shared" si="30"/>
        <v>0</v>
      </c>
      <c r="M63" s="148">
        <f t="shared" si="24"/>
        <v>0</v>
      </c>
      <c r="N63" s="148">
        <f t="shared" si="25"/>
        <v>0</v>
      </c>
      <c r="O63" s="148">
        <f t="shared" si="26"/>
        <v>0</v>
      </c>
      <c r="P63" s="148" t="e">
        <f t="shared" si="27"/>
        <v>#DIV/0!</v>
      </c>
      <c r="Q63" s="76">
        <v>100</v>
      </c>
      <c r="R63" s="113">
        <f t="shared" si="28"/>
        <v>0</v>
      </c>
      <c r="S63" s="298">
        <f t="shared" si="8"/>
        <v>-100</v>
      </c>
      <c r="T63" s="113">
        <f t="shared" si="10"/>
        <v>1588</v>
      </c>
      <c r="U63" s="243" t="s">
        <v>183</v>
      </c>
      <c r="V63" s="82"/>
    </row>
    <row r="64" spans="1:22" s="37" customFormat="1" ht="15.5" x14ac:dyDescent="0.35">
      <c r="A64" s="103"/>
      <c r="B64" s="72"/>
      <c r="C64" s="72"/>
      <c r="D64" s="73">
        <f t="shared" si="29"/>
        <v>1</v>
      </c>
      <c r="E64" s="323">
        <f t="shared" si="4"/>
        <v>0</v>
      </c>
      <c r="F64" s="231"/>
      <c r="G64" s="302">
        <f t="shared" si="1"/>
        <v>0</v>
      </c>
      <c r="H64" s="151"/>
      <c r="I64" s="151"/>
      <c r="J64" s="151"/>
      <c r="K64" s="151"/>
      <c r="L64" s="148">
        <f t="shared" si="30"/>
        <v>0</v>
      </c>
      <c r="M64" s="148">
        <f t="shared" si="24"/>
        <v>0</v>
      </c>
      <c r="N64" s="148">
        <f t="shared" si="25"/>
        <v>0</v>
      </c>
      <c r="O64" s="148">
        <f t="shared" si="26"/>
        <v>0</v>
      </c>
      <c r="P64" s="148" t="e">
        <f t="shared" si="27"/>
        <v>#DIV/0!</v>
      </c>
      <c r="Q64" s="151">
        <v>200</v>
      </c>
      <c r="R64" s="113">
        <f t="shared" si="28"/>
        <v>0</v>
      </c>
      <c r="S64" s="298">
        <f t="shared" si="8"/>
        <v>-200</v>
      </c>
      <c r="T64" s="113">
        <f t="shared" si="10"/>
        <v>1788</v>
      </c>
      <c r="U64" s="243" t="s">
        <v>189</v>
      </c>
      <c r="V64" s="82"/>
    </row>
    <row r="65" spans="1:129" s="19" customFormat="1" ht="15.5" x14ac:dyDescent="0.35">
      <c r="A65" s="103"/>
      <c r="B65" s="79"/>
      <c r="C65" s="79"/>
      <c r="D65" s="73">
        <f t="shared" si="29"/>
        <v>1</v>
      </c>
      <c r="E65" s="323">
        <f t="shared" si="4"/>
        <v>0</v>
      </c>
      <c r="F65" s="323"/>
      <c r="G65" s="302">
        <f t="shared" si="1"/>
        <v>0</v>
      </c>
      <c r="H65" s="76"/>
      <c r="I65" s="76"/>
      <c r="J65" s="76"/>
      <c r="K65" s="76"/>
      <c r="L65" s="148">
        <f t="shared" si="30"/>
        <v>0</v>
      </c>
      <c r="M65" s="148">
        <f t="shared" si="24"/>
        <v>0</v>
      </c>
      <c r="N65" s="148">
        <f t="shared" si="25"/>
        <v>0</v>
      </c>
      <c r="O65" s="148">
        <f t="shared" si="26"/>
        <v>0</v>
      </c>
      <c r="P65" s="148" t="e">
        <f t="shared" si="27"/>
        <v>#DIV/0!</v>
      </c>
      <c r="Q65" s="76">
        <v>200</v>
      </c>
      <c r="R65" s="113">
        <f t="shared" si="28"/>
        <v>0</v>
      </c>
      <c r="S65" s="298">
        <f t="shared" si="8"/>
        <v>-200</v>
      </c>
      <c r="T65" s="113">
        <f t="shared" si="10"/>
        <v>1988</v>
      </c>
      <c r="U65" s="243" t="s">
        <v>185</v>
      </c>
      <c r="V65" s="82"/>
    </row>
    <row r="66" spans="1:129" s="19" customFormat="1" ht="15.5" x14ac:dyDescent="0.35">
      <c r="A66" s="103"/>
      <c r="B66" s="79"/>
      <c r="C66" s="79"/>
      <c r="D66" s="73">
        <f t="shared" si="29"/>
        <v>1</v>
      </c>
      <c r="E66" s="323">
        <f t="shared" si="4"/>
        <v>0</v>
      </c>
      <c r="F66" s="323"/>
      <c r="G66" s="302">
        <f t="shared" si="1"/>
        <v>0</v>
      </c>
      <c r="H66" s="76"/>
      <c r="I66" s="76"/>
      <c r="J66" s="76"/>
      <c r="K66" s="76"/>
      <c r="L66" s="148">
        <f t="shared" si="30"/>
        <v>0</v>
      </c>
      <c r="M66" s="148">
        <f t="shared" si="24"/>
        <v>0</v>
      </c>
      <c r="N66" s="148">
        <f t="shared" si="25"/>
        <v>0</v>
      </c>
      <c r="O66" s="148">
        <f t="shared" si="26"/>
        <v>0</v>
      </c>
      <c r="P66" s="148" t="e">
        <f t="shared" si="27"/>
        <v>#DIV/0!</v>
      </c>
      <c r="Q66" s="76">
        <v>100</v>
      </c>
      <c r="R66" s="113">
        <f t="shared" si="28"/>
        <v>0</v>
      </c>
      <c r="S66" s="298">
        <f t="shared" si="8"/>
        <v>-100</v>
      </c>
      <c r="T66" s="113">
        <f t="shared" si="10"/>
        <v>2088</v>
      </c>
      <c r="U66" s="243" t="s">
        <v>183</v>
      </c>
      <c r="V66" s="82"/>
    </row>
    <row r="67" spans="1:129" s="19" customFormat="1" ht="15.5" x14ac:dyDescent="0.35">
      <c r="A67" s="103"/>
      <c r="B67" s="79"/>
      <c r="C67" s="79"/>
      <c r="D67" s="73">
        <f t="shared" si="29"/>
        <v>1</v>
      </c>
      <c r="E67" s="323">
        <f t="shared" si="4"/>
        <v>0</v>
      </c>
      <c r="F67" s="323"/>
      <c r="G67" s="302">
        <f t="shared" si="1"/>
        <v>0</v>
      </c>
      <c r="H67" s="76"/>
      <c r="I67" s="76"/>
      <c r="J67" s="76"/>
      <c r="K67" s="76"/>
      <c r="L67" s="148">
        <f t="shared" si="30"/>
        <v>0</v>
      </c>
      <c r="M67" s="148">
        <f t="shared" si="24"/>
        <v>0</v>
      </c>
      <c r="N67" s="148">
        <f t="shared" si="25"/>
        <v>0</v>
      </c>
      <c r="O67" s="148">
        <f t="shared" si="26"/>
        <v>0</v>
      </c>
      <c r="P67" s="148" t="e">
        <f t="shared" si="27"/>
        <v>#DIV/0!</v>
      </c>
      <c r="Q67" s="76">
        <v>100</v>
      </c>
      <c r="R67" s="113">
        <f t="shared" si="28"/>
        <v>0</v>
      </c>
      <c r="S67" s="298">
        <f t="shared" si="8"/>
        <v>-100</v>
      </c>
      <c r="T67" s="113">
        <f t="shared" si="10"/>
        <v>2188</v>
      </c>
      <c r="U67" s="243" t="s">
        <v>164</v>
      </c>
      <c r="V67" s="82"/>
    </row>
    <row r="68" spans="1:129" s="19" customFormat="1" ht="15.5" x14ac:dyDescent="0.35">
      <c r="A68" s="103"/>
      <c r="B68" s="79"/>
      <c r="C68" s="79"/>
      <c r="D68" s="73">
        <f t="shared" si="29"/>
        <v>1</v>
      </c>
      <c r="E68" s="323">
        <f t="shared" si="4"/>
        <v>0</v>
      </c>
      <c r="F68" s="323"/>
      <c r="G68" s="302">
        <f t="shared" si="1"/>
        <v>0</v>
      </c>
      <c r="H68" s="76"/>
      <c r="I68" s="76"/>
      <c r="J68" s="76"/>
      <c r="K68" s="76"/>
      <c r="L68" s="148">
        <f t="shared" si="30"/>
        <v>0</v>
      </c>
      <c r="M68" s="148">
        <f t="shared" si="24"/>
        <v>0</v>
      </c>
      <c r="N68" s="148">
        <f t="shared" si="25"/>
        <v>0</v>
      </c>
      <c r="O68" s="148">
        <f t="shared" si="26"/>
        <v>0</v>
      </c>
      <c r="P68" s="148" t="e">
        <f t="shared" si="27"/>
        <v>#DIV/0!</v>
      </c>
      <c r="Q68" s="76">
        <v>150</v>
      </c>
      <c r="R68" s="113">
        <f t="shared" si="28"/>
        <v>0</v>
      </c>
      <c r="S68" s="298">
        <f t="shared" si="8"/>
        <v>-150</v>
      </c>
      <c r="T68" s="113">
        <f t="shared" si="10"/>
        <v>2338</v>
      </c>
      <c r="U68" s="243" t="s">
        <v>181</v>
      </c>
      <c r="V68" s="82"/>
    </row>
    <row r="69" spans="1:129" s="19" customFormat="1" ht="15.5" x14ac:dyDescent="0.35">
      <c r="A69" s="103"/>
      <c r="B69" s="79"/>
      <c r="C69" s="79"/>
      <c r="D69" s="73">
        <f t="shared" si="29"/>
        <v>1</v>
      </c>
      <c r="E69" s="323">
        <f t="shared" si="4"/>
        <v>0</v>
      </c>
      <c r="F69" s="323"/>
      <c r="G69" s="302">
        <f t="shared" si="1"/>
        <v>0</v>
      </c>
      <c r="H69" s="76"/>
      <c r="I69" s="76"/>
      <c r="J69" s="76"/>
      <c r="K69" s="76"/>
      <c r="L69" s="148">
        <f t="shared" si="30"/>
        <v>0</v>
      </c>
      <c r="M69" s="148">
        <f t="shared" si="24"/>
        <v>0</v>
      </c>
      <c r="N69" s="148">
        <f t="shared" si="25"/>
        <v>0</v>
      </c>
      <c r="O69" s="148">
        <f t="shared" si="26"/>
        <v>0</v>
      </c>
      <c r="P69" s="148" t="e">
        <f t="shared" si="27"/>
        <v>#DIV/0!</v>
      </c>
      <c r="Q69" s="76">
        <v>100</v>
      </c>
      <c r="R69" s="113">
        <f t="shared" si="28"/>
        <v>0</v>
      </c>
      <c r="S69" s="298">
        <f t="shared" si="8"/>
        <v>-100</v>
      </c>
      <c r="T69" s="113">
        <f t="shared" si="10"/>
        <v>2438</v>
      </c>
      <c r="U69" s="243" t="s">
        <v>173</v>
      </c>
      <c r="V69" s="82"/>
    </row>
    <row r="70" spans="1:129" s="19" customFormat="1" ht="15.5" x14ac:dyDescent="0.35">
      <c r="A70" s="103"/>
      <c r="B70" s="79"/>
      <c r="C70" s="79"/>
      <c r="D70" s="73">
        <f t="shared" si="29"/>
        <v>1</v>
      </c>
      <c r="E70" s="323">
        <f t="shared" si="4"/>
        <v>0</v>
      </c>
      <c r="F70" s="323"/>
      <c r="G70" s="302">
        <f t="shared" si="1"/>
        <v>0</v>
      </c>
      <c r="H70" s="76"/>
      <c r="I70" s="76"/>
      <c r="J70" s="76"/>
      <c r="K70" s="76"/>
      <c r="L70" s="148">
        <f t="shared" si="30"/>
        <v>0</v>
      </c>
      <c r="M70" s="148">
        <f t="shared" si="24"/>
        <v>0</v>
      </c>
      <c r="N70" s="148">
        <f t="shared" si="25"/>
        <v>0</v>
      </c>
      <c r="O70" s="148">
        <f t="shared" si="26"/>
        <v>0</v>
      </c>
      <c r="P70" s="148" t="e">
        <f t="shared" si="27"/>
        <v>#DIV/0!</v>
      </c>
      <c r="Q70" s="76">
        <v>50</v>
      </c>
      <c r="R70" s="113">
        <f t="shared" si="28"/>
        <v>0</v>
      </c>
      <c r="S70" s="298">
        <f t="shared" si="8"/>
        <v>-50</v>
      </c>
      <c r="T70" s="113">
        <f t="shared" si="10"/>
        <v>2488</v>
      </c>
      <c r="U70" s="243" t="s">
        <v>183</v>
      </c>
      <c r="V70" s="82"/>
    </row>
    <row r="71" spans="1:129" s="19" customFormat="1" ht="15.5" x14ac:dyDescent="0.35">
      <c r="A71" s="103"/>
      <c r="B71" s="79"/>
      <c r="C71" s="79"/>
      <c r="D71" s="73">
        <f t="shared" si="29"/>
        <v>1</v>
      </c>
      <c r="E71" s="323">
        <f t="shared" si="4"/>
        <v>0</v>
      </c>
      <c r="F71" s="323"/>
      <c r="G71" s="302">
        <f t="shared" si="1"/>
        <v>0</v>
      </c>
      <c r="H71" s="76"/>
      <c r="I71" s="76"/>
      <c r="J71" s="76"/>
      <c r="K71" s="76"/>
      <c r="L71" s="148">
        <f t="shared" si="30"/>
        <v>0</v>
      </c>
      <c r="M71" s="148">
        <f t="shared" si="24"/>
        <v>0</v>
      </c>
      <c r="N71" s="148">
        <f t="shared" si="25"/>
        <v>0</v>
      </c>
      <c r="O71" s="148">
        <f t="shared" si="26"/>
        <v>0</v>
      </c>
      <c r="P71" s="148" t="e">
        <f t="shared" si="27"/>
        <v>#DIV/0!</v>
      </c>
      <c r="Q71" s="76">
        <v>100</v>
      </c>
      <c r="R71" s="113">
        <f t="shared" si="28"/>
        <v>0</v>
      </c>
      <c r="S71" s="298">
        <f t="shared" si="8"/>
        <v>-100</v>
      </c>
      <c r="T71" s="113">
        <f t="shared" si="10"/>
        <v>2588</v>
      </c>
      <c r="U71" s="243" t="s">
        <v>176</v>
      </c>
      <c r="V71" s="82"/>
    </row>
    <row r="72" spans="1:129" s="19" customFormat="1" ht="15.5" x14ac:dyDescent="0.35">
      <c r="A72" s="103"/>
      <c r="B72" s="79"/>
      <c r="C72" s="79"/>
      <c r="D72" s="73">
        <f t="shared" si="29"/>
        <v>1</v>
      </c>
      <c r="E72" s="323">
        <f t="shared" ref="E72:E82" si="31">F71</f>
        <v>0</v>
      </c>
      <c r="F72" s="323"/>
      <c r="G72" s="302">
        <f t="shared" ref="G72:G103" si="32">(F72-E72)/100</f>
        <v>0</v>
      </c>
      <c r="H72" s="76"/>
      <c r="I72" s="76"/>
      <c r="J72" s="76"/>
      <c r="K72" s="76"/>
      <c r="L72" s="148">
        <f t="shared" si="30"/>
        <v>0</v>
      </c>
      <c r="M72" s="148">
        <f t="shared" si="24"/>
        <v>0</v>
      </c>
      <c r="N72" s="148">
        <f t="shared" si="25"/>
        <v>0</v>
      </c>
      <c r="O72" s="148">
        <f t="shared" si="26"/>
        <v>0</v>
      </c>
      <c r="P72" s="148" t="e">
        <f t="shared" si="27"/>
        <v>#DIV/0!</v>
      </c>
      <c r="Q72" s="76">
        <v>150</v>
      </c>
      <c r="R72" s="113">
        <f t="shared" si="28"/>
        <v>0</v>
      </c>
      <c r="S72" s="298">
        <f t="shared" ref="S72:S135" si="33">R72-Q72</f>
        <v>-150</v>
      </c>
      <c r="T72" s="113">
        <f t="shared" si="10"/>
        <v>2738</v>
      </c>
      <c r="U72" s="243" t="s">
        <v>181</v>
      </c>
      <c r="V72" s="82"/>
    </row>
    <row r="73" spans="1:129" s="19" customFormat="1" ht="15.5" x14ac:dyDescent="0.35">
      <c r="A73" s="103"/>
      <c r="B73" s="79"/>
      <c r="C73" s="79"/>
      <c r="D73" s="73">
        <f t="shared" si="29"/>
        <v>1</v>
      </c>
      <c r="E73" s="323">
        <f t="shared" si="31"/>
        <v>0</v>
      </c>
      <c r="F73" s="323"/>
      <c r="G73" s="302">
        <f t="shared" si="32"/>
        <v>0</v>
      </c>
      <c r="H73" s="76"/>
      <c r="I73" s="76"/>
      <c r="J73" s="76"/>
      <c r="K73" s="76"/>
      <c r="L73" s="148">
        <f t="shared" si="30"/>
        <v>0</v>
      </c>
      <c r="M73" s="148">
        <f t="shared" si="24"/>
        <v>0</v>
      </c>
      <c r="N73" s="148">
        <f t="shared" si="25"/>
        <v>0</v>
      </c>
      <c r="O73" s="148">
        <f t="shared" si="26"/>
        <v>0</v>
      </c>
      <c r="P73" s="148" t="e">
        <f t="shared" si="27"/>
        <v>#DIV/0!</v>
      </c>
      <c r="Q73" s="76">
        <v>150</v>
      </c>
      <c r="R73" s="113">
        <f>H73</f>
        <v>0</v>
      </c>
      <c r="S73" s="298">
        <f t="shared" si="33"/>
        <v>-150</v>
      </c>
      <c r="T73" s="113">
        <f t="shared" si="10"/>
        <v>2888</v>
      </c>
      <c r="U73" s="243" t="s">
        <v>185</v>
      </c>
      <c r="V73" s="82"/>
    </row>
    <row r="74" spans="1:129" s="19" customFormat="1" ht="15.5" x14ac:dyDescent="0.35">
      <c r="A74" s="103"/>
      <c r="B74" s="79"/>
      <c r="C74" s="79"/>
      <c r="D74" s="73">
        <f t="shared" si="29"/>
        <v>1</v>
      </c>
      <c r="E74" s="323">
        <f t="shared" si="31"/>
        <v>0</v>
      </c>
      <c r="F74" s="113"/>
      <c r="G74" s="302">
        <f t="shared" si="32"/>
        <v>0</v>
      </c>
      <c r="H74" s="112"/>
      <c r="I74" s="76"/>
      <c r="J74" s="76"/>
      <c r="K74" s="76"/>
      <c r="L74" s="148">
        <f t="shared" si="30"/>
        <v>0</v>
      </c>
      <c r="M74" s="148">
        <f t="shared" si="24"/>
        <v>0</v>
      </c>
      <c r="N74" s="148">
        <f t="shared" si="25"/>
        <v>0</v>
      </c>
      <c r="O74" s="148">
        <f t="shared" si="26"/>
        <v>0</v>
      </c>
      <c r="P74" s="148" t="e">
        <f t="shared" si="27"/>
        <v>#DIV/0!</v>
      </c>
      <c r="Q74" s="76">
        <v>100</v>
      </c>
      <c r="R74" s="113">
        <f t="shared" ref="R74:R106" si="34">H74</f>
        <v>0</v>
      </c>
      <c r="S74" s="298">
        <f t="shared" si="33"/>
        <v>-100</v>
      </c>
      <c r="T74" s="113">
        <f t="shared" si="10"/>
        <v>2988</v>
      </c>
      <c r="U74" s="243" t="s">
        <v>175</v>
      </c>
      <c r="V74" s="82"/>
    </row>
    <row r="75" spans="1:129" ht="15.5" x14ac:dyDescent="0.35">
      <c r="A75" s="103"/>
      <c r="B75" s="79"/>
      <c r="C75" s="79"/>
      <c r="D75" s="73">
        <f t="shared" si="29"/>
        <v>1</v>
      </c>
      <c r="E75" s="323">
        <f t="shared" si="31"/>
        <v>0</v>
      </c>
      <c r="F75" s="113"/>
      <c r="G75" s="302">
        <f t="shared" si="32"/>
        <v>0</v>
      </c>
      <c r="H75" s="112"/>
      <c r="I75" s="112"/>
      <c r="J75" s="112"/>
      <c r="K75" s="112"/>
      <c r="L75" s="148">
        <f>+H75*$H$6</f>
        <v>0</v>
      </c>
      <c r="M75" s="148">
        <f t="shared" si="24"/>
        <v>0</v>
      </c>
      <c r="N75" s="148">
        <f>+J75*$J$6+(K75*15)</f>
        <v>0</v>
      </c>
      <c r="O75" s="148">
        <f t="shared" si="26"/>
        <v>0</v>
      </c>
      <c r="P75" s="148" t="e">
        <f t="shared" si="27"/>
        <v>#DIV/0!</v>
      </c>
      <c r="Q75" s="113">
        <v>100</v>
      </c>
      <c r="R75" s="113">
        <f t="shared" si="34"/>
        <v>0</v>
      </c>
      <c r="S75" s="298">
        <f t="shared" si="33"/>
        <v>-100</v>
      </c>
      <c r="T75" s="113">
        <f t="shared" ref="T75:T138" si="35">T74-(S75)</f>
        <v>3088</v>
      </c>
      <c r="U75" s="243" t="s">
        <v>176</v>
      </c>
      <c r="V75" s="82"/>
    </row>
    <row r="76" spans="1:129" s="19" customFormat="1" ht="15.5" x14ac:dyDescent="0.35">
      <c r="A76" s="103"/>
      <c r="B76" s="79"/>
      <c r="C76" s="79"/>
      <c r="D76" s="73">
        <f t="shared" si="29"/>
        <v>1</v>
      </c>
      <c r="E76" s="323">
        <f t="shared" si="31"/>
        <v>0</v>
      </c>
      <c r="F76" s="113"/>
      <c r="G76" s="302">
        <f t="shared" si="32"/>
        <v>0</v>
      </c>
      <c r="H76" s="76"/>
      <c r="I76" s="76"/>
      <c r="J76" s="76"/>
      <c r="K76" s="76"/>
      <c r="L76" s="148">
        <f>+H76*$H$6</f>
        <v>0</v>
      </c>
      <c r="M76" s="148">
        <f t="shared" si="24"/>
        <v>0</v>
      </c>
      <c r="N76" s="148">
        <f t="shared" ref="N76:N116" si="36">+J76*$J$6+(K76*15)</f>
        <v>0</v>
      </c>
      <c r="O76" s="148">
        <f t="shared" si="26"/>
        <v>0</v>
      </c>
      <c r="P76" s="148" t="e">
        <f t="shared" si="27"/>
        <v>#DIV/0!</v>
      </c>
      <c r="Q76" s="76">
        <v>150</v>
      </c>
      <c r="R76" s="113">
        <f t="shared" si="34"/>
        <v>0</v>
      </c>
      <c r="S76" s="298">
        <f t="shared" si="33"/>
        <v>-150</v>
      </c>
      <c r="T76" s="113">
        <f t="shared" si="35"/>
        <v>3238</v>
      </c>
      <c r="U76" s="243" t="s">
        <v>181</v>
      </c>
      <c r="V76" s="82"/>
    </row>
    <row r="77" spans="1:129" s="311" customFormat="1" ht="15.5" x14ac:dyDescent="0.35">
      <c r="A77" s="103"/>
      <c r="B77" s="79"/>
      <c r="C77" s="79"/>
      <c r="D77" s="73">
        <f t="shared" si="29"/>
        <v>1</v>
      </c>
      <c r="E77" s="323">
        <f t="shared" si="31"/>
        <v>0</v>
      </c>
      <c r="F77" s="113"/>
      <c r="G77" s="302">
        <f t="shared" si="32"/>
        <v>0</v>
      </c>
      <c r="H77" s="151"/>
      <c r="I77" s="151"/>
      <c r="J77" s="151"/>
      <c r="K77" s="151"/>
      <c r="L77" s="151">
        <f>+H77*$H$6</f>
        <v>0</v>
      </c>
      <c r="M77" s="151">
        <f t="shared" si="24"/>
        <v>0</v>
      </c>
      <c r="N77" s="151">
        <f t="shared" si="36"/>
        <v>0</v>
      </c>
      <c r="O77" s="151">
        <f t="shared" si="26"/>
        <v>0</v>
      </c>
      <c r="P77" s="151" t="e">
        <f t="shared" si="27"/>
        <v>#DIV/0!</v>
      </c>
      <c r="Q77" s="151">
        <v>200</v>
      </c>
      <c r="R77" s="112">
        <f t="shared" si="34"/>
        <v>0</v>
      </c>
      <c r="S77" s="298">
        <f t="shared" si="33"/>
        <v>-200</v>
      </c>
      <c r="T77" s="113">
        <f t="shared" si="35"/>
        <v>3438</v>
      </c>
      <c r="U77" s="243" t="s">
        <v>185</v>
      </c>
      <c r="V77" s="82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</row>
    <row r="78" spans="1:129" s="19" customFormat="1" ht="15.5" x14ac:dyDescent="0.35">
      <c r="A78" s="103"/>
      <c r="B78" s="79"/>
      <c r="C78" s="79"/>
      <c r="D78" s="73">
        <f t="shared" si="29"/>
        <v>1</v>
      </c>
      <c r="E78" s="323">
        <f t="shared" si="31"/>
        <v>0</v>
      </c>
      <c r="F78" s="113"/>
      <c r="G78" s="302">
        <f t="shared" si="32"/>
        <v>0</v>
      </c>
      <c r="H78" s="76"/>
      <c r="I78" s="76"/>
      <c r="J78" s="76"/>
      <c r="K78" s="76"/>
      <c r="L78" s="148">
        <f>+H78*$H$6</f>
        <v>0</v>
      </c>
      <c r="M78" s="148">
        <f t="shared" si="24"/>
        <v>0</v>
      </c>
      <c r="N78" s="148">
        <f t="shared" si="36"/>
        <v>0</v>
      </c>
      <c r="O78" s="148">
        <f t="shared" si="26"/>
        <v>0</v>
      </c>
      <c r="P78" s="148" t="e">
        <f t="shared" si="27"/>
        <v>#DIV/0!</v>
      </c>
      <c r="Q78" s="76">
        <v>100</v>
      </c>
      <c r="R78" s="113">
        <f t="shared" si="34"/>
        <v>0</v>
      </c>
      <c r="S78" s="298">
        <f t="shared" si="33"/>
        <v>-100</v>
      </c>
      <c r="T78" s="113">
        <f t="shared" si="35"/>
        <v>3538</v>
      </c>
      <c r="U78" s="243" t="s">
        <v>183</v>
      </c>
      <c r="V78" s="82"/>
    </row>
    <row r="79" spans="1:129" s="19" customFormat="1" ht="15.5" x14ac:dyDescent="0.35">
      <c r="A79" s="103"/>
      <c r="B79" s="79"/>
      <c r="C79" s="79"/>
      <c r="D79" s="73">
        <f t="shared" si="29"/>
        <v>1</v>
      </c>
      <c r="E79" s="323">
        <f t="shared" si="31"/>
        <v>0</v>
      </c>
      <c r="F79" s="113"/>
      <c r="G79" s="302">
        <f t="shared" si="32"/>
        <v>0</v>
      </c>
      <c r="H79" s="76"/>
      <c r="I79" s="76"/>
      <c r="J79" s="76"/>
      <c r="K79" s="76"/>
      <c r="L79" s="148">
        <f t="shared" ref="L79:L116" si="37">+H79*$H$6</f>
        <v>0</v>
      </c>
      <c r="M79" s="148">
        <f t="shared" si="24"/>
        <v>0</v>
      </c>
      <c r="N79" s="148">
        <f t="shared" si="36"/>
        <v>0</v>
      </c>
      <c r="O79" s="148">
        <f t="shared" si="26"/>
        <v>0</v>
      </c>
      <c r="P79" s="148" t="e">
        <f t="shared" si="27"/>
        <v>#DIV/0!</v>
      </c>
      <c r="Q79" s="76">
        <v>100</v>
      </c>
      <c r="R79" s="113">
        <f t="shared" si="34"/>
        <v>0</v>
      </c>
      <c r="S79" s="298">
        <f t="shared" si="33"/>
        <v>-100</v>
      </c>
      <c r="T79" s="113">
        <f t="shared" si="35"/>
        <v>3638</v>
      </c>
      <c r="U79" s="243" t="s">
        <v>183</v>
      </c>
      <c r="V79" s="82"/>
    </row>
    <row r="80" spans="1:129" s="19" customFormat="1" ht="15.5" x14ac:dyDescent="0.35">
      <c r="A80" s="103"/>
      <c r="B80" s="79"/>
      <c r="C80" s="79"/>
      <c r="D80" s="73">
        <f t="shared" ref="D80:D116" si="38">1+C80-B80</f>
        <v>1</v>
      </c>
      <c r="E80" s="323">
        <f t="shared" si="31"/>
        <v>0</v>
      </c>
      <c r="F80" s="323"/>
      <c r="G80" s="302">
        <f t="shared" si="32"/>
        <v>0</v>
      </c>
      <c r="H80" s="76"/>
      <c r="I80" s="76"/>
      <c r="J80" s="76"/>
      <c r="K80" s="76"/>
      <c r="L80" s="148">
        <f t="shared" si="37"/>
        <v>0</v>
      </c>
      <c r="M80" s="148">
        <f t="shared" si="24"/>
        <v>0</v>
      </c>
      <c r="N80" s="148">
        <f t="shared" si="36"/>
        <v>0</v>
      </c>
      <c r="O80" s="148">
        <f t="shared" si="26"/>
        <v>0</v>
      </c>
      <c r="P80" s="148" t="e">
        <f t="shared" si="27"/>
        <v>#DIV/0!</v>
      </c>
      <c r="Q80" s="76">
        <v>150</v>
      </c>
      <c r="R80" s="113">
        <f t="shared" si="34"/>
        <v>0</v>
      </c>
      <c r="S80" s="298">
        <f t="shared" si="33"/>
        <v>-150</v>
      </c>
      <c r="T80" s="113">
        <f t="shared" si="35"/>
        <v>3788</v>
      </c>
      <c r="U80" s="243" t="s">
        <v>181</v>
      </c>
      <c r="V80" s="82"/>
    </row>
    <row r="81" spans="1:216" s="19" customFormat="1" ht="15.5" x14ac:dyDescent="0.35">
      <c r="A81" s="103"/>
      <c r="B81" s="79"/>
      <c r="C81" s="79"/>
      <c r="D81" s="73">
        <f t="shared" si="38"/>
        <v>1</v>
      </c>
      <c r="E81" s="323">
        <f t="shared" si="31"/>
        <v>0</v>
      </c>
      <c r="F81" s="323"/>
      <c r="G81" s="302">
        <f t="shared" si="32"/>
        <v>0</v>
      </c>
      <c r="H81" s="76"/>
      <c r="I81" s="76"/>
      <c r="J81" s="76"/>
      <c r="K81" s="76"/>
      <c r="L81" s="148">
        <f t="shared" si="37"/>
        <v>0</v>
      </c>
      <c r="M81" s="148">
        <f t="shared" si="24"/>
        <v>0</v>
      </c>
      <c r="N81" s="148">
        <f t="shared" si="36"/>
        <v>0</v>
      </c>
      <c r="O81" s="148">
        <f t="shared" si="26"/>
        <v>0</v>
      </c>
      <c r="P81" s="148" t="e">
        <f t="shared" si="27"/>
        <v>#DIV/0!</v>
      </c>
      <c r="Q81" s="76">
        <v>200</v>
      </c>
      <c r="R81" s="113">
        <f t="shared" si="34"/>
        <v>0</v>
      </c>
      <c r="S81" s="298">
        <f t="shared" si="33"/>
        <v>-200</v>
      </c>
      <c r="T81" s="113">
        <f t="shared" si="35"/>
        <v>3988</v>
      </c>
      <c r="U81" s="243" t="s">
        <v>185</v>
      </c>
      <c r="V81" s="82"/>
    </row>
    <row r="82" spans="1:216" s="19" customFormat="1" ht="15.5" x14ac:dyDescent="0.35">
      <c r="A82" s="103"/>
      <c r="B82" s="79"/>
      <c r="C82" s="79"/>
      <c r="D82" s="73">
        <f t="shared" si="38"/>
        <v>1</v>
      </c>
      <c r="E82" s="323">
        <f t="shared" si="31"/>
        <v>0</v>
      </c>
      <c r="F82" s="323"/>
      <c r="G82" s="302">
        <f t="shared" si="32"/>
        <v>0</v>
      </c>
      <c r="H82" s="76"/>
      <c r="I82" s="76"/>
      <c r="J82" s="76"/>
      <c r="K82" s="76"/>
      <c r="L82" s="148">
        <f t="shared" si="37"/>
        <v>0</v>
      </c>
      <c r="M82" s="148">
        <f t="shared" si="24"/>
        <v>0</v>
      </c>
      <c r="N82" s="148">
        <f t="shared" si="36"/>
        <v>0</v>
      </c>
      <c r="O82" s="148">
        <f t="shared" si="26"/>
        <v>0</v>
      </c>
      <c r="P82" s="148" t="e">
        <f t="shared" si="27"/>
        <v>#DIV/0!</v>
      </c>
      <c r="Q82" s="76">
        <v>100</v>
      </c>
      <c r="R82" s="113">
        <f t="shared" si="34"/>
        <v>0</v>
      </c>
      <c r="S82" s="298">
        <f t="shared" si="33"/>
        <v>-100</v>
      </c>
      <c r="T82" s="113">
        <f t="shared" si="35"/>
        <v>4088</v>
      </c>
      <c r="U82" s="243" t="s">
        <v>173</v>
      </c>
      <c r="V82" s="82"/>
    </row>
    <row r="83" spans="1:216" s="19" customFormat="1" ht="15.5" x14ac:dyDescent="0.35">
      <c r="A83" s="103"/>
      <c r="B83" s="79"/>
      <c r="C83" s="79"/>
      <c r="D83" s="73">
        <f t="shared" si="38"/>
        <v>1</v>
      </c>
      <c r="E83" s="323">
        <f t="shared" ref="E83:E122" si="39">F82</f>
        <v>0</v>
      </c>
      <c r="F83" s="323"/>
      <c r="G83" s="302">
        <f t="shared" si="32"/>
        <v>0</v>
      </c>
      <c r="H83" s="76"/>
      <c r="I83" s="76"/>
      <c r="J83" s="76"/>
      <c r="K83" s="76"/>
      <c r="L83" s="148">
        <f t="shared" si="37"/>
        <v>0</v>
      </c>
      <c r="M83" s="148">
        <f t="shared" si="24"/>
        <v>0</v>
      </c>
      <c r="N83" s="148">
        <f t="shared" si="36"/>
        <v>0</v>
      </c>
      <c r="O83" s="148">
        <f>+L83+M83+N83</f>
        <v>0</v>
      </c>
      <c r="P83" s="148" t="e">
        <f t="shared" si="27"/>
        <v>#DIV/0!</v>
      </c>
      <c r="Q83" s="76">
        <v>100</v>
      </c>
      <c r="R83" s="113">
        <f t="shared" si="34"/>
        <v>0</v>
      </c>
      <c r="S83" s="298">
        <f t="shared" si="33"/>
        <v>-100</v>
      </c>
      <c r="T83" s="113">
        <f t="shared" si="35"/>
        <v>4188</v>
      </c>
      <c r="U83" s="243" t="s">
        <v>173</v>
      </c>
      <c r="V83" s="82"/>
    </row>
    <row r="84" spans="1:216" s="19" customFormat="1" ht="15.5" x14ac:dyDescent="0.35">
      <c r="A84" s="103"/>
      <c r="B84" s="79"/>
      <c r="C84" s="79"/>
      <c r="D84" s="73">
        <f t="shared" si="38"/>
        <v>1</v>
      </c>
      <c r="E84" s="323">
        <f t="shared" si="39"/>
        <v>0</v>
      </c>
      <c r="F84" s="323"/>
      <c r="G84" s="302">
        <f t="shared" si="32"/>
        <v>0</v>
      </c>
      <c r="H84" s="76"/>
      <c r="I84" s="76"/>
      <c r="J84" s="76"/>
      <c r="K84" s="76"/>
      <c r="L84" s="148">
        <f t="shared" si="37"/>
        <v>0</v>
      </c>
      <c r="M84" s="148">
        <f t="shared" si="24"/>
        <v>0</v>
      </c>
      <c r="N84" s="148">
        <f t="shared" si="36"/>
        <v>0</v>
      </c>
      <c r="O84" s="148">
        <f t="shared" ref="O84:O102" si="40">+L84+M84+N84</f>
        <v>0</v>
      </c>
      <c r="P84" s="148" t="e">
        <f t="shared" si="27"/>
        <v>#DIV/0!</v>
      </c>
      <c r="Q84" s="76">
        <v>150</v>
      </c>
      <c r="R84" s="113">
        <f t="shared" si="34"/>
        <v>0</v>
      </c>
      <c r="S84" s="298">
        <f t="shared" si="33"/>
        <v>-150</v>
      </c>
      <c r="T84" s="113">
        <f t="shared" si="35"/>
        <v>4338</v>
      </c>
      <c r="U84" s="243" t="s">
        <v>189</v>
      </c>
      <c r="V84" s="82"/>
    </row>
    <row r="85" spans="1:216" s="19" customFormat="1" ht="15.5" x14ac:dyDescent="0.35">
      <c r="A85" s="103"/>
      <c r="B85" s="79"/>
      <c r="C85" s="79"/>
      <c r="D85" s="73">
        <f t="shared" si="38"/>
        <v>1</v>
      </c>
      <c r="E85" s="323">
        <f t="shared" si="39"/>
        <v>0</v>
      </c>
      <c r="F85" s="323"/>
      <c r="G85" s="302">
        <v>12</v>
      </c>
      <c r="H85" s="76"/>
      <c r="I85" s="76"/>
      <c r="J85" s="76"/>
      <c r="K85" s="76"/>
      <c r="L85" s="148">
        <f t="shared" si="37"/>
        <v>0</v>
      </c>
      <c r="M85" s="148">
        <f t="shared" si="24"/>
        <v>0</v>
      </c>
      <c r="N85" s="148">
        <f t="shared" si="36"/>
        <v>0</v>
      </c>
      <c r="O85" s="148">
        <f t="shared" si="40"/>
        <v>0</v>
      </c>
      <c r="P85" s="148">
        <f t="shared" si="27"/>
        <v>0</v>
      </c>
      <c r="Q85" s="76">
        <v>300</v>
      </c>
      <c r="R85" s="113">
        <f t="shared" si="34"/>
        <v>0</v>
      </c>
      <c r="S85" s="298">
        <f t="shared" si="33"/>
        <v>-300</v>
      </c>
      <c r="T85" s="113">
        <f t="shared" si="35"/>
        <v>4638</v>
      </c>
      <c r="U85" s="243" t="s">
        <v>185</v>
      </c>
      <c r="V85" s="82"/>
    </row>
    <row r="86" spans="1:216" s="19" customFormat="1" ht="15.5" x14ac:dyDescent="0.35">
      <c r="A86" s="103"/>
      <c r="B86" s="79"/>
      <c r="C86" s="79"/>
      <c r="D86" s="73">
        <f t="shared" si="38"/>
        <v>1</v>
      </c>
      <c r="E86" s="323">
        <f t="shared" si="39"/>
        <v>0</v>
      </c>
      <c r="F86" s="323"/>
      <c r="G86" s="302">
        <f t="shared" si="32"/>
        <v>0</v>
      </c>
      <c r="H86" s="76"/>
      <c r="I86" s="76"/>
      <c r="J86" s="76"/>
      <c r="K86" s="76"/>
      <c r="L86" s="148">
        <f t="shared" si="37"/>
        <v>0</v>
      </c>
      <c r="M86" s="148">
        <f t="shared" si="24"/>
        <v>0</v>
      </c>
      <c r="N86" s="148">
        <f t="shared" si="36"/>
        <v>0</v>
      </c>
      <c r="O86" s="148">
        <f t="shared" si="40"/>
        <v>0</v>
      </c>
      <c r="P86" s="148" t="e">
        <f t="shared" si="27"/>
        <v>#DIV/0!</v>
      </c>
      <c r="Q86" s="76">
        <v>250</v>
      </c>
      <c r="R86" s="113">
        <f t="shared" si="34"/>
        <v>0</v>
      </c>
      <c r="S86" s="298">
        <f t="shared" si="33"/>
        <v>-250</v>
      </c>
      <c r="T86" s="113">
        <f t="shared" si="35"/>
        <v>4888</v>
      </c>
      <c r="U86" s="243" t="s">
        <v>176</v>
      </c>
      <c r="V86" s="82"/>
    </row>
    <row r="87" spans="1:216" s="19" customFormat="1" ht="15.5" x14ac:dyDescent="0.35">
      <c r="A87" s="103"/>
      <c r="B87" s="79"/>
      <c r="C87" s="79"/>
      <c r="D87" s="73">
        <f t="shared" si="38"/>
        <v>1</v>
      </c>
      <c r="E87" s="323">
        <f t="shared" si="39"/>
        <v>0</v>
      </c>
      <c r="F87" s="323"/>
      <c r="G87" s="302">
        <f t="shared" si="32"/>
        <v>0</v>
      </c>
      <c r="H87" s="76"/>
      <c r="I87" s="76"/>
      <c r="J87" s="76"/>
      <c r="K87" s="76"/>
      <c r="L87" s="148">
        <f t="shared" si="37"/>
        <v>0</v>
      </c>
      <c r="M87" s="148">
        <f t="shared" si="24"/>
        <v>0</v>
      </c>
      <c r="N87" s="148">
        <f>+J87*$J$6+(K87*15)</f>
        <v>0</v>
      </c>
      <c r="O87" s="148">
        <f t="shared" si="40"/>
        <v>0</v>
      </c>
      <c r="P87" s="148" t="e">
        <f t="shared" si="27"/>
        <v>#DIV/0!</v>
      </c>
      <c r="Q87" s="76">
        <v>100</v>
      </c>
      <c r="R87" s="113">
        <f t="shared" si="34"/>
        <v>0</v>
      </c>
      <c r="S87" s="298">
        <f t="shared" si="33"/>
        <v>-100</v>
      </c>
      <c r="T87" s="113">
        <f t="shared" si="35"/>
        <v>4988</v>
      </c>
      <c r="U87" s="243" t="s">
        <v>197</v>
      </c>
      <c r="V87" s="82"/>
    </row>
    <row r="88" spans="1:216" s="19" customFormat="1" ht="15.5" x14ac:dyDescent="0.35">
      <c r="A88" s="103"/>
      <c r="B88" s="79"/>
      <c r="C88" s="79"/>
      <c r="D88" s="73">
        <f t="shared" si="38"/>
        <v>1</v>
      </c>
      <c r="E88" s="323">
        <f t="shared" si="39"/>
        <v>0</v>
      </c>
      <c r="F88" s="323"/>
      <c r="G88" s="302">
        <f t="shared" si="32"/>
        <v>0</v>
      </c>
      <c r="H88" s="76"/>
      <c r="I88" s="76"/>
      <c r="J88" s="76"/>
      <c r="K88" s="76"/>
      <c r="L88" s="148">
        <f t="shared" si="37"/>
        <v>0</v>
      </c>
      <c r="M88" s="148">
        <f t="shared" si="24"/>
        <v>0</v>
      </c>
      <c r="N88" s="148">
        <f t="shared" si="36"/>
        <v>0</v>
      </c>
      <c r="O88" s="148">
        <f t="shared" si="40"/>
        <v>0</v>
      </c>
      <c r="P88" s="148" t="e">
        <f t="shared" si="27"/>
        <v>#DIV/0!</v>
      </c>
      <c r="Q88" s="76">
        <v>100</v>
      </c>
      <c r="R88" s="113">
        <f t="shared" si="34"/>
        <v>0</v>
      </c>
      <c r="S88" s="298">
        <f t="shared" si="33"/>
        <v>-100</v>
      </c>
      <c r="T88" s="113">
        <f t="shared" si="35"/>
        <v>5088</v>
      </c>
      <c r="U88" s="243" t="s">
        <v>185</v>
      </c>
      <c r="V88" s="82"/>
    </row>
    <row r="89" spans="1:216" s="235" customFormat="1" ht="15.5" x14ac:dyDescent="0.35">
      <c r="A89" s="103"/>
      <c r="B89" s="79"/>
      <c r="C89" s="79"/>
      <c r="D89" s="73">
        <f t="shared" si="38"/>
        <v>1</v>
      </c>
      <c r="E89" s="323">
        <f t="shared" si="39"/>
        <v>0</v>
      </c>
      <c r="F89" s="231"/>
      <c r="G89" s="302">
        <f t="shared" si="32"/>
        <v>0</v>
      </c>
      <c r="H89" s="151"/>
      <c r="I89" s="151"/>
      <c r="J89" s="151"/>
      <c r="K89" s="151"/>
      <c r="L89" s="148">
        <f t="shared" si="37"/>
        <v>0</v>
      </c>
      <c r="M89" s="148">
        <f t="shared" si="24"/>
        <v>0</v>
      </c>
      <c r="N89" s="148">
        <f t="shared" si="36"/>
        <v>0</v>
      </c>
      <c r="O89" s="148">
        <f t="shared" si="40"/>
        <v>0</v>
      </c>
      <c r="P89" s="148" t="e">
        <f t="shared" si="27"/>
        <v>#DIV/0!</v>
      </c>
      <c r="Q89" s="151">
        <v>50</v>
      </c>
      <c r="R89" s="112">
        <f t="shared" si="34"/>
        <v>0</v>
      </c>
      <c r="S89" s="298">
        <f t="shared" si="33"/>
        <v>-50</v>
      </c>
      <c r="T89" s="113">
        <f t="shared" si="35"/>
        <v>5138</v>
      </c>
      <c r="U89" s="243" t="s">
        <v>185</v>
      </c>
      <c r="V89" s="82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</row>
    <row r="90" spans="1:216" s="230" customFormat="1" ht="15.5" x14ac:dyDescent="0.35">
      <c r="A90" s="103"/>
      <c r="B90" s="79"/>
      <c r="C90" s="79"/>
      <c r="D90" s="73">
        <f t="shared" si="38"/>
        <v>1</v>
      </c>
      <c r="E90" s="323">
        <f t="shared" si="39"/>
        <v>0</v>
      </c>
      <c r="F90" s="231"/>
      <c r="G90" s="302">
        <f t="shared" si="32"/>
        <v>0</v>
      </c>
      <c r="H90" s="151"/>
      <c r="I90" s="151"/>
      <c r="J90" s="151"/>
      <c r="K90" s="151"/>
      <c r="L90" s="148">
        <f t="shared" si="37"/>
        <v>0</v>
      </c>
      <c r="M90" s="148">
        <f t="shared" si="24"/>
        <v>0</v>
      </c>
      <c r="N90" s="148">
        <f t="shared" si="36"/>
        <v>0</v>
      </c>
      <c r="O90" s="148">
        <f t="shared" si="40"/>
        <v>0</v>
      </c>
      <c r="P90" s="148" t="e">
        <f t="shared" si="27"/>
        <v>#DIV/0!</v>
      </c>
      <c r="Q90" s="151">
        <v>100</v>
      </c>
      <c r="R90" s="112">
        <f t="shared" si="34"/>
        <v>0</v>
      </c>
      <c r="S90" s="298">
        <f t="shared" si="33"/>
        <v>-100</v>
      </c>
      <c r="T90" s="113">
        <f t="shared" si="35"/>
        <v>5238</v>
      </c>
      <c r="U90" s="243" t="s">
        <v>176</v>
      </c>
      <c r="V90" s="82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</row>
    <row r="91" spans="1:216" s="19" customFormat="1" ht="15.5" x14ac:dyDescent="0.35">
      <c r="A91" s="103"/>
      <c r="B91" s="79"/>
      <c r="C91" s="79"/>
      <c r="D91" s="73">
        <f t="shared" si="38"/>
        <v>1</v>
      </c>
      <c r="E91" s="323">
        <f t="shared" si="39"/>
        <v>0</v>
      </c>
      <c r="F91" s="113"/>
      <c r="G91" s="302">
        <f t="shared" si="32"/>
        <v>0</v>
      </c>
      <c r="H91" s="76"/>
      <c r="I91" s="76"/>
      <c r="J91" s="76"/>
      <c r="K91" s="76"/>
      <c r="L91" s="148">
        <f t="shared" si="37"/>
        <v>0</v>
      </c>
      <c r="M91" s="148">
        <f t="shared" si="24"/>
        <v>0</v>
      </c>
      <c r="N91" s="148">
        <f t="shared" si="36"/>
        <v>0</v>
      </c>
      <c r="O91" s="148">
        <f t="shared" si="40"/>
        <v>0</v>
      </c>
      <c r="P91" s="148" t="e">
        <f t="shared" si="27"/>
        <v>#DIV/0!</v>
      </c>
      <c r="Q91" s="76">
        <v>250</v>
      </c>
      <c r="R91" s="113">
        <f t="shared" si="34"/>
        <v>0</v>
      </c>
      <c r="S91" s="298">
        <f t="shared" si="33"/>
        <v>-250</v>
      </c>
      <c r="T91" s="113">
        <f t="shared" si="35"/>
        <v>5488</v>
      </c>
      <c r="U91" s="243" t="s">
        <v>175</v>
      </c>
      <c r="V91" s="82"/>
    </row>
    <row r="92" spans="1:216" s="19" customFormat="1" ht="15.5" x14ac:dyDescent="0.35">
      <c r="A92" s="103"/>
      <c r="B92" s="79"/>
      <c r="C92" s="79"/>
      <c r="D92" s="73">
        <f t="shared" si="38"/>
        <v>1</v>
      </c>
      <c r="E92" s="323">
        <f t="shared" si="39"/>
        <v>0</v>
      </c>
      <c r="F92" s="323"/>
      <c r="G92" s="302">
        <f t="shared" si="32"/>
        <v>0</v>
      </c>
      <c r="H92" s="76"/>
      <c r="I92" s="76"/>
      <c r="J92" s="76"/>
      <c r="K92" s="76"/>
      <c r="L92" s="148">
        <f t="shared" si="37"/>
        <v>0</v>
      </c>
      <c r="M92" s="148">
        <f t="shared" si="24"/>
        <v>0</v>
      </c>
      <c r="N92" s="148">
        <f t="shared" si="36"/>
        <v>0</v>
      </c>
      <c r="O92" s="148">
        <f t="shared" si="40"/>
        <v>0</v>
      </c>
      <c r="P92" s="148" t="e">
        <f t="shared" si="27"/>
        <v>#DIV/0!</v>
      </c>
      <c r="Q92" s="76">
        <v>100</v>
      </c>
      <c r="R92" s="113">
        <f t="shared" si="34"/>
        <v>0</v>
      </c>
      <c r="S92" s="298">
        <f t="shared" si="33"/>
        <v>-100</v>
      </c>
      <c r="T92" s="113">
        <f t="shared" si="35"/>
        <v>5588</v>
      </c>
      <c r="U92" s="243" t="s">
        <v>189</v>
      </c>
      <c r="V92" s="82"/>
    </row>
    <row r="93" spans="1:216" s="19" customFormat="1" ht="15.5" x14ac:dyDescent="0.35">
      <c r="A93" s="103"/>
      <c r="B93" s="79"/>
      <c r="C93" s="79"/>
      <c r="D93" s="73">
        <f t="shared" si="38"/>
        <v>1</v>
      </c>
      <c r="E93" s="323">
        <f t="shared" si="39"/>
        <v>0</v>
      </c>
      <c r="F93" s="323"/>
      <c r="G93" s="302">
        <f t="shared" si="32"/>
        <v>0</v>
      </c>
      <c r="H93" s="76"/>
      <c r="I93" s="76"/>
      <c r="J93" s="76"/>
      <c r="K93" s="76"/>
      <c r="L93" s="148">
        <f t="shared" si="37"/>
        <v>0</v>
      </c>
      <c r="M93" s="148">
        <f t="shared" si="24"/>
        <v>0</v>
      </c>
      <c r="N93" s="148">
        <f t="shared" si="36"/>
        <v>0</v>
      </c>
      <c r="O93" s="148">
        <f t="shared" si="40"/>
        <v>0</v>
      </c>
      <c r="P93" s="148" t="e">
        <f t="shared" si="27"/>
        <v>#DIV/0!</v>
      </c>
      <c r="Q93" s="76">
        <v>200</v>
      </c>
      <c r="R93" s="113">
        <f t="shared" si="34"/>
        <v>0</v>
      </c>
      <c r="S93" s="298">
        <f t="shared" si="33"/>
        <v>-200</v>
      </c>
      <c r="T93" s="113">
        <f t="shared" si="35"/>
        <v>5788</v>
      </c>
      <c r="U93" s="243" t="s">
        <v>176</v>
      </c>
      <c r="V93" s="82"/>
    </row>
    <row r="94" spans="1:216" s="19" customFormat="1" ht="15.5" x14ac:dyDescent="0.35">
      <c r="A94" s="103"/>
      <c r="B94" s="79"/>
      <c r="C94" s="79"/>
      <c r="D94" s="73">
        <f t="shared" si="38"/>
        <v>1</v>
      </c>
      <c r="E94" s="323">
        <f t="shared" si="39"/>
        <v>0</v>
      </c>
      <c r="F94" s="323"/>
      <c r="G94" s="302">
        <f t="shared" si="32"/>
        <v>0</v>
      </c>
      <c r="H94" s="76"/>
      <c r="I94" s="76"/>
      <c r="J94" s="76"/>
      <c r="K94" s="76"/>
      <c r="L94" s="148">
        <f t="shared" si="37"/>
        <v>0</v>
      </c>
      <c r="M94" s="148">
        <f t="shared" si="24"/>
        <v>0</v>
      </c>
      <c r="N94" s="148">
        <f t="shared" si="36"/>
        <v>0</v>
      </c>
      <c r="O94" s="148">
        <f t="shared" si="40"/>
        <v>0</v>
      </c>
      <c r="P94" s="148" t="e">
        <f t="shared" si="27"/>
        <v>#DIV/0!</v>
      </c>
      <c r="Q94" s="76">
        <v>200</v>
      </c>
      <c r="R94" s="113">
        <f t="shared" si="34"/>
        <v>0</v>
      </c>
      <c r="S94" s="298">
        <f t="shared" si="33"/>
        <v>-200</v>
      </c>
      <c r="T94" s="113">
        <f t="shared" si="35"/>
        <v>5988</v>
      </c>
      <c r="U94" s="243" t="s">
        <v>189</v>
      </c>
      <c r="V94" s="82"/>
    </row>
    <row r="95" spans="1:216" s="19" customFormat="1" ht="15.5" x14ac:dyDescent="0.35">
      <c r="A95" s="103"/>
      <c r="B95" s="79"/>
      <c r="C95" s="79"/>
      <c r="D95" s="73">
        <f t="shared" si="38"/>
        <v>1</v>
      </c>
      <c r="E95" s="323">
        <f t="shared" si="39"/>
        <v>0</v>
      </c>
      <c r="F95" s="323"/>
      <c r="G95" s="302">
        <f t="shared" si="32"/>
        <v>0</v>
      </c>
      <c r="H95" s="76"/>
      <c r="I95" s="76"/>
      <c r="J95" s="76"/>
      <c r="K95" s="76"/>
      <c r="L95" s="148">
        <f t="shared" si="37"/>
        <v>0</v>
      </c>
      <c r="M95" s="148">
        <f t="shared" si="24"/>
        <v>0</v>
      </c>
      <c r="N95" s="148">
        <f t="shared" si="36"/>
        <v>0</v>
      </c>
      <c r="O95" s="148">
        <f t="shared" si="40"/>
        <v>0</v>
      </c>
      <c r="P95" s="148" t="e">
        <f t="shared" si="27"/>
        <v>#DIV/0!</v>
      </c>
      <c r="Q95" s="76">
        <v>50</v>
      </c>
      <c r="R95" s="113">
        <f t="shared" si="34"/>
        <v>0</v>
      </c>
      <c r="S95" s="298">
        <f t="shared" si="33"/>
        <v>-50</v>
      </c>
      <c r="T95" s="113">
        <f t="shared" si="35"/>
        <v>6038</v>
      </c>
      <c r="U95" s="243" t="s">
        <v>185</v>
      </c>
      <c r="V95" s="82"/>
    </row>
    <row r="96" spans="1:216" s="19" customFormat="1" ht="15.5" x14ac:dyDescent="0.35">
      <c r="A96" s="103"/>
      <c r="B96" s="79"/>
      <c r="C96" s="79"/>
      <c r="D96" s="73">
        <f t="shared" si="38"/>
        <v>1</v>
      </c>
      <c r="E96" s="323">
        <f t="shared" si="39"/>
        <v>0</v>
      </c>
      <c r="F96" s="323"/>
      <c r="G96" s="302">
        <f t="shared" si="32"/>
        <v>0</v>
      </c>
      <c r="H96" s="76"/>
      <c r="I96" s="76"/>
      <c r="J96" s="76"/>
      <c r="K96" s="76"/>
      <c r="L96" s="148">
        <f t="shared" si="37"/>
        <v>0</v>
      </c>
      <c r="M96" s="148">
        <f t="shared" si="24"/>
        <v>0</v>
      </c>
      <c r="N96" s="148">
        <f t="shared" si="36"/>
        <v>0</v>
      </c>
      <c r="O96" s="148">
        <f t="shared" si="40"/>
        <v>0</v>
      </c>
      <c r="P96" s="148" t="e">
        <f t="shared" si="27"/>
        <v>#DIV/0!</v>
      </c>
      <c r="Q96" s="76">
        <v>100</v>
      </c>
      <c r="R96" s="113">
        <f t="shared" si="34"/>
        <v>0</v>
      </c>
      <c r="S96" s="298">
        <f t="shared" si="33"/>
        <v>-100</v>
      </c>
      <c r="T96" s="113">
        <f t="shared" si="35"/>
        <v>6138</v>
      </c>
      <c r="U96" s="243" t="s">
        <v>164</v>
      </c>
      <c r="V96" s="82"/>
    </row>
    <row r="97" spans="1:22" s="19" customFormat="1" ht="15.5" x14ac:dyDescent="0.35">
      <c r="A97" s="103"/>
      <c r="B97" s="79"/>
      <c r="C97" s="79"/>
      <c r="D97" s="73">
        <f t="shared" si="38"/>
        <v>1</v>
      </c>
      <c r="E97" s="323">
        <f t="shared" si="39"/>
        <v>0</v>
      </c>
      <c r="F97" s="323"/>
      <c r="G97" s="302">
        <f t="shared" si="32"/>
        <v>0</v>
      </c>
      <c r="H97" s="76"/>
      <c r="I97" s="76"/>
      <c r="J97" s="76"/>
      <c r="K97" s="76"/>
      <c r="L97" s="148">
        <f t="shared" si="37"/>
        <v>0</v>
      </c>
      <c r="M97" s="148">
        <f t="shared" si="24"/>
        <v>0</v>
      </c>
      <c r="N97" s="148">
        <f t="shared" si="36"/>
        <v>0</v>
      </c>
      <c r="O97" s="148">
        <f t="shared" si="40"/>
        <v>0</v>
      </c>
      <c r="P97" s="148" t="e">
        <f t="shared" si="27"/>
        <v>#DIV/0!</v>
      </c>
      <c r="Q97" s="76">
        <v>200</v>
      </c>
      <c r="R97" s="113">
        <f t="shared" si="34"/>
        <v>0</v>
      </c>
      <c r="S97" s="298">
        <f t="shared" si="33"/>
        <v>-200</v>
      </c>
      <c r="T97" s="113">
        <f t="shared" si="35"/>
        <v>6338</v>
      </c>
      <c r="U97" s="243" t="s">
        <v>176</v>
      </c>
      <c r="V97" s="82"/>
    </row>
    <row r="98" spans="1:22" s="19" customFormat="1" ht="15.5" x14ac:dyDescent="0.35">
      <c r="A98" s="103"/>
      <c r="B98" s="79"/>
      <c r="C98" s="79"/>
      <c r="D98" s="73">
        <f t="shared" si="38"/>
        <v>1</v>
      </c>
      <c r="E98" s="323">
        <f t="shared" si="39"/>
        <v>0</v>
      </c>
      <c r="F98" s="323"/>
      <c r="G98" s="302">
        <v>5</v>
      </c>
      <c r="H98" s="76"/>
      <c r="I98" s="76"/>
      <c r="J98" s="76"/>
      <c r="K98" s="76"/>
      <c r="L98" s="148">
        <f t="shared" si="37"/>
        <v>0</v>
      </c>
      <c r="M98" s="148">
        <f t="shared" si="24"/>
        <v>0</v>
      </c>
      <c r="N98" s="148">
        <f t="shared" si="36"/>
        <v>0</v>
      </c>
      <c r="O98" s="148">
        <f t="shared" si="40"/>
        <v>0</v>
      </c>
      <c r="P98" s="148">
        <f t="shared" si="27"/>
        <v>0</v>
      </c>
      <c r="Q98" s="76">
        <v>50</v>
      </c>
      <c r="R98" s="113">
        <f t="shared" si="34"/>
        <v>0</v>
      </c>
      <c r="S98" s="298">
        <f t="shared" si="33"/>
        <v>-50</v>
      </c>
      <c r="T98" s="113">
        <f t="shared" si="35"/>
        <v>6388</v>
      </c>
      <c r="U98" s="243" t="s">
        <v>164</v>
      </c>
      <c r="V98" s="82"/>
    </row>
    <row r="99" spans="1:22" s="19" customFormat="1" ht="15.5" x14ac:dyDescent="0.35">
      <c r="A99" s="103"/>
      <c r="B99" s="79"/>
      <c r="C99" s="79"/>
      <c r="D99" s="73">
        <f t="shared" si="38"/>
        <v>1</v>
      </c>
      <c r="E99" s="323">
        <f t="shared" si="39"/>
        <v>0</v>
      </c>
      <c r="F99" s="323"/>
      <c r="G99" s="302">
        <f t="shared" si="32"/>
        <v>0</v>
      </c>
      <c r="H99" s="76"/>
      <c r="I99" s="76"/>
      <c r="J99" s="76"/>
      <c r="K99" s="76"/>
      <c r="L99" s="148">
        <f t="shared" si="37"/>
        <v>0</v>
      </c>
      <c r="M99" s="148">
        <f t="shared" si="24"/>
        <v>0</v>
      </c>
      <c r="N99" s="148">
        <f t="shared" si="36"/>
        <v>0</v>
      </c>
      <c r="O99" s="148">
        <f t="shared" si="40"/>
        <v>0</v>
      </c>
      <c r="P99" s="148" t="e">
        <f t="shared" si="27"/>
        <v>#DIV/0!</v>
      </c>
      <c r="Q99" s="76">
        <v>150</v>
      </c>
      <c r="R99" s="113">
        <f t="shared" si="34"/>
        <v>0</v>
      </c>
      <c r="S99" s="298">
        <f t="shared" si="33"/>
        <v>-150</v>
      </c>
      <c r="T99" s="113">
        <f t="shared" si="35"/>
        <v>6538</v>
      </c>
      <c r="U99" s="243" t="s">
        <v>176</v>
      </c>
      <c r="V99" s="82"/>
    </row>
    <row r="100" spans="1:22" s="19" customFormat="1" ht="15.5" x14ac:dyDescent="0.35">
      <c r="A100" s="103"/>
      <c r="B100" s="79"/>
      <c r="C100" s="79"/>
      <c r="D100" s="73">
        <f t="shared" si="38"/>
        <v>1</v>
      </c>
      <c r="E100" s="323">
        <v>515530</v>
      </c>
      <c r="F100" s="323"/>
      <c r="G100" s="302">
        <f t="shared" si="32"/>
        <v>-5155.3</v>
      </c>
      <c r="H100" s="76"/>
      <c r="I100" s="76"/>
      <c r="J100" s="76"/>
      <c r="K100" s="76"/>
      <c r="L100" s="148">
        <f t="shared" si="37"/>
        <v>0</v>
      </c>
      <c r="M100" s="148">
        <f t="shared" si="24"/>
        <v>0</v>
      </c>
      <c r="N100" s="148">
        <f t="shared" si="36"/>
        <v>0</v>
      </c>
      <c r="O100" s="148">
        <f t="shared" si="40"/>
        <v>0</v>
      </c>
      <c r="P100" s="148">
        <f t="shared" si="27"/>
        <v>0</v>
      </c>
      <c r="Q100" s="76">
        <v>150</v>
      </c>
      <c r="R100" s="113">
        <f t="shared" si="34"/>
        <v>0</v>
      </c>
      <c r="S100" s="298">
        <f t="shared" si="33"/>
        <v>-150</v>
      </c>
      <c r="T100" s="113">
        <f t="shared" si="35"/>
        <v>6688</v>
      </c>
      <c r="U100" s="243" t="s">
        <v>183</v>
      </c>
      <c r="V100" s="82"/>
    </row>
    <row r="101" spans="1:22" s="19" customFormat="1" ht="15.5" x14ac:dyDescent="0.35">
      <c r="A101" s="103"/>
      <c r="B101" s="79"/>
      <c r="C101" s="79"/>
      <c r="D101" s="73">
        <f t="shared" si="38"/>
        <v>1</v>
      </c>
      <c r="E101" s="323">
        <f t="shared" si="39"/>
        <v>0</v>
      </c>
      <c r="F101" s="323"/>
      <c r="G101" s="302">
        <v>4</v>
      </c>
      <c r="H101" s="76"/>
      <c r="I101" s="76"/>
      <c r="J101" s="76"/>
      <c r="K101" s="76"/>
      <c r="L101" s="148">
        <f t="shared" si="37"/>
        <v>0</v>
      </c>
      <c r="M101" s="148">
        <f t="shared" si="24"/>
        <v>0</v>
      </c>
      <c r="N101" s="148">
        <f t="shared" si="36"/>
        <v>0</v>
      </c>
      <c r="O101" s="148">
        <f t="shared" si="40"/>
        <v>0</v>
      </c>
      <c r="P101" s="148"/>
      <c r="Q101" s="76">
        <v>50</v>
      </c>
      <c r="R101" s="113">
        <f t="shared" si="34"/>
        <v>0</v>
      </c>
      <c r="S101" s="298">
        <f t="shared" si="33"/>
        <v>-50</v>
      </c>
      <c r="T101" s="113">
        <f t="shared" si="35"/>
        <v>6738</v>
      </c>
      <c r="U101" s="243" t="s">
        <v>190</v>
      </c>
      <c r="V101" s="82"/>
    </row>
    <row r="102" spans="1:22" s="19" customFormat="1" ht="15.5" x14ac:dyDescent="0.35">
      <c r="A102" s="103"/>
      <c r="B102" s="79"/>
      <c r="C102" s="79"/>
      <c r="D102" s="73">
        <f t="shared" si="38"/>
        <v>1</v>
      </c>
      <c r="E102" s="323">
        <f t="shared" si="39"/>
        <v>0</v>
      </c>
      <c r="F102" s="323"/>
      <c r="G102" s="302">
        <f t="shared" si="32"/>
        <v>0</v>
      </c>
      <c r="H102" s="76"/>
      <c r="I102" s="76"/>
      <c r="J102" s="76"/>
      <c r="K102" s="76"/>
      <c r="L102" s="148">
        <f t="shared" si="37"/>
        <v>0</v>
      </c>
      <c r="M102" s="148">
        <f t="shared" si="24"/>
        <v>0</v>
      </c>
      <c r="N102" s="148">
        <f t="shared" si="36"/>
        <v>0</v>
      </c>
      <c r="O102" s="148">
        <f t="shared" si="40"/>
        <v>0</v>
      </c>
      <c r="P102" s="148" t="e">
        <f t="shared" ref="P102:P121" si="41">(O102/G102)</f>
        <v>#DIV/0!</v>
      </c>
      <c r="Q102" s="76">
        <v>100</v>
      </c>
      <c r="R102" s="113">
        <f t="shared" si="34"/>
        <v>0</v>
      </c>
      <c r="S102" s="298">
        <f t="shared" si="33"/>
        <v>-100</v>
      </c>
      <c r="T102" s="113">
        <f t="shared" si="35"/>
        <v>6838</v>
      </c>
      <c r="U102" s="243" t="s">
        <v>201</v>
      </c>
      <c r="V102" s="82"/>
    </row>
    <row r="103" spans="1:22" s="19" customFormat="1" ht="15.5" x14ac:dyDescent="0.35">
      <c r="A103" s="103"/>
      <c r="B103" s="79"/>
      <c r="C103" s="79"/>
      <c r="D103" s="73">
        <f t="shared" si="38"/>
        <v>1</v>
      </c>
      <c r="E103" s="323">
        <f t="shared" si="39"/>
        <v>0</v>
      </c>
      <c r="F103" s="323"/>
      <c r="G103" s="302">
        <f t="shared" si="32"/>
        <v>0</v>
      </c>
      <c r="H103" s="76"/>
      <c r="I103" s="76"/>
      <c r="J103" s="76"/>
      <c r="K103" s="76"/>
      <c r="L103" s="148">
        <f t="shared" si="37"/>
        <v>0</v>
      </c>
      <c r="M103" s="148">
        <f t="shared" si="24"/>
        <v>0</v>
      </c>
      <c r="N103" s="148">
        <f t="shared" si="36"/>
        <v>0</v>
      </c>
      <c r="O103" s="148">
        <f t="shared" ref="O103:O145" si="42">+L103+M103+N103</f>
        <v>0</v>
      </c>
      <c r="P103" s="148" t="e">
        <f t="shared" si="41"/>
        <v>#DIV/0!</v>
      </c>
      <c r="Q103" s="76">
        <v>100</v>
      </c>
      <c r="R103" s="113">
        <f t="shared" si="34"/>
        <v>0</v>
      </c>
      <c r="S103" s="298">
        <f t="shared" si="33"/>
        <v>-100</v>
      </c>
      <c r="T103" s="113">
        <f t="shared" si="35"/>
        <v>6938</v>
      </c>
      <c r="U103" s="243" t="s">
        <v>176</v>
      </c>
      <c r="V103" s="82"/>
    </row>
    <row r="104" spans="1:22" s="19" customFormat="1" ht="15.5" x14ac:dyDescent="0.35">
      <c r="A104" s="103"/>
      <c r="B104" s="79"/>
      <c r="C104" s="79"/>
      <c r="D104" s="73">
        <f t="shared" si="38"/>
        <v>1</v>
      </c>
      <c r="E104" s="323">
        <f t="shared" si="39"/>
        <v>0</v>
      </c>
      <c r="F104" s="323"/>
      <c r="G104" s="302">
        <f>(F104-E104)/100</f>
        <v>0</v>
      </c>
      <c r="H104" s="76"/>
      <c r="I104" s="76"/>
      <c r="J104" s="76"/>
      <c r="K104" s="76"/>
      <c r="L104" s="148">
        <f t="shared" si="37"/>
        <v>0</v>
      </c>
      <c r="M104" s="148">
        <f t="shared" si="24"/>
        <v>0</v>
      </c>
      <c r="N104" s="148">
        <f t="shared" si="36"/>
        <v>0</v>
      </c>
      <c r="O104" s="148">
        <f t="shared" si="42"/>
        <v>0</v>
      </c>
      <c r="P104" s="148" t="e">
        <f t="shared" si="41"/>
        <v>#DIV/0!</v>
      </c>
      <c r="Q104" s="76">
        <v>50</v>
      </c>
      <c r="R104" s="113">
        <f t="shared" si="34"/>
        <v>0</v>
      </c>
      <c r="S104" s="298">
        <f t="shared" si="33"/>
        <v>-50</v>
      </c>
      <c r="T104" s="113">
        <f t="shared" si="35"/>
        <v>6988</v>
      </c>
      <c r="U104" s="243" t="s">
        <v>197</v>
      </c>
      <c r="V104" s="82"/>
    </row>
    <row r="105" spans="1:22" s="19" customFormat="1" ht="15.5" x14ac:dyDescent="0.35">
      <c r="A105" s="103"/>
      <c r="B105" s="79"/>
      <c r="C105" s="79"/>
      <c r="D105" s="73">
        <f t="shared" si="38"/>
        <v>1</v>
      </c>
      <c r="E105" s="323">
        <f t="shared" si="39"/>
        <v>0</v>
      </c>
      <c r="F105" s="323"/>
      <c r="G105" s="302">
        <f>(F105-E105)/100</f>
        <v>0</v>
      </c>
      <c r="H105" s="76"/>
      <c r="I105" s="76"/>
      <c r="J105" s="76"/>
      <c r="K105" s="76"/>
      <c r="L105" s="148">
        <f t="shared" si="37"/>
        <v>0</v>
      </c>
      <c r="M105" s="148">
        <f t="shared" si="24"/>
        <v>0</v>
      </c>
      <c r="N105" s="148">
        <f t="shared" si="36"/>
        <v>0</v>
      </c>
      <c r="O105" s="148">
        <f t="shared" si="42"/>
        <v>0</v>
      </c>
      <c r="P105" s="148" t="e">
        <f t="shared" si="41"/>
        <v>#DIV/0!</v>
      </c>
      <c r="Q105" s="76">
        <v>100</v>
      </c>
      <c r="R105" s="113">
        <f t="shared" si="34"/>
        <v>0</v>
      </c>
      <c r="S105" s="298">
        <f t="shared" si="33"/>
        <v>-100</v>
      </c>
      <c r="T105" s="113">
        <f t="shared" si="35"/>
        <v>7088</v>
      </c>
      <c r="U105" s="243" t="s">
        <v>167</v>
      </c>
      <c r="V105" s="82"/>
    </row>
    <row r="106" spans="1:22" s="19" customFormat="1" ht="15.5" x14ac:dyDescent="0.35">
      <c r="A106" s="103"/>
      <c r="B106" s="79"/>
      <c r="C106" s="79"/>
      <c r="D106" s="73">
        <f t="shared" si="38"/>
        <v>1</v>
      </c>
      <c r="E106" s="323">
        <f t="shared" si="39"/>
        <v>0</v>
      </c>
      <c r="F106" s="323"/>
      <c r="G106" s="302">
        <f t="shared" ref="G106:G134" si="43">(F106-E106)/100</f>
        <v>0</v>
      </c>
      <c r="H106" s="76"/>
      <c r="I106" s="76"/>
      <c r="J106" s="76"/>
      <c r="K106" s="76"/>
      <c r="L106" s="148">
        <f t="shared" si="37"/>
        <v>0</v>
      </c>
      <c r="M106" s="148">
        <f t="shared" si="24"/>
        <v>0</v>
      </c>
      <c r="N106" s="148">
        <f t="shared" si="36"/>
        <v>0</v>
      </c>
      <c r="O106" s="148">
        <f t="shared" si="42"/>
        <v>0</v>
      </c>
      <c r="P106" s="148" t="e">
        <f t="shared" si="41"/>
        <v>#DIV/0!</v>
      </c>
      <c r="Q106" s="76">
        <v>100</v>
      </c>
      <c r="R106" s="113">
        <f t="shared" si="34"/>
        <v>0</v>
      </c>
      <c r="S106" s="298">
        <f t="shared" si="33"/>
        <v>-100</v>
      </c>
      <c r="T106" s="113">
        <f t="shared" si="35"/>
        <v>7188</v>
      </c>
      <c r="U106" s="243" t="s">
        <v>201</v>
      </c>
      <c r="V106" s="82"/>
    </row>
    <row r="107" spans="1:22" s="19" customFormat="1" ht="15.5" x14ac:dyDescent="0.35">
      <c r="A107" s="103"/>
      <c r="B107" s="79"/>
      <c r="C107" s="79"/>
      <c r="D107" s="73">
        <f t="shared" si="38"/>
        <v>1</v>
      </c>
      <c r="E107" s="323">
        <f t="shared" si="39"/>
        <v>0</v>
      </c>
      <c r="F107" s="323"/>
      <c r="G107" s="302">
        <f t="shared" si="43"/>
        <v>0</v>
      </c>
      <c r="H107" s="76"/>
      <c r="I107" s="76"/>
      <c r="J107" s="76"/>
      <c r="K107" s="76"/>
      <c r="L107" s="148">
        <f t="shared" si="37"/>
        <v>0</v>
      </c>
      <c r="M107" s="148">
        <f t="shared" si="24"/>
        <v>0</v>
      </c>
      <c r="N107" s="148">
        <f t="shared" si="36"/>
        <v>0</v>
      </c>
      <c r="O107" s="148">
        <f t="shared" si="42"/>
        <v>0</v>
      </c>
      <c r="P107" s="148" t="e">
        <f t="shared" si="41"/>
        <v>#DIV/0!</v>
      </c>
      <c r="Q107" s="76">
        <v>150</v>
      </c>
      <c r="R107" s="113">
        <v>81</v>
      </c>
      <c r="S107" s="298">
        <f t="shared" si="33"/>
        <v>-69</v>
      </c>
      <c r="T107" s="113">
        <f t="shared" si="35"/>
        <v>7257</v>
      </c>
      <c r="U107" s="243" t="s">
        <v>176</v>
      </c>
      <c r="V107" s="82"/>
    </row>
    <row r="108" spans="1:22" s="19" customFormat="1" ht="15.5" x14ac:dyDescent="0.35">
      <c r="A108" s="103"/>
      <c r="B108" s="79"/>
      <c r="C108" s="79"/>
      <c r="D108" s="73">
        <f t="shared" si="38"/>
        <v>1</v>
      </c>
      <c r="E108" s="323">
        <f t="shared" si="39"/>
        <v>0</v>
      </c>
      <c r="F108" s="323"/>
      <c r="G108" s="302">
        <f t="shared" si="43"/>
        <v>0</v>
      </c>
      <c r="H108" s="76"/>
      <c r="I108" s="76"/>
      <c r="J108" s="76"/>
      <c r="K108" s="76"/>
      <c r="L108" s="148">
        <f t="shared" si="37"/>
        <v>0</v>
      </c>
      <c r="M108" s="148">
        <f t="shared" si="24"/>
        <v>0</v>
      </c>
      <c r="N108" s="148">
        <f t="shared" si="36"/>
        <v>0</v>
      </c>
      <c r="O108" s="148">
        <f t="shared" si="42"/>
        <v>0</v>
      </c>
      <c r="P108" s="148" t="e">
        <f t="shared" si="41"/>
        <v>#DIV/0!</v>
      </c>
      <c r="Q108" s="76"/>
      <c r="R108" s="113">
        <f t="shared" ref="R108:R121" si="44">H108</f>
        <v>0</v>
      </c>
      <c r="S108" s="298">
        <f t="shared" si="33"/>
        <v>0</v>
      </c>
      <c r="T108" s="113">
        <f t="shared" si="35"/>
        <v>7257</v>
      </c>
      <c r="U108" s="243"/>
      <c r="V108" s="82"/>
    </row>
    <row r="109" spans="1:22" ht="15.5" x14ac:dyDescent="0.35">
      <c r="A109" s="103"/>
      <c r="B109" s="79"/>
      <c r="C109" s="79"/>
      <c r="D109" s="73">
        <f t="shared" si="38"/>
        <v>1</v>
      </c>
      <c r="E109" s="323">
        <f t="shared" si="39"/>
        <v>0</v>
      </c>
      <c r="F109" s="323"/>
      <c r="G109" s="302">
        <f t="shared" si="43"/>
        <v>0</v>
      </c>
      <c r="H109" s="76"/>
      <c r="I109" s="76"/>
      <c r="J109" s="76"/>
      <c r="K109" s="76"/>
      <c r="L109" s="148">
        <f t="shared" si="37"/>
        <v>0</v>
      </c>
      <c r="M109" s="148">
        <f t="shared" si="24"/>
        <v>0</v>
      </c>
      <c r="N109" s="148">
        <f t="shared" si="36"/>
        <v>0</v>
      </c>
      <c r="O109" s="148">
        <f t="shared" si="42"/>
        <v>0</v>
      </c>
      <c r="P109" s="148" t="e">
        <f t="shared" si="41"/>
        <v>#DIV/0!</v>
      </c>
      <c r="Q109" s="76"/>
      <c r="R109" s="113">
        <f t="shared" si="44"/>
        <v>0</v>
      </c>
      <c r="S109" s="298">
        <f t="shared" si="33"/>
        <v>0</v>
      </c>
      <c r="T109" s="113">
        <f t="shared" si="35"/>
        <v>7257</v>
      </c>
      <c r="U109" s="313"/>
      <c r="V109" s="82"/>
    </row>
    <row r="110" spans="1:22" ht="15.5" x14ac:dyDescent="0.35">
      <c r="A110" s="103"/>
      <c r="B110" s="79"/>
      <c r="C110" s="79"/>
      <c r="D110" s="73">
        <f t="shared" si="38"/>
        <v>1</v>
      </c>
      <c r="E110" s="323">
        <f t="shared" si="39"/>
        <v>0</v>
      </c>
      <c r="F110" s="323"/>
      <c r="G110" s="302">
        <f t="shared" si="43"/>
        <v>0</v>
      </c>
      <c r="H110" s="76"/>
      <c r="I110" s="76"/>
      <c r="J110" s="76"/>
      <c r="K110" s="76"/>
      <c r="L110" s="148">
        <f t="shared" si="37"/>
        <v>0</v>
      </c>
      <c r="M110" s="148">
        <f t="shared" si="24"/>
        <v>0</v>
      </c>
      <c r="N110" s="148">
        <f t="shared" si="36"/>
        <v>0</v>
      </c>
      <c r="O110" s="148">
        <f t="shared" si="42"/>
        <v>0</v>
      </c>
      <c r="P110" s="148" t="e">
        <f t="shared" si="41"/>
        <v>#DIV/0!</v>
      </c>
      <c r="Q110" s="76"/>
      <c r="R110" s="113">
        <f t="shared" si="44"/>
        <v>0</v>
      </c>
      <c r="S110" s="298">
        <f t="shared" si="33"/>
        <v>0</v>
      </c>
      <c r="T110" s="113">
        <f t="shared" si="35"/>
        <v>7257</v>
      </c>
      <c r="U110" s="313"/>
      <c r="V110" s="82"/>
    </row>
    <row r="111" spans="1:22" ht="15.5" x14ac:dyDescent="0.35">
      <c r="A111" s="104"/>
      <c r="B111" s="79"/>
      <c r="C111" s="79"/>
      <c r="D111" s="73">
        <f t="shared" si="38"/>
        <v>1</v>
      </c>
      <c r="E111" s="323">
        <f t="shared" si="39"/>
        <v>0</v>
      </c>
      <c r="F111" s="323"/>
      <c r="G111" s="302">
        <f t="shared" si="43"/>
        <v>0</v>
      </c>
      <c r="H111" s="76"/>
      <c r="I111" s="76"/>
      <c r="J111" s="76"/>
      <c r="K111" s="76"/>
      <c r="L111" s="148">
        <f t="shared" si="37"/>
        <v>0</v>
      </c>
      <c r="M111" s="148">
        <f t="shared" si="24"/>
        <v>0</v>
      </c>
      <c r="N111" s="148">
        <f t="shared" si="36"/>
        <v>0</v>
      </c>
      <c r="O111" s="148">
        <f t="shared" si="42"/>
        <v>0</v>
      </c>
      <c r="P111" s="148" t="e">
        <f t="shared" si="41"/>
        <v>#DIV/0!</v>
      </c>
      <c r="Q111" s="76"/>
      <c r="R111" s="113">
        <f t="shared" si="44"/>
        <v>0</v>
      </c>
      <c r="S111" s="298">
        <f t="shared" si="33"/>
        <v>0</v>
      </c>
      <c r="T111" s="113">
        <f t="shared" si="35"/>
        <v>7257</v>
      </c>
      <c r="U111" s="313"/>
      <c r="V111" s="82"/>
    </row>
    <row r="112" spans="1:22" ht="15.5" x14ac:dyDescent="0.35">
      <c r="A112" s="104"/>
      <c r="B112" s="79"/>
      <c r="C112" s="79"/>
      <c r="D112" s="73">
        <f t="shared" si="38"/>
        <v>1</v>
      </c>
      <c r="E112" s="323">
        <f t="shared" si="39"/>
        <v>0</v>
      </c>
      <c r="F112" s="323"/>
      <c r="G112" s="302">
        <f t="shared" si="43"/>
        <v>0</v>
      </c>
      <c r="H112" s="76"/>
      <c r="I112" s="76"/>
      <c r="J112" s="76"/>
      <c r="K112" s="76"/>
      <c r="L112" s="148">
        <f t="shared" si="37"/>
        <v>0</v>
      </c>
      <c r="M112" s="148">
        <f t="shared" si="24"/>
        <v>0</v>
      </c>
      <c r="N112" s="148">
        <f t="shared" si="36"/>
        <v>0</v>
      </c>
      <c r="O112" s="148">
        <f t="shared" si="42"/>
        <v>0</v>
      </c>
      <c r="P112" s="148" t="e">
        <f t="shared" si="41"/>
        <v>#DIV/0!</v>
      </c>
      <c r="Q112" s="76"/>
      <c r="R112" s="113">
        <f t="shared" si="44"/>
        <v>0</v>
      </c>
      <c r="S112" s="298">
        <f t="shared" si="33"/>
        <v>0</v>
      </c>
      <c r="T112" s="113">
        <f t="shared" si="35"/>
        <v>7257</v>
      </c>
      <c r="U112" s="313"/>
      <c r="V112" s="82"/>
    </row>
    <row r="113" spans="1:121" ht="15.5" x14ac:dyDescent="0.35">
      <c r="A113" s="104"/>
      <c r="B113" s="79"/>
      <c r="C113" s="79"/>
      <c r="D113" s="73">
        <f t="shared" si="38"/>
        <v>1</v>
      </c>
      <c r="E113" s="323">
        <f t="shared" si="39"/>
        <v>0</v>
      </c>
      <c r="F113" s="323"/>
      <c r="G113" s="302">
        <f t="shared" si="43"/>
        <v>0</v>
      </c>
      <c r="H113" s="76"/>
      <c r="I113" s="76"/>
      <c r="J113" s="76"/>
      <c r="K113" s="76"/>
      <c r="L113" s="148">
        <f t="shared" si="37"/>
        <v>0</v>
      </c>
      <c r="M113" s="148">
        <f t="shared" si="24"/>
        <v>0</v>
      </c>
      <c r="N113" s="148">
        <f t="shared" si="36"/>
        <v>0</v>
      </c>
      <c r="O113" s="148">
        <f t="shared" si="42"/>
        <v>0</v>
      </c>
      <c r="P113" s="148" t="e">
        <f t="shared" si="41"/>
        <v>#DIV/0!</v>
      </c>
      <c r="Q113" s="76"/>
      <c r="R113" s="113">
        <f t="shared" si="44"/>
        <v>0</v>
      </c>
      <c r="S113" s="298">
        <f t="shared" si="33"/>
        <v>0</v>
      </c>
      <c r="T113" s="113">
        <f t="shared" si="35"/>
        <v>7257</v>
      </c>
      <c r="U113" s="243"/>
      <c r="V113" s="82"/>
    </row>
    <row r="114" spans="1:121" ht="15.5" x14ac:dyDescent="0.35">
      <c r="A114" s="104"/>
      <c r="B114" s="79"/>
      <c r="C114" s="79"/>
      <c r="D114" s="73">
        <f t="shared" si="38"/>
        <v>1</v>
      </c>
      <c r="E114" s="323">
        <f t="shared" si="39"/>
        <v>0</v>
      </c>
      <c r="F114" s="323"/>
      <c r="G114" s="302">
        <f t="shared" si="43"/>
        <v>0</v>
      </c>
      <c r="H114" s="76"/>
      <c r="I114" s="76"/>
      <c r="J114" s="76"/>
      <c r="K114" s="76"/>
      <c r="L114" s="148">
        <f t="shared" si="37"/>
        <v>0</v>
      </c>
      <c r="M114" s="148">
        <f t="shared" si="24"/>
        <v>0</v>
      </c>
      <c r="N114" s="148">
        <f t="shared" si="36"/>
        <v>0</v>
      </c>
      <c r="O114" s="148">
        <f t="shared" si="42"/>
        <v>0</v>
      </c>
      <c r="P114" s="148" t="e">
        <f t="shared" si="41"/>
        <v>#DIV/0!</v>
      </c>
      <c r="Q114" s="76"/>
      <c r="R114" s="113">
        <f t="shared" si="44"/>
        <v>0</v>
      </c>
      <c r="S114" s="298">
        <f t="shared" si="33"/>
        <v>0</v>
      </c>
      <c r="T114" s="113">
        <f t="shared" si="35"/>
        <v>7257</v>
      </c>
      <c r="U114" s="243"/>
      <c r="V114" s="82"/>
    </row>
    <row r="115" spans="1:121" ht="15.5" x14ac:dyDescent="0.35">
      <c r="A115" s="104"/>
      <c r="B115" s="79"/>
      <c r="C115" s="79"/>
      <c r="D115" s="73">
        <f t="shared" si="38"/>
        <v>1</v>
      </c>
      <c r="E115" s="323">
        <f t="shared" si="39"/>
        <v>0</v>
      </c>
      <c r="F115" s="323"/>
      <c r="G115" s="302">
        <f t="shared" si="43"/>
        <v>0</v>
      </c>
      <c r="H115" s="76"/>
      <c r="I115" s="76"/>
      <c r="J115" s="76"/>
      <c r="K115" s="76"/>
      <c r="L115" s="148">
        <f t="shared" si="37"/>
        <v>0</v>
      </c>
      <c r="M115" s="148">
        <f t="shared" si="24"/>
        <v>0</v>
      </c>
      <c r="N115" s="148">
        <f t="shared" si="36"/>
        <v>0</v>
      </c>
      <c r="O115" s="148">
        <f t="shared" si="42"/>
        <v>0</v>
      </c>
      <c r="P115" s="148" t="e">
        <f t="shared" si="41"/>
        <v>#DIV/0!</v>
      </c>
      <c r="Q115" s="76"/>
      <c r="R115" s="113">
        <f t="shared" si="44"/>
        <v>0</v>
      </c>
      <c r="S115" s="298">
        <f t="shared" si="33"/>
        <v>0</v>
      </c>
      <c r="T115" s="113">
        <f t="shared" si="35"/>
        <v>7257</v>
      </c>
      <c r="U115" s="243"/>
      <c r="V115" s="82"/>
    </row>
    <row r="116" spans="1:121" ht="15.5" x14ac:dyDescent="0.35">
      <c r="A116" s="104"/>
      <c r="B116" s="79"/>
      <c r="C116" s="79"/>
      <c r="D116" s="73">
        <f t="shared" si="38"/>
        <v>1</v>
      </c>
      <c r="E116" s="323">
        <f t="shared" si="39"/>
        <v>0</v>
      </c>
      <c r="F116" s="323"/>
      <c r="G116" s="302">
        <f t="shared" si="43"/>
        <v>0</v>
      </c>
      <c r="H116" s="76"/>
      <c r="I116" s="76"/>
      <c r="J116" s="76"/>
      <c r="K116" s="76"/>
      <c r="L116" s="148">
        <f t="shared" si="37"/>
        <v>0</v>
      </c>
      <c r="M116" s="148">
        <f t="shared" si="24"/>
        <v>0</v>
      </c>
      <c r="N116" s="148">
        <f t="shared" si="36"/>
        <v>0</v>
      </c>
      <c r="O116" s="148">
        <f t="shared" si="42"/>
        <v>0</v>
      </c>
      <c r="P116" s="148" t="e">
        <f t="shared" si="41"/>
        <v>#DIV/0!</v>
      </c>
      <c r="Q116" s="76"/>
      <c r="R116" s="113">
        <f t="shared" si="44"/>
        <v>0</v>
      </c>
      <c r="S116" s="298">
        <f t="shared" si="33"/>
        <v>0</v>
      </c>
      <c r="T116" s="113">
        <f t="shared" si="35"/>
        <v>7257</v>
      </c>
      <c r="U116" s="243"/>
      <c r="V116" s="82"/>
    </row>
    <row r="117" spans="1:121" ht="15.5" x14ac:dyDescent="0.35">
      <c r="A117" s="104"/>
      <c r="B117" s="79"/>
      <c r="C117" s="79"/>
      <c r="D117" s="73">
        <f t="shared" ref="D117:D138" si="45">1+C117-B117</f>
        <v>1</v>
      </c>
      <c r="E117" s="323">
        <f t="shared" si="39"/>
        <v>0</v>
      </c>
      <c r="F117" s="323"/>
      <c r="G117" s="302">
        <f t="shared" si="43"/>
        <v>0</v>
      </c>
      <c r="H117" s="76"/>
      <c r="I117" s="76"/>
      <c r="J117" s="76"/>
      <c r="K117" s="76"/>
      <c r="L117" s="148">
        <f>+H117*$H$6</f>
        <v>0</v>
      </c>
      <c r="M117" s="148">
        <f t="shared" si="24"/>
        <v>0</v>
      </c>
      <c r="N117" s="148">
        <f t="shared" ref="N117:N137" si="46">+J117*$J$6+(K117*15)</f>
        <v>0</v>
      </c>
      <c r="O117" s="148">
        <f t="shared" si="42"/>
        <v>0</v>
      </c>
      <c r="P117" s="148" t="e">
        <f t="shared" si="41"/>
        <v>#DIV/0!</v>
      </c>
      <c r="Q117" s="76"/>
      <c r="R117" s="113">
        <f t="shared" si="44"/>
        <v>0</v>
      </c>
      <c r="S117" s="298">
        <f t="shared" si="33"/>
        <v>0</v>
      </c>
      <c r="T117" s="113">
        <f t="shared" si="35"/>
        <v>7257</v>
      </c>
      <c r="U117" s="313"/>
      <c r="V117" s="82"/>
    </row>
    <row r="118" spans="1:121" ht="15.5" x14ac:dyDescent="0.35">
      <c r="A118" s="104"/>
      <c r="B118" s="79"/>
      <c r="C118" s="79"/>
      <c r="D118" s="73">
        <f t="shared" si="45"/>
        <v>1</v>
      </c>
      <c r="E118" s="323">
        <f t="shared" si="39"/>
        <v>0</v>
      </c>
      <c r="F118" s="323"/>
      <c r="G118" s="302">
        <f t="shared" si="43"/>
        <v>0</v>
      </c>
      <c r="H118" s="76"/>
      <c r="I118" s="76"/>
      <c r="J118" s="76"/>
      <c r="K118" s="76"/>
      <c r="L118" s="148">
        <f t="shared" ref="L118:L123" si="47">+H118*$H$6</f>
        <v>0</v>
      </c>
      <c r="M118" s="148">
        <f t="shared" si="24"/>
        <v>0</v>
      </c>
      <c r="N118" s="148">
        <f t="shared" si="46"/>
        <v>0</v>
      </c>
      <c r="O118" s="148">
        <f t="shared" si="42"/>
        <v>0</v>
      </c>
      <c r="P118" s="148" t="e">
        <f t="shared" si="41"/>
        <v>#DIV/0!</v>
      </c>
      <c r="Q118" s="76"/>
      <c r="R118" s="113">
        <f t="shared" si="44"/>
        <v>0</v>
      </c>
      <c r="S118" s="298">
        <f t="shared" si="33"/>
        <v>0</v>
      </c>
      <c r="T118" s="113">
        <f t="shared" si="35"/>
        <v>7257</v>
      </c>
      <c r="U118" s="313"/>
      <c r="V118" s="82"/>
    </row>
    <row r="119" spans="1:121" ht="15.5" x14ac:dyDescent="0.35">
      <c r="A119" s="104"/>
      <c r="B119" s="79"/>
      <c r="C119" s="79"/>
      <c r="D119" s="73">
        <f t="shared" si="45"/>
        <v>1</v>
      </c>
      <c r="E119" s="323">
        <f t="shared" si="39"/>
        <v>0</v>
      </c>
      <c r="F119" s="323"/>
      <c r="G119" s="302">
        <f t="shared" si="43"/>
        <v>0</v>
      </c>
      <c r="H119" s="76"/>
      <c r="I119" s="76"/>
      <c r="J119" s="76"/>
      <c r="K119" s="76"/>
      <c r="L119" s="148">
        <f t="shared" si="47"/>
        <v>0</v>
      </c>
      <c r="M119" s="148">
        <f t="shared" si="24"/>
        <v>0</v>
      </c>
      <c r="N119" s="148">
        <f t="shared" si="46"/>
        <v>0</v>
      </c>
      <c r="O119" s="148">
        <f t="shared" si="42"/>
        <v>0</v>
      </c>
      <c r="P119" s="148" t="e">
        <f t="shared" si="41"/>
        <v>#DIV/0!</v>
      </c>
      <c r="Q119" s="76"/>
      <c r="R119" s="113">
        <f t="shared" si="44"/>
        <v>0</v>
      </c>
      <c r="S119" s="298">
        <f t="shared" si="33"/>
        <v>0</v>
      </c>
      <c r="T119" s="113">
        <f t="shared" si="35"/>
        <v>7257</v>
      </c>
      <c r="U119" s="313"/>
      <c r="V119" s="82"/>
    </row>
    <row r="120" spans="1:121" ht="15.5" x14ac:dyDescent="0.35">
      <c r="A120" s="104"/>
      <c r="B120" s="79"/>
      <c r="C120" s="79"/>
      <c r="D120" s="73">
        <f t="shared" si="45"/>
        <v>1</v>
      </c>
      <c r="E120" s="323">
        <f t="shared" si="39"/>
        <v>0</v>
      </c>
      <c r="F120" s="323"/>
      <c r="G120" s="302">
        <f t="shared" si="43"/>
        <v>0</v>
      </c>
      <c r="H120" s="76"/>
      <c r="I120" s="76"/>
      <c r="J120" s="76"/>
      <c r="K120" s="76"/>
      <c r="L120" s="148">
        <f t="shared" si="47"/>
        <v>0</v>
      </c>
      <c r="M120" s="148">
        <f t="shared" si="24"/>
        <v>0</v>
      </c>
      <c r="N120" s="148">
        <f t="shared" si="46"/>
        <v>0</v>
      </c>
      <c r="O120" s="148">
        <f t="shared" si="42"/>
        <v>0</v>
      </c>
      <c r="P120" s="148" t="e">
        <f t="shared" si="41"/>
        <v>#DIV/0!</v>
      </c>
      <c r="Q120" s="76"/>
      <c r="R120" s="113">
        <f t="shared" si="44"/>
        <v>0</v>
      </c>
      <c r="S120" s="298">
        <f t="shared" si="33"/>
        <v>0</v>
      </c>
      <c r="T120" s="113">
        <f t="shared" si="35"/>
        <v>7257</v>
      </c>
      <c r="U120" s="243"/>
      <c r="V120" s="82"/>
    </row>
    <row r="121" spans="1:121" ht="15.5" x14ac:dyDescent="0.35">
      <c r="A121" s="104"/>
      <c r="B121" s="79"/>
      <c r="C121" s="79"/>
      <c r="D121" s="73">
        <f t="shared" si="45"/>
        <v>1</v>
      </c>
      <c r="E121" s="323">
        <f t="shared" si="39"/>
        <v>0</v>
      </c>
      <c r="F121" s="323"/>
      <c r="G121" s="302">
        <f t="shared" si="43"/>
        <v>0</v>
      </c>
      <c r="H121" s="76"/>
      <c r="I121" s="76"/>
      <c r="J121" s="76"/>
      <c r="K121" s="76"/>
      <c r="L121" s="148">
        <f t="shared" si="47"/>
        <v>0</v>
      </c>
      <c r="M121" s="148">
        <f>+$I$6*I121</f>
        <v>0</v>
      </c>
      <c r="N121" s="148">
        <f t="shared" si="46"/>
        <v>0</v>
      </c>
      <c r="O121" s="148">
        <f t="shared" si="42"/>
        <v>0</v>
      </c>
      <c r="P121" s="148" t="e">
        <f t="shared" si="41"/>
        <v>#DIV/0!</v>
      </c>
      <c r="Q121" s="76"/>
      <c r="R121" s="113">
        <f t="shared" si="44"/>
        <v>0</v>
      </c>
      <c r="S121" s="298">
        <f t="shared" si="33"/>
        <v>0</v>
      </c>
      <c r="T121" s="113">
        <f t="shared" si="35"/>
        <v>7257</v>
      </c>
      <c r="U121" s="243"/>
      <c r="V121" s="82"/>
    </row>
    <row r="122" spans="1:121" s="247" customFormat="1" ht="15.5" x14ac:dyDescent="0.35">
      <c r="A122" s="104"/>
      <c r="B122" s="79"/>
      <c r="C122" s="79"/>
      <c r="D122" s="73">
        <f t="shared" si="45"/>
        <v>1</v>
      </c>
      <c r="E122" s="323">
        <f t="shared" si="39"/>
        <v>0</v>
      </c>
      <c r="F122" s="323"/>
      <c r="G122" s="302">
        <f t="shared" si="43"/>
        <v>0</v>
      </c>
      <c r="H122" s="112"/>
      <c r="I122" s="112"/>
      <c r="J122" s="112"/>
      <c r="K122" s="231"/>
      <c r="L122" s="112"/>
      <c r="M122" s="151">
        <f>+$I$6*I122</f>
        <v>0</v>
      </c>
      <c r="N122" s="237"/>
      <c r="O122" s="237"/>
      <c r="P122" s="239"/>
      <c r="Q122" s="227"/>
      <c r="R122" s="227"/>
      <c r="S122" s="298">
        <f t="shared" si="33"/>
        <v>0</v>
      </c>
      <c r="T122" s="113">
        <f t="shared" si="35"/>
        <v>7257</v>
      </c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  <c r="BA122" s="228"/>
      <c r="BB122" s="228"/>
      <c r="BC122" s="228"/>
      <c r="BD122" s="228"/>
      <c r="BE122" s="228"/>
      <c r="BF122" s="228"/>
      <c r="BG122" s="228"/>
      <c r="BH122" s="228"/>
      <c r="BI122" s="228"/>
      <c r="BJ122" s="228"/>
      <c r="BK122" s="228"/>
      <c r="BL122" s="228"/>
      <c r="BM122" s="228"/>
      <c r="BN122" s="228"/>
      <c r="BO122" s="228"/>
      <c r="BP122" s="228"/>
      <c r="BQ122" s="228"/>
      <c r="BR122" s="228"/>
      <c r="BS122" s="228"/>
      <c r="BT122" s="228"/>
      <c r="BU122" s="228"/>
      <c r="BV122" s="228"/>
      <c r="BW122" s="228"/>
      <c r="BX122" s="228"/>
      <c r="BY122" s="228"/>
      <c r="BZ122" s="228"/>
      <c r="CA122" s="228"/>
      <c r="CB122" s="228"/>
      <c r="CC122" s="228"/>
      <c r="CD122" s="228"/>
      <c r="CE122" s="228"/>
      <c r="CF122" s="228"/>
      <c r="CG122" s="228"/>
      <c r="CH122" s="228"/>
      <c r="CI122" s="228"/>
      <c r="CJ122" s="228"/>
      <c r="CK122" s="228"/>
      <c r="CL122" s="228"/>
      <c r="CM122" s="228"/>
      <c r="CN122" s="228"/>
      <c r="CO122" s="228"/>
      <c r="CP122" s="228"/>
      <c r="CQ122" s="228"/>
      <c r="CR122" s="228"/>
      <c r="CS122" s="228"/>
      <c r="CT122" s="228"/>
      <c r="CU122" s="228"/>
      <c r="CV122" s="228"/>
      <c r="CW122" s="228"/>
      <c r="CX122" s="228"/>
      <c r="CY122" s="228"/>
      <c r="CZ122" s="228"/>
      <c r="DA122" s="228"/>
      <c r="DB122" s="228"/>
      <c r="DC122" s="228"/>
      <c r="DD122" s="228"/>
      <c r="DE122" s="228"/>
      <c r="DF122" s="228"/>
      <c r="DG122" s="228"/>
      <c r="DH122" s="228"/>
      <c r="DI122" s="228"/>
      <c r="DJ122" s="228"/>
      <c r="DK122" s="228"/>
      <c r="DL122" s="228"/>
      <c r="DM122" s="228"/>
      <c r="DN122" s="228"/>
      <c r="DO122" s="228"/>
      <c r="DP122" s="228"/>
      <c r="DQ122" s="228"/>
    </row>
    <row r="123" spans="1:121" ht="15.5" x14ac:dyDescent="0.35">
      <c r="A123" s="104"/>
      <c r="B123" s="79"/>
      <c r="C123" s="79"/>
      <c r="D123" s="73">
        <f t="shared" si="45"/>
        <v>1</v>
      </c>
      <c r="E123" s="323">
        <f t="shared" ref="E123:E136" si="48">F122</f>
        <v>0</v>
      </c>
      <c r="F123" s="323"/>
      <c r="G123" s="302">
        <f t="shared" si="43"/>
        <v>0</v>
      </c>
      <c r="H123" s="76"/>
      <c r="I123" s="76"/>
      <c r="J123" s="76"/>
      <c r="K123" s="76"/>
      <c r="L123" s="148">
        <f t="shared" si="47"/>
        <v>0</v>
      </c>
      <c r="M123" s="148">
        <f>+$I$6*I123</f>
        <v>0</v>
      </c>
      <c r="N123" s="148">
        <f t="shared" si="46"/>
        <v>0</v>
      </c>
      <c r="O123" s="148">
        <f t="shared" si="42"/>
        <v>0</v>
      </c>
      <c r="P123" s="148" t="e">
        <f t="shared" ref="P123:P150" si="49">+(+L123+N123)/G123</f>
        <v>#DIV/0!</v>
      </c>
      <c r="Q123" s="76"/>
      <c r="R123" s="113">
        <f t="shared" ref="R123:R149" si="50">H123</f>
        <v>0</v>
      </c>
      <c r="S123" s="298">
        <f t="shared" si="33"/>
        <v>0</v>
      </c>
      <c r="T123" s="113">
        <f t="shared" si="35"/>
        <v>7257</v>
      </c>
      <c r="U123" s="243"/>
      <c r="V123" s="82"/>
    </row>
    <row r="124" spans="1:121" ht="15.5" x14ac:dyDescent="0.35">
      <c r="A124" s="104"/>
      <c r="B124" s="312"/>
      <c r="C124" s="312"/>
      <c r="D124" s="73">
        <f t="shared" si="45"/>
        <v>1</v>
      </c>
      <c r="E124" s="323">
        <f t="shared" si="48"/>
        <v>0</v>
      </c>
      <c r="F124" s="323"/>
      <c r="G124" s="302">
        <f t="shared" si="43"/>
        <v>0</v>
      </c>
      <c r="H124" s="76"/>
      <c r="I124" s="76"/>
      <c r="J124" s="76"/>
      <c r="K124" s="76"/>
      <c r="L124" s="148">
        <f t="shared" ref="L124:L139" si="51">+H124*$H$6</f>
        <v>0</v>
      </c>
      <c r="M124" s="148">
        <f t="shared" ref="M124:M143" si="52">+$I$6*I124</f>
        <v>0</v>
      </c>
      <c r="N124" s="148">
        <f t="shared" si="46"/>
        <v>0</v>
      </c>
      <c r="O124" s="148">
        <f t="shared" si="42"/>
        <v>0</v>
      </c>
      <c r="P124" s="148" t="e">
        <f t="shared" si="49"/>
        <v>#DIV/0!</v>
      </c>
      <c r="Q124" s="76"/>
      <c r="R124" s="113">
        <f t="shared" si="50"/>
        <v>0</v>
      </c>
      <c r="S124" s="298">
        <f t="shared" si="33"/>
        <v>0</v>
      </c>
      <c r="T124" s="113">
        <f t="shared" si="35"/>
        <v>7257</v>
      </c>
      <c r="U124" s="243"/>
      <c r="V124" s="82"/>
    </row>
    <row r="125" spans="1:121" ht="15.5" x14ac:dyDescent="0.35">
      <c r="A125" s="104"/>
      <c r="B125" s="312"/>
      <c r="C125" s="312"/>
      <c r="D125" s="73">
        <f t="shared" si="45"/>
        <v>1</v>
      </c>
      <c r="E125" s="323">
        <f t="shared" si="48"/>
        <v>0</v>
      </c>
      <c r="F125" s="323"/>
      <c r="G125" s="302">
        <f t="shared" si="43"/>
        <v>0</v>
      </c>
      <c r="H125" s="76"/>
      <c r="I125" s="76"/>
      <c r="J125" s="76"/>
      <c r="K125" s="76"/>
      <c r="L125" s="148">
        <f t="shared" si="51"/>
        <v>0</v>
      </c>
      <c r="M125" s="148">
        <f t="shared" si="52"/>
        <v>0</v>
      </c>
      <c r="N125" s="148">
        <f t="shared" si="46"/>
        <v>0</v>
      </c>
      <c r="O125" s="148">
        <f t="shared" si="42"/>
        <v>0</v>
      </c>
      <c r="P125" s="148" t="e">
        <f t="shared" si="49"/>
        <v>#DIV/0!</v>
      </c>
      <c r="Q125" s="76"/>
      <c r="R125" s="113">
        <f t="shared" si="50"/>
        <v>0</v>
      </c>
      <c r="S125" s="298">
        <f t="shared" si="33"/>
        <v>0</v>
      </c>
      <c r="T125" s="113">
        <f t="shared" si="35"/>
        <v>7257</v>
      </c>
      <c r="U125" s="243"/>
      <c r="V125" s="82"/>
    </row>
    <row r="126" spans="1:121" ht="15.5" x14ac:dyDescent="0.35">
      <c r="A126" s="104"/>
      <c r="B126" s="312"/>
      <c r="C126" s="312"/>
      <c r="D126" s="73">
        <f t="shared" si="45"/>
        <v>1</v>
      </c>
      <c r="E126" s="323">
        <f t="shared" si="48"/>
        <v>0</v>
      </c>
      <c r="F126" s="323"/>
      <c r="G126" s="302">
        <f t="shared" si="43"/>
        <v>0</v>
      </c>
      <c r="H126" s="76"/>
      <c r="I126" s="76"/>
      <c r="J126" s="76"/>
      <c r="K126" s="76"/>
      <c r="L126" s="148">
        <f t="shared" si="51"/>
        <v>0</v>
      </c>
      <c r="M126" s="148">
        <f t="shared" si="52"/>
        <v>0</v>
      </c>
      <c r="N126" s="148">
        <f t="shared" si="46"/>
        <v>0</v>
      </c>
      <c r="O126" s="148">
        <f t="shared" si="42"/>
        <v>0</v>
      </c>
      <c r="P126" s="148" t="e">
        <f t="shared" si="49"/>
        <v>#DIV/0!</v>
      </c>
      <c r="Q126" s="76"/>
      <c r="R126" s="113">
        <f t="shared" si="50"/>
        <v>0</v>
      </c>
      <c r="S126" s="298">
        <f t="shared" si="33"/>
        <v>0</v>
      </c>
      <c r="T126" s="113">
        <f t="shared" si="35"/>
        <v>7257</v>
      </c>
      <c r="U126" s="243"/>
      <c r="V126" s="82"/>
    </row>
    <row r="127" spans="1:121" ht="15.5" x14ac:dyDescent="0.35">
      <c r="A127" s="104"/>
      <c r="B127" s="240"/>
      <c r="C127" s="312"/>
      <c r="D127" s="73">
        <f t="shared" si="45"/>
        <v>1</v>
      </c>
      <c r="E127" s="323">
        <f t="shared" si="48"/>
        <v>0</v>
      </c>
      <c r="F127" s="323"/>
      <c r="G127" s="302">
        <f t="shared" si="43"/>
        <v>0</v>
      </c>
      <c r="H127" s="76"/>
      <c r="I127" s="76"/>
      <c r="J127" s="76"/>
      <c r="K127" s="76"/>
      <c r="L127" s="148">
        <f t="shared" si="51"/>
        <v>0</v>
      </c>
      <c r="M127" s="148">
        <f t="shared" si="52"/>
        <v>0</v>
      </c>
      <c r="N127" s="148">
        <f t="shared" si="46"/>
        <v>0</v>
      </c>
      <c r="O127" s="148">
        <f t="shared" si="42"/>
        <v>0</v>
      </c>
      <c r="P127" s="148" t="e">
        <f t="shared" si="49"/>
        <v>#DIV/0!</v>
      </c>
      <c r="Q127" s="76"/>
      <c r="R127" s="113">
        <f t="shared" si="50"/>
        <v>0</v>
      </c>
      <c r="S127" s="298">
        <f t="shared" si="33"/>
        <v>0</v>
      </c>
      <c r="T127" s="113">
        <f t="shared" si="35"/>
        <v>7257</v>
      </c>
      <c r="U127" s="243"/>
      <c r="V127" s="82"/>
    </row>
    <row r="128" spans="1:121" ht="15.5" x14ac:dyDescent="0.35">
      <c r="A128" s="104"/>
      <c r="B128" s="312"/>
      <c r="C128" s="312"/>
      <c r="D128" s="73">
        <f t="shared" si="45"/>
        <v>1</v>
      </c>
      <c r="E128" s="323">
        <f t="shared" si="48"/>
        <v>0</v>
      </c>
      <c r="F128" s="323"/>
      <c r="G128" s="302">
        <f t="shared" si="43"/>
        <v>0</v>
      </c>
      <c r="H128" s="76"/>
      <c r="I128" s="76"/>
      <c r="J128" s="76"/>
      <c r="K128" s="76"/>
      <c r="L128" s="148">
        <f t="shared" si="51"/>
        <v>0</v>
      </c>
      <c r="M128" s="148">
        <f t="shared" si="52"/>
        <v>0</v>
      </c>
      <c r="N128" s="148">
        <f t="shared" si="46"/>
        <v>0</v>
      </c>
      <c r="O128" s="148">
        <f t="shared" si="42"/>
        <v>0</v>
      </c>
      <c r="P128" s="148" t="e">
        <f t="shared" si="49"/>
        <v>#DIV/0!</v>
      </c>
      <c r="Q128" s="76"/>
      <c r="R128" s="113">
        <f t="shared" si="50"/>
        <v>0</v>
      </c>
      <c r="S128" s="298">
        <f t="shared" si="33"/>
        <v>0</v>
      </c>
      <c r="T128" s="113">
        <f t="shared" si="35"/>
        <v>7257</v>
      </c>
      <c r="U128" s="243"/>
      <c r="V128" s="82"/>
    </row>
    <row r="129" spans="1:22" ht="15.5" x14ac:dyDescent="0.35">
      <c r="A129" s="104"/>
      <c r="B129" s="312"/>
      <c r="C129" s="312"/>
      <c r="D129" s="73">
        <f t="shared" si="45"/>
        <v>1</v>
      </c>
      <c r="E129" s="323">
        <f t="shared" si="48"/>
        <v>0</v>
      </c>
      <c r="F129" s="323"/>
      <c r="G129" s="302">
        <f t="shared" si="43"/>
        <v>0</v>
      </c>
      <c r="H129" s="76"/>
      <c r="I129" s="76"/>
      <c r="J129" s="76"/>
      <c r="K129" s="76"/>
      <c r="L129" s="148">
        <f t="shared" si="51"/>
        <v>0</v>
      </c>
      <c r="M129" s="148">
        <f t="shared" si="52"/>
        <v>0</v>
      </c>
      <c r="N129" s="148">
        <f t="shared" si="46"/>
        <v>0</v>
      </c>
      <c r="O129" s="148">
        <f t="shared" si="42"/>
        <v>0</v>
      </c>
      <c r="P129" s="148" t="e">
        <f t="shared" si="49"/>
        <v>#DIV/0!</v>
      </c>
      <c r="Q129" s="76"/>
      <c r="R129" s="113">
        <f t="shared" si="50"/>
        <v>0</v>
      </c>
      <c r="S129" s="298">
        <f t="shared" si="33"/>
        <v>0</v>
      </c>
      <c r="T129" s="113">
        <f t="shared" si="35"/>
        <v>7257</v>
      </c>
      <c r="U129" s="243"/>
      <c r="V129" s="82"/>
    </row>
    <row r="130" spans="1:22" ht="15.5" x14ac:dyDescent="0.35">
      <c r="A130" s="104"/>
      <c r="B130" s="312"/>
      <c r="C130" s="312"/>
      <c r="D130" s="73">
        <f t="shared" si="45"/>
        <v>1</v>
      </c>
      <c r="E130" s="323">
        <f t="shared" si="48"/>
        <v>0</v>
      </c>
      <c r="F130" s="323"/>
      <c r="G130" s="302">
        <f t="shared" si="43"/>
        <v>0</v>
      </c>
      <c r="H130" s="76"/>
      <c r="I130" s="76"/>
      <c r="J130" s="76"/>
      <c r="K130" s="76"/>
      <c r="L130" s="148">
        <f t="shared" si="51"/>
        <v>0</v>
      </c>
      <c r="M130" s="148">
        <f t="shared" si="52"/>
        <v>0</v>
      </c>
      <c r="N130" s="148">
        <f t="shared" si="46"/>
        <v>0</v>
      </c>
      <c r="O130" s="148">
        <f t="shared" si="42"/>
        <v>0</v>
      </c>
      <c r="P130" s="148" t="e">
        <f t="shared" si="49"/>
        <v>#DIV/0!</v>
      </c>
      <c r="Q130" s="76"/>
      <c r="R130" s="113">
        <f t="shared" si="50"/>
        <v>0</v>
      </c>
      <c r="S130" s="298">
        <f t="shared" si="33"/>
        <v>0</v>
      </c>
      <c r="T130" s="113">
        <f t="shared" si="35"/>
        <v>7257</v>
      </c>
      <c r="U130" s="243"/>
      <c r="V130" s="82"/>
    </row>
    <row r="131" spans="1:22" ht="15.5" x14ac:dyDescent="0.35">
      <c r="A131" s="104"/>
      <c r="B131" s="312"/>
      <c r="C131" s="312"/>
      <c r="D131" s="73">
        <f t="shared" si="45"/>
        <v>1</v>
      </c>
      <c r="E131" s="323">
        <f t="shared" si="48"/>
        <v>0</v>
      </c>
      <c r="F131" s="323"/>
      <c r="G131" s="302">
        <f t="shared" si="43"/>
        <v>0</v>
      </c>
      <c r="H131" s="76"/>
      <c r="I131" s="76"/>
      <c r="J131" s="76"/>
      <c r="K131" s="76"/>
      <c r="L131" s="148">
        <f t="shared" si="51"/>
        <v>0</v>
      </c>
      <c r="M131" s="148">
        <f t="shared" si="52"/>
        <v>0</v>
      </c>
      <c r="N131" s="148">
        <f t="shared" si="46"/>
        <v>0</v>
      </c>
      <c r="O131" s="148">
        <f t="shared" si="42"/>
        <v>0</v>
      </c>
      <c r="P131" s="148" t="e">
        <f t="shared" si="49"/>
        <v>#DIV/0!</v>
      </c>
      <c r="Q131" s="76"/>
      <c r="R131" s="113">
        <f t="shared" si="50"/>
        <v>0</v>
      </c>
      <c r="S131" s="298">
        <f t="shared" si="33"/>
        <v>0</v>
      </c>
      <c r="T131" s="113">
        <f t="shared" si="35"/>
        <v>7257</v>
      </c>
      <c r="U131" s="243"/>
      <c r="V131" s="77"/>
    </row>
    <row r="132" spans="1:22" ht="15.5" x14ac:dyDescent="0.35">
      <c r="A132" s="104"/>
      <c r="B132" s="312"/>
      <c r="C132" s="312"/>
      <c r="D132" s="73">
        <f t="shared" si="45"/>
        <v>1</v>
      </c>
      <c r="E132" s="323">
        <f t="shared" si="48"/>
        <v>0</v>
      </c>
      <c r="F132" s="323"/>
      <c r="G132" s="302">
        <f t="shared" si="43"/>
        <v>0</v>
      </c>
      <c r="H132" s="76"/>
      <c r="I132" s="76"/>
      <c r="J132" s="76"/>
      <c r="K132" s="76"/>
      <c r="L132" s="148">
        <f t="shared" si="51"/>
        <v>0</v>
      </c>
      <c r="M132" s="148">
        <f t="shared" si="52"/>
        <v>0</v>
      </c>
      <c r="N132" s="148">
        <f t="shared" si="46"/>
        <v>0</v>
      </c>
      <c r="O132" s="148">
        <f t="shared" si="42"/>
        <v>0</v>
      </c>
      <c r="P132" s="148" t="e">
        <f t="shared" si="49"/>
        <v>#DIV/0!</v>
      </c>
      <c r="Q132" s="76"/>
      <c r="R132" s="113">
        <f t="shared" si="50"/>
        <v>0</v>
      </c>
      <c r="S132" s="298">
        <f t="shared" si="33"/>
        <v>0</v>
      </c>
      <c r="T132" s="113">
        <f t="shared" si="35"/>
        <v>7257</v>
      </c>
      <c r="U132" s="243"/>
      <c r="V132" s="77"/>
    </row>
    <row r="133" spans="1:22" ht="15.5" x14ac:dyDescent="0.35">
      <c r="A133" s="104"/>
      <c r="B133" s="312"/>
      <c r="C133" s="312"/>
      <c r="D133" s="73">
        <f t="shared" si="45"/>
        <v>1</v>
      </c>
      <c r="E133" s="323">
        <f t="shared" si="48"/>
        <v>0</v>
      </c>
      <c r="F133" s="323"/>
      <c r="G133" s="302">
        <f t="shared" si="43"/>
        <v>0</v>
      </c>
      <c r="H133" s="76"/>
      <c r="I133" s="76"/>
      <c r="J133" s="76"/>
      <c r="K133" s="76"/>
      <c r="L133" s="148">
        <f t="shared" si="51"/>
        <v>0</v>
      </c>
      <c r="M133" s="148">
        <f t="shared" si="52"/>
        <v>0</v>
      </c>
      <c r="N133" s="148">
        <f t="shared" si="46"/>
        <v>0</v>
      </c>
      <c r="O133" s="148">
        <f t="shared" si="42"/>
        <v>0</v>
      </c>
      <c r="P133" s="148" t="e">
        <f t="shared" si="49"/>
        <v>#DIV/0!</v>
      </c>
      <c r="Q133" s="76"/>
      <c r="R133" s="76">
        <f t="shared" si="50"/>
        <v>0</v>
      </c>
      <c r="S133" s="298">
        <f t="shared" si="33"/>
        <v>0</v>
      </c>
      <c r="T133" s="113">
        <f t="shared" si="35"/>
        <v>7257</v>
      </c>
      <c r="U133" s="243"/>
      <c r="V133" s="77"/>
    </row>
    <row r="134" spans="1:22" ht="15.5" x14ac:dyDescent="0.35">
      <c r="A134" s="104"/>
      <c r="B134" s="312"/>
      <c r="C134" s="312"/>
      <c r="D134" s="73">
        <f t="shared" si="45"/>
        <v>1</v>
      </c>
      <c r="E134" s="323">
        <f t="shared" si="48"/>
        <v>0</v>
      </c>
      <c r="F134" s="323"/>
      <c r="G134" s="302">
        <f t="shared" si="43"/>
        <v>0</v>
      </c>
      <c r="H134" s="76"/>
      <c r="I134" s="76"/>
      <c r="J134" s="76"/>
      <c r="K134" s="76"/>
      <c r="L134" s="148">
        <f t="shared" si="51"/>
        <v>0</v>
      </c>
      <c r="M134" s="148">
        <f t="shared" si="52"/>
        <v>0</v>
      </c>
      <c r="N134" s="148">
        <f t="shared" si="46"/>
        <v>0</v>
      </c>
      <c r="O134" s="148">
        <f t="shared" si="42"/>
        <v>0</v>
      </c>
      <c r="P134" s="148" t="e">
        <f t="shared" si="49"/>
        <v>#DIV/0!</v>
      </c>
      <c r="Q134" s="76"/>
      <c r="R134" s="76">
        <f t="shared" si="50"/>
        <v>0</v>
      </c>
      <c r="S134" s="298">
        <f t="shared" si="33"/>
        <v>0</v>
      </c>
      <c r="T134" s="113">
        <f t="shared" si="35"/>
        <v>7257</v>
      </c>
      <c r="U134" s="243"/>
      <c r="V134" s="77"/>
    </row>
    <row r="135" spans="1:22" ht="15.5" x14ac:dyDescent="0.35">
      <c r="A135" s="104"/>
      <c r="B135" s="312"/>
      <c r="C135" s="312"/>
      <c r="D135" s="73">
        <f t="shared" si="45"/>
        <v>1</v>
      </c>
      <c r="E135" s="323">
        <f t="shared" si="48"/>
        <v>0</v>
      </c>
      <c r="F135" s="323"/>
      <c r="G135" s="302">
        <f t="shared" ref="G135:G150" si="53">(F135-E135)/100</f>
        <v>0</v>
      </c>
      <c r="H135" s="76"/>
      <c r="I135" s="76"/>
      <c r="J135" s="76"/>
      <c r="K135" s="76"/>
      <c r="L135" s="148">
        <f t="shared" si="51"/>
        <v>0</v>
      </c>
      <c r="M135" s="148">
        <f t="shared" si="52"/>
        <v>0</v>
      </c>
      <c r="N135" s="148">
        <f t="shared" si="46"/>
        <v>0</v>
      </c>
      <c r="O135" s="148">
        <f t="shared" si="42"/>
        <v>0</v>
      </c>
      <c r="P135" s="148" t="e">
        <f t="shared" si="49"/>
        <v>#DIV/0!</v>
      </c>
      <c r="Q135" s="76"/>
      <c r="R135" s="76">
        <f t="shared" si="50"/>
        <v>0</v>
      </c>
      <c r="S135" s="298">
        <f t="shared" si="33"/>
        <v>0</v>
      </c>
      <c r="T135" s="113">
        <f t="shared" si="35"/>
        <v>7257</v>
      </c>
      <c r="U135" s="243"/>
      <c r="V135" s="77"/>
    </row>
    <row r="136" spans="1:22" ht="15.5" x14ac:dyDescent="0.35">
      <c r="A136" s="104"/>
      <c r="B136" s="312"/>
      <c r="C136" s="312"/>
      <c r="D136" s="73">
        <f t="shared" si="45"/>
        <v>1</v>
      </c>
      <c r="E136" s="323">
        <f t="shared" si="48"/>
        <v>0</v>
      </c>
      <c r="F136" s="323"/>
      <c r="G136" s="302">
        <f t="shared" si="53"/>
        <v>0</v>
      </c>
      <c r="H136" s="76"/>
      <c r="I136" s="76"/>
      <c r="J136" s="76"/>
      <c r="K136" s="76"/>
      <c r="L136" s="148">
        <f t="shared" si="51"/>
        <v>0</v>
      </c>
      <c r="M136" s="148">
        <f t="shared" si="52"/>
        <v>0</v>
      </c>
      <c r="N136" s="148">
        <f t="shared" si="46"/>
        <v>0</v>
      </c>
      <c r="O136" s="148">
        <f t="shared" si="42"/>
        <v>0</v>
      </c>
      <c r="P136" s="148" t="e">
        <f t="shared" si="49"/>
        <v>#DIV/0!</v>
      </c>
      <c r="Q136" s="76"/>
      <c r="R136" s="76">
        <f t="shared" si="50"/>
        <v>0</v>
      </c>
      <c r="S136" s="298">
        <f>R136-Q136</f>
        <v>0</v>
      </c>
      <c r="T136" s="113">
        <f t="shared" si="35"/>
        <v>7257</v>
      </c>
      <c r="U136" s="243"/>
      <c r="V136" s="77"/>
    </row>
    <row r="137" spans="1:22" ht="15.5" x14ac:dyDescent="0.35">
      <c r="A137" s="104"/>
      <c r="B137" s="312"/>
      <c r="C137" s="312"/>
      <c r="D137" s="73">
        <f t="shared" si="45"/>
        <v>1</v>
      </c>
      <c r="E137" s="323">
        <f t="shared" ref="E137:E150" si="54">F136</f>
        <v>0</v>
      </c>
      <c r="F137" s="323"/>
      <c r="G137" s="302">
        <f t="shared" si="53"/>
        <v>0</v>
      </c>
      <c r="H137" s="76"/>
      <c r="I137" s="76"/>
      <c r="J137" s="76"/>
      <c r="K137" s="76"/>
      <c r="L137" s="148">
        <f t="shared" si="51"/>
        <v>0</v>
      </c>
      <c r="M137" s="148">
        <f t="shared" si="52"/>
        <v>0</v>
      </c>
      <c r="N137" s="148">
        <f t="shared" si="46"/>
        <v>0</v>
      </c>
      <c r="O137" s="148">
        <f t="shared" si="42"/>
        <v>0</v>
      </c>
      <c r="P137" s="148" t="e">
        <f t="shared" si="49"/>
        <v>#DIV/0!</v>
      </c>
      <c r="Q137" s="76"/>
      <c r="R137" s="76">
        <f t="shared" si="50"/>
        <v>0</v>
      </c>
      <c r="S137" s="298">
        <f>R137-Q137</f>
        <v>0</v>
      </c>
      <c r="T137" s="113">
        <f t="shared" si="35"/>
        <v>7257</v>
      </c>
      <c r="U137" s="243"/>
      <c r="V137" s="77"/>
    </row>
    <row r="138" spans="1:22" ht="15.5" x14ac:dyDescent="0.35">
      <c r="A138" s="104"/>
      <c r="B138" s="312"/>
      <c r="C138" s="312"/>
      <c r="D138" s="73">
        <f t="shared" si="45"/>
        <v>1</v>
      </c>
      <c r="E138" s="323">
        <f t="shared" si="54"/>
        <v>0</v>
      </c>
      <c r="F138" s="323"/>
      <c r="G138" s="302">
        <f t="shared" si="53"/>
        <v>0</v>
      </c>
      <c r="H138" s="76"/>
      <c r="I138" s="76"/>
      <c r="J138" s="76"/>
      <c r="K138" s="76"/>
      <c r="L138" s="148">
        <f t="shared" si="51"/>
        <v>0</v>
      </c>
      <c r="M138" s="148">
        <f t="shared" si="52"/>
        <v>0</v>
      </c>
      <c r="N138" s="148">
        <f t="shared" ref="N138:N150" si="55">+J138*$J$6+(K138*15)</f>
        <v>0</v>
      </c>
      <c r="O138" s="148">
        <f t="shared" si="42"/>
        <v>0</v>
      </c>
      <c r="P138" s="148" t="e">
        <f t="shared" si="49"/>
        <v>#DIV/0!</v>
      </c>
      <c r="Q138" s="76"/>
      <c r="R138" s="76">
        <f t="shared" si="50"/>
        <v>0</v>
      </c>
      <c r="S138" s="298">
        <f>R138-Q138</f>
        <v>0</v>
      </c>
      <c r="T138" s="113">
        <f t="shared" si="35"/>
        <v>7257</v>
      </c>
      <c r="U138" s="243"/>
      <c r="V138" s="77"/>
    </row>
    <row r="139" spans="1:22" ht="15.5" x14ac:dyDescent="0.35">
      <c r="A139" s="194"/>
      <c r="B139" s="312"/>
      <c r="C139" s="312"/>
      <c r="D139" s="73">
        <f t="shared" ref="D139:D151" si="56">1+C139-B139</f>
        <v>1</v>
      </c>
      <c r="E139" s="323">
        <f t="shared" si="54"/>
        <v>0</v>
      </c>
      <c r="F139" s="323"/>
      <c r="G139" s="302">
        <f t="shared" si="53"/>
        <v>0</v>
      </c>
      <c r="H139" s="76"/>
      <c r="I139" s="76"/>
      <c r="J139" s="76"/>
      <c r="K139" s="76"/>
      <c r="L139" s="148">
        <f t="shared" si="51"/>
        <v>0</v>
      </c>
      <c r="M139" s="148">
        <f t="shared" si="52"/>
        <v>0</v>
      </c>
      <c r="N139" s="148">
        <f t="shared" si="55"/>
        <v>0</v>
      </c>
      <c r="O139" s="148">
        <f t="shared" si="42"/>
        <v>0</v>
      </c>
      <c r="P139" s="148" t="e">
        <f t="shared" si="49"/>
        <v>#DIV/0!</v>
      </c>
      <c r="Q139" s="76"/>
      <c r="R139" s="76">
        <f t="shared" si="50"/>
        <v>0</v>
      </c>
      <c r="S139" s="150">
        <f>+Q139-R139</f>
        <v>0</v>
      </c>
      <c r="T139" s="113">
        <f t="shared" ref="T139:T150" si="57">T138-(S139)</f>
        <v>7257</v>
      </c>
      <c r="U139" s="243"/>
      <c r="V139" s="77"/>
    </row>
    <row r="140" spans="1:22" ht="15.5" x14ac:dyDescent="0.35">
      <c r="A140" s="194"/>
      <c r="B140" s="312"/>
      <c r="C140" s="312"/>
      <c r="D140" s="73">
        <f t="shared" si="56"/>
        <v>1</v>
      </c>
      <c r="E140" s="323">
        <f t="shared" si="54"/>
        <v>0</v>
      </c>
      <c r="F140" s="323"/>
      <c r="G140" s="302">
        <f t="shared" si="53"/>
        <v>0</v>
      </c>
      <c r="H140" s="76"/>
      <c r="I140" s="76"/>
      <c r="J140" s="76"/>
      <c r="K140" s="76"/>
      <c r="L140" s="148">
        <f>+H140*$H$6</f>
        <v>0</v>
      </c>
      <c r="M140" s="148">
        <f t="shared" si="52"/>
        <v>0</v>
      </c>
      <c r="N140" s="148">
        <f t="shared" si="55"/>
        <v>0</v>
      </c>
      <c r="O140" s="148">
        <f t="shared" si="42"/>
        <v>0</v>
      </c>
      <c r="P140" s="148" t="e">
        <f t="shared" si="49"/>
        <v>#DIV/0!</v>
      </c>
      <c r="Q140" s="76"/>
      <c r="R140" s="76">
        <f t="shared" si="50"/>
        <v>0</v>
      </c>
      <c r="S140" s="150">
        <f>+Q140-R140</f>
        <v>0</v>
      </c>
      <c r="T140" s="113">
        <f t="shared" si="57"/>
        <v>7257</v>
      </c>
      <c r="U140" s="243"/>
      <c r="V140" s="77"/>
    </row>
    <row r="141" spans="1:22" ht="15.5" x14ac:dyDescent="0.35">
      <c r="A141" s="194"/>
      <c r="B141" s="312"/>
      <c r="C141" s="312"/>
      <c r="D141" s="73">
        <f t="shared" si="56"/>
        <v>1</v>
      </c>
      <c r="E141" s="323">
        <f t="shared" si="54"/>
        <v>0</v>
      </c>
      <c r="F141" s="323"/>
      <c r="G141" s="302">
        <f t="shared" si="53"/>
        <v>0</v>
      </c>
      <c r="H141" s="76"/>
      <c r="I141" s="76"/>
      <c r="J141" s="76"/>
      <c r="K141" s="76"/>
      <c r="L141" s="148">
        <f t="shared" ref="L141:L149" si="58">+H141*$H$6</f>
        <v>0</v>
      </c>
      <c r="M141" s="148">
        <f t="shared" si="52"/>
        <v>0</v>
      </c>
      <c r="N141" s="148">
        <f t="shared" si="55"/>
        <v>0</v>
      </c>
      <c r="O141" s="148">
        <f t="shared" si="42"/>
        <v>0</v>
      </c>
      <c r="P141" s="148" t="e">
        <f t="shared" si="49"/>
        <v>#DIV/0!</v>
      </c>
      <c r="Q141" s="76"/>
      <c r="R141" s="76">
        <f t="shared" si="50"/>
        <v>0</v>
      </c>
      <c r="S141" s="150">
        <f t="shared" ref="S141:S150" si="59">+Q141-R141</f>
        <v>0</v>
      </c>
      <c r="T141" s="113">
        <f t="shared" si="57"/>
        <v>7257</v>
      </c>
      <c r="U141" s="243"/>
      <c r="V141" s="77"/>
    </row>
    <row r="142" spans="1:22" ht="15.5" x14ac:dyDescent="0.35">
      <c r="A142" s="194"/>
      <c r="B142" s="312"/>
      <c r="C142" s="312"/>
      <c r="D142" s="73">
        <f t="shared" si="56"/>
        <v>1</v>
      </c>
      <c r="E142" s="323">
        <f t="shared" si="54"/>
        <v>0</v>
      </c>
      <c r="F142" s="323"/>
      <c r="G142" s="302">
        <f t="shared" si="53"/>
        <v>0</v>
      </c>
      <c r="H142" s="76"/>
      <c r="I142" s="76"/>
      <c r="J142" s="76"/>
      <c r="K142" s="76"/>
      <c r="L142" s="148">
        <f t="shared" si="58"/>
        <v>0</v>
      </c>
      <c r="M142" s="148">
        <f t="shared" si="52"/>
        <v>0</v>
      </c>
      <c r="N142" s="148">
        <f t="shared" si="55"/>
        <v>0</v>
      </c>
      <c r="O142" s="148">
        <f t="shared" si="42"/>
        <v>0</v>
      </c>
      <c r="P142" s="148" t="e">
        <f t="shared" si="49"/>
        <v>#DIV/0!</v>
      </c>
      <c r="Q142" s="76"/>
      <c r="R142" s="76">
        <f t="shared" si="50"/>
        <v>0</v>
      </c>
      <c r="S142" s="150">
        <f t="shared" si="59"/>
        <v>0</v>
      </c>
      <c r="T142" s="113">
        <f t="shared" si="57"/>
        <v>7257</v>
      </c>
      <c r="U142" s="243"/>
      <c r="V142" s="77"/>
    </row>
    <row r="143" spans="1:22" ht="15.5" x14ac:dyDescent="0.35">
      <c r="A143" s="194"/>
      <c r="B143" s="312"/>
      <c r="C143" s="312"/>
      <c r="D143" s="73">
        <f t="shared" si="56"/>
        <v>1</v>
      </c>
      <c r="E143" s="323">
        <f t="shared" si="54"/>
        <v>0</v>
      </c>
      <c r="F143" s="323"/>
      <c r="G143" s="302">
        <f t="shared" si="53"/>
        <v>0</v>
      </c>
      <c r="H143" s="76"/>
      <c r="I143" s="76"/>
      <c r="J143" s="76"/>
      <c r="K143" s="76"/>
      <c r="L143" s="148">
        <f t="shared" si="58"/>
        <v>0</v>
      </c>
      <c r="M143" s="148">
        <f t="shared" si="52"/>
        <v>0</v>
      </c>
      <c r="N143" s="148">
        <f t="shared" si="55"/>
        <v>0</v>
      </c>
      <c r="O143" s="148">
        <f t="shared" si="42"/>
        <v>0</v>
      </c>
      <c r="P143" s="148" t="e">
        <f t="shared" si="49"/>
        <v>#DIV/0!</v>
      </c>
      <c r="Q143" s="76"/>
      <c r="R143" s="76">
        <f t="shared" si="50"/>
        <v>0</v>
      </c>
      <c r="S143" s="150">
        <f t="shared" si="59"/>
        <v>0</v>
      </c>
      <c r="T143" s="113">
        <f t="shared" si="57"/>
        <v>7257</v>
      </c>
      <c r="U143" s="243"/>
      <c r="V143" s="77"/>
    </row>
    <row r="144" spans="1:22" ht="15.5" x14ac:dyDescent="0.35">
      <c r="A144" s="194"/>
      <c r="B144" s="312"/>
      <c r="C144" s="312"/>
      <c r="D144" s="73">
        <f t="shared" si="56"/>
        <v>1</v>
      </c>
      <c r="E144" s="323">
        <f t="shared" si="54"/>
        <v>0</v>
      </c>
      <c r="F144" s="323"/>
      <c r="G144" s="302">
        <f t="shared" si="53"/>
        <v>0</v>
      </c>
      <c r="H144" s="76"/>
      <c r="I144" s="76"/>
      <c r="J144" s="76"/>
      <c r="K144" s="76"/>
      <c r="L144" s="148">
        <f t="shared" si="58"/>
        <v>0</v>
      </c>
      <c r="M144" s="148">
        <f t="shared" ref="M144:M149" si="60">+$I$6*I144</f>
        <v>0</v>
      </c>
      <c r="N144" s="148">
        <f t="shared" si="55"/>
        <v>0</v>
      </c>
      <c r="O144" s="148">
        <f t="shared" si="42"/>
        <v>0</v>
      </c>
      <c r="P144" s="148" t="e">
        <f t="shared" si="49"/>
        <v>#DIV/0!</v>
      </c>
      <c r="Q144" s="76"/>
      <c r="R144" s="76">
        <f t="shared" si="50"/>
        <v>0</v>
      </c>
      <c r="S144" s="150">
        <f t="shared" si="59"/>
        <v>0</v>
      </c>
      <c r="T144" s="113">
        <f t="shared" si="57"/>
        <v>7257</v>
      </c>
      <c r="U144" s="92"/>
      <c r="V144" s="77"/>
    </row>
    <row r="145" spans="1:22" ht="15.5" x14ac:dyDescent="0.35">
      <c r="A145" s="194"/>
      <c r="B145" s="312"/>
      <c r="C145" s="312"/>
      <c r="D145" s="73">
        <f t="shared" si="56"/>
        <v>1</v>
      </c>
      <c r="E145" s="323">
        <f t="shared" si="54"/>
        <v>0</v>
      </c>
      <c r="F145" s="323"/>
      <c r="G145" s="302">
        <f t="shared" si="53"/>
        <v>0</v>
      </c>
      <c r="H145" s="76"/>
      <c r="I145" s="76"/>
      <c r="J145" s="76"/>
      <c r="K145" s="76"/>
      <c r="L145" s="148">
        <f t="shared" si="58"/>
        <v>0</v>
      </c>
      <c r="M145" s="148">
        <f t="shared" si="60"/>
        <v>0</v>
      </c>
      <c r="N145" s="148">
        <f t="shared" si="55"/>
        <v>0</v>
      </c>
      <c r="O145" s="148">
        <f t="shared" si="42"/>
        <v>0</v>
      </c>
      <c r="P145" s="148" t="e">
        <f t="shared" si="49"/>
        <v>#DIV/0!</v>
      </c>
      <c r="Q145" s="76"/>
      <c r="R145" s="76">
        <f t="shared" si="50"/>
        <v>0</v>
      </c>
      <c r="S145" s="150">
        <f t="shared" si="59"/>
        <v>0</v>
      </c>
      <c r="T145" s="113">
        <f t="shared" si="57"/>
        <v>7257</v>
      </c>
      <c r="U145" s="92"/>
      <c r="V145" s="77"/>
    </row>
    <row r="146" spans="1:22" ht="15.5" x14ac:dyDescent="0.35">
      <c r="A146" s="194"/>
      <c r="B146" s="312"/>
      <c r="C146" s="312"/>
      <c r="D146" s="73">
        <f t="shared" si="56"/>
        <v>1</v>
      </c>
      <c r="E146" s="323">
        <f t="shared" si="54"/>
        <v>0</v>
      </c>
      <c r="F146" s="323"/>
      <c r="G146" s="302">
        <f t="shared" si="53"/>
        <v>0</v>
      </c>
      <c r="H146" s="76"/>
      <c r="I146" s="76"/>
      <c r="J146" s="76"/>
      <c r="K146" s="76"/>
      <c r="L146" s="148">
        <f t="shared" si="58"/>
        <v>0</v>
      </c>
      <c r="M146" s="148">
        <f t="shared" si="60"/>
        <v>0</v>
      </c>
      <c r="N146" s="148">
        <f t="shared" si="55"/>
        <v>0</v>
      </c>
      <c r="O146" s="148">
        <f>+L146+M146+N146</f>
        <v>0</v>
      </c>
      <c r="P146" s="148" t="e">
        <f t="shared" si="49"/>
        <v>#DIV/0!</v>
      </c>
      <c r="Q146" s="76"/>
      <c r="R146" s="76">
        <f t="shared" si="50"/>
        <v>0</v>
      </c>
      <c r="S146" s="150">
        <f t="shared" si="59"/>
        <v>0</v>
      </c>
      <c r="T146" s="113">
        <f t="shared" si="57"/>
        <v>7257</v>
      </c>
      <c r="U146" s="92"/>
      <c r="V146" s="77"/>
    </row>
    <row r="147" spans="1:22" ht="15.5" x14ac:dyDescent="0.35">
      <c r="A147" s="194"/>
      <c r="B147" s="312"/>
      <c r="C147" s="312"/>
      <c r="D147" s="73">
        <f t="shared" si="56"/>
        <v>1</v>
      </c>
      <c r="E147" s="323">
        <f t="shared" si="54"/>
        <v>0</v>
      </c>
      <c r="F147" s="323"/>
      <c r="G147" s="302">
        <f t="shared" si="53"/>
        <v>0</v>
      </c>
      <c r="H147" s="76"/>
      <c r="I147" s="76"/>
      <c r="J147" s="76"/>
      <c r="K147" s="76"/>
      <c r="L147" s="148">
        <f t="shared" si="58"/>
        <v>0</v>
      </c>
      <c r="M147" s="148">
        <f t="shared" si="60"/>
        <v>0</v>
      </c>
      <c r="N147" s="148">
        <f t="shared" si="55"/>
        <v>0</v>
      </c>
      <c r="O147" s="148">
        <f>+L147+M147+N147</f>
        <v>0</v>
      </c>
      <c r="P147" s="148" t="e">
        <f t="shared" si="49"/>
        <v>#DIV/0!</v>
      </c>
      <c r="Q147" s="76"/>
      <c r="R147" s="76">
        <f t="shared" si="50"/>
        <v>0</v>
      </c>
      <c r="S147" s="150">
        <f t="shared" si="59"/>
        <v>0</v>
      </c>
      <c r="T147" s="113">
        <f t="shared" si="57"/>
        <v>7257</v>
      </c>
      <c r="U147" s="92"/>
      <c r="V147" s="77"/>
    </row>
    <row r="148" spans="1:22" ht="15.5" x14ac:dyDescent="0.35">
      <c r="A148" s="194"/>
      <c r="B148" s="312"/>
      <c r="C148" s="312"/>
      <c r="D148" s="73">
        <f t="shared" si="56"/>
        <v>1</v>
      </c>
      <c r="E148" s="323">
        <f t="shared" si="54"/>
        <v>0</v>
      </c>
      <c r="F148" s="323"/>
      <c r="G148" s="302">
        <f t="shared" si="53"/>
        <v>0</v>
      </c>
      <c r="H148" s="76"/>
      <c r="I148" s="76"/>
      <c r="J148" s="76"/>
      <c r="K148" s="76"/>
      <c r="L148" s="148">
        <f t="shared" si="58"/>
        <v>0</v>
      </c>
      <c r="M148" s="148">
        <f t="shared" si="60"/>
        <v>0</v>
      </c>
      <c r="N148" s="148">
        <f t="shared" si="55"/>
        <v>0</v>
      </c>
      <c r="O148" s="148">
        <f>+L148+M148+N148</f>
        <v>0</v>
      </c>
      <c r="P148" s="148" t="e">
        <f t="shared" si="49"/>
        <v>#DIV/0!</v>
      </c>
      <c r="Q148" s="76"/>
      <c r="R148" s="76">
        <f t="shared" si="50"/>
        <v>0</v>
      </c>
      <c r="S148" s="150">
        <f t="shared" si="59"/>
        <v>0</v>
      </c>
      <c r="T148" s="113">
        <f t="shared" si="57"/>
        <v>7257</v>
      </c>
      <c r="U148" s="92"/>
      <c r="V148" s="77"/>
    </row>
    <row r="149" spans="1:22" ht="15.5" x14ac:dyDescent="0.35">
      <c r="A149" s="93"/>
      <c r="B149" s="81"/>
      <c r="C149" s="81"/>
      <c r="D149" s="73">
        <f t="shared" si="56"/>
        <v>1</v>
      </c>
      <c r="E149" s="323">
        <f t="shared" si="54"/>
        <v>0</v>
      </c>
      <c r="F149" s="323"/>
      <c r="G149" s="302">
        <f t="shared" si="53"/>
        <v>0</v>
      </c>
      <c r="H149" s="76"/>
      <c r="I149" s="76"/>
      <c r="J149" s="76"/>
      <c r="K149" s="76"/>
      <c r="L149" s="148">
        <f t="shared" si="58"/>
        <v>0</v>
      </c>
      <c r="M149" s="148">
        <f t="shared" si="60"/>
        <v>0</v>
      </c>
      <c r="N149" s="148">
        <f t="shared" si="55"/>
        <v>0</v>
      </c>
      <c r="O149" s="148">
        <f>+L149+M149+N149</f>
        <v>0</v>
      </c>
      <c r="P149" s="148" t="e">
        <f t="shared" si="49"/>
        <v>#DIV/0!</v>
      </c>
      <c r="Q149" s="76"/>
      <c r="R149" s="76">
        <f t="shared" si="50"/>
        <v>0</v>
      </c>
      <c r="S149" s="150">
        <f t="shared" si="59"/>
        <v>0</v>
      </c>
      <c r="T149" s="113">
        <f t="shared" si="57"/>
        <v>7257</v>
      </c>
      <c r="U149" s="92"/>
      <c r="V149" s="77"/>
    </row>
    <row r="150" spans="1:22" ht="15.5" x14ac:dyDescent="0.35">
      <c r="A150" s="93"/>
      <c r="B150" s="81"/>
      <c r="C150" s="81"/>
      <c r="D150" s="73">
        <f t="shared" si="56"/>
        <v>1</v>
      </c>
      <c r="E150" s="323">
        <f t="shared" si="54"/>
        <v>0</v>
      </c>
      <c r="F150" s="323"/>
      <c r="G150" s="302">
        <f t="shared" si="53"/>
        <v>0</v>
      </c>
      <c r="H150" s="76"/>
      <c r="I150" s="76"/>
      <c r="J150" s="76"/>
      <c r="K150" s="76"/>
      <c r="L150" s="148">
        <f>+H150*$H$6</f>
        <v>0</v>
      </c>
      <c r="M150" s="148">
        <f>+$I$6*I150</f>
        <v>0</v>
      </c>
      <c r="N150" s="148">
        <f t="shared" si="55"/>
        <v>0</v>
      </c>
      <c r="O150" s="148">
        <f>+L150+M150+N150</f>
        <v>0</v>
      </c>
      <c r="P150" s="148" t="e">
        <f t="shared" si="49"/>
        <v>#DIV/0!</v>
      </c>
      <c r="Q150" s="76"/>
      <c r="R150" s="76"/>
      <c r="S150" s="150">
        <f t="shared" si="59"/>
        <v>0</v>
      </c>
      <c r="T150" s="113">
        <f t="shared" si="57"/>
        <v>7257</v>
      </c>
      <c r="U150" s="92"/>
      <c r="V150" s="77"/>
    </row>
    <row r="151" spans="1:22" ht="15.5" x14ac:dyDescent="0.35">
      <c r="A151" s="153"/>
      <c r="B151" s="114"/>
      <c r="C151" s="114"/>
      <c r="D151" s="73">
        <f t="shared" si="56"/>
        <v>1</v>
      </c>
      <c r="E151" s="88" t="s">
        <v>70</v>
      </c>
      <c r="F151" s="301">
        <f>SUM(G7:G150)</f>
        <v>-10331.89</v>
      </c>
      <c r="G151" s="116"/>
      <c r="H151" s="90"/>
      <c r="I151" s="90"/>
      <c r="J151" s="90"/>
      <c r="K151" s="90"/>
      <c r="L151" s="301">
        <f>SUM(O7:O150)</f>
        <v>170215</v>
      </c>
      <c r="M151" s="90"/>
      <c r="N151" s="90"/>
      <c r="O151" s="90"/>
      <c r="P151" s="90"/>
      <c r="Q151" s="90"/>
      <c r="R151" s="90"/>
      <c r="S151" s="90"/>
      <c r="T151" s="90"/>
      <c r="U151" s="89"/>
      <c r="V151" s="89"/>
    </row>
    <row r="152" spans="1:22" ht="15.5" x14ac:dyDescent="0.35">
      <c r="A152" s="153"/>
      <c r="B152" s="114"/>
      <c r="C152" s="114"/>
      <c r="D152" s="115"/>
      <c r="E152" s="88" t="s">
        <v>71</v>
      </c>
      <c r="F152" s="301">
        <f>F151/24</f>
        <v>-430.49541666666664</v>
      </c>
      <c r="G152" s="116"/>
      <c r="H152" s="90"/>
      <c r="I152" s="90"/>
      <c r="J152" s="90"/>
      <c r="K152" s="90"/>
      <c r="L152" s="117">
        <f>L151/1000</f>
        <v>170.215</v>
      </c>
      <c r="M152" s="90"/>
      <c r="N152" s="90"/>
      <c r="O152" s="90"/>
      <c r="P152" s="90"/>
      <c r="Q152" s="90"/>
      <c r="R152" s="90"/>
      <c r="S152" s="90"/>
      <c r="T152" s="90"/>
      <c r="U152" s="89"/>
      <c r="V152" s="89"/>
    </row>
    <row r="153" spans="1:22" ht="15.5" x14ac:dyDescent="0.35">
      <c r="A153" s="153"/>
      <c r="B153" s="114"/>
      <c r="C153" s="114"/>
      <c r="D153" s="115"/>
      <c r="E153" s="116"/>
      <c r="F153" s="116"/>
      <c r="G153" s="116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89"/>
      <c r="V153" s="89"/>
    </row>
    <row r="154" spans="1:22" ht="15.5" x14ac:dyDescent="0.35">
      <c r="A154" s="153"/>
      <c r="B154" s="114"/>
      <c r="C154" s="114"/>
      <c r="D154" s="115"/>
      <c r="E154" s="116"/>
      <c r="F154" s="116"/>
      <c r="G154" s="116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89"/>
      <c r="V154" s="89"/>
    </row>
    <row r="155" spans="1:22" ht="15.5" x14ac:dyDescent="0.35">
      <c r="A155" s="1"/>
      <c r="B155" s="27"/>
      <c r="C155" s="27"/>
      <c r="D155" s="28"/>
      <c r="E155" s="29"/>
      <c r="F155" s="29"/>
      <c r="G155" s="29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89"/>
      <c r="V155" s="89"/>
    </row>
    <row r="156" spans="1:22" x14ac:dyDescent="0.35">
      <c r="A156" s="1"/>
      <c r="B156" s="27"/>
      <c r="C156" s="27"/>
      <c r="D156" s="28"/>
      <c r="E156" s="29"/>
      <c r="F156" s="29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/>
      <c r="V156"/>
    </row>
    <row r="157" spans="1:22" x14ac:dyDescent="0.35">
      <c r="A157" s="1"/>
      <c r="B157" s="27"/>
      <c r="C157" s="27"/>
      <c r="D157" s="28"/>
      <c r="E157" s="29"/>
      <c r="F157" s="29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/>
      <c r="V157"/>
    </row>
    <row r="158" spans="1:22" x14ac:dyDescent="0.35">
      <c r="A158" s="1"/>
      <c r="B158" s="27"/>
      <c r="C158" s="27"/>
      <c r="D158" s="28"/>
      <c r="E158" s="29"/>
      <c r="F158" s="29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/>
      <c r="V158"/>
    </row>
    <row r="159" spans="1:22" x14ac:dyDescent="0.35">
      <c r="A159" s="1"/>
      <c r="B159" s="27"/>
      <c r="C159" s="27"/>
      <c r="D159" s="28"/>
      <c r="E159" s="29"/>
      <c r="F159" s="29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/>
      <c r="V159"/>
    </row>
    <row r="160" spans="1:22" x14ac:dyDescent="0.35">
      <c r="A160" s="1"/>
      <c r="B160" s="27"/>
      <c r="C160" s="27"/>
      <c r="D160" s="28"/>
      <c r="E160" s="29"/>
      <c r="F160" s="29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/>
      <c r="V160"/>
    </row>
    <row r="161" spans="1:22" x14ac:dyDescent="0.35">
      <c r="A161" s="1"/>
      <c r="B161" s="27"/>
      <c r="C161" s="27"/>
      <c r="D161" s="28"/>
      <c r="E161" s="29"/>
      <c r="F161" s="29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/>
      <c r="V161"/>
    </row>
    <row r="162" spans="1:22" x14ac:dyDescent="0.35">
      <c r="A162" s="1"/>
      <c r="B162" s="27"/>
      <c r="C162" s="27"/>
      <c r="D162" s="28"/>
      <c r="E162" s="29"/>
      <c r="F162" s="29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/>
      <c r="V162"/>
    </row>
    <row r="163" spans="1:22" x14ac:dyDescent="0.35">
      <c r="A163" s="1"/>
      <c r="B163" s="27"/>
      <c r="C163" s="27"/>
      <c r="D163" s="28"/>
      <c r="E163" s="29"/>
      <c r="F163" s="29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/>
      <c r="V163"/>
    </row>
    <row r="164" spans="1:22" x14ac:dyDescent="0.35">
      <c r="A164" s="1"/>
      <c r="B164" s="27"/>
      <c r="C164" s="27"/>
      <c r="D164" s="28"/>
      <c r="E164" s="29"/>
      <c r="F164" s="29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/>
      <c r="V164"/>
    </row>
    <row r="165" spans="1:22" x14ac:dyDescent="0.35">
      <c r="A165" s="1"/>
      <c r="B165" s="27"/>
      <c r="C165" s="27"/>
      <c r="D165" s="28"/>
      <c r="E165" s="29"/>
      <c r="F165" s="29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/>
      <c r="V165"/>
    </row>
    <row r="166" spans="1:22" x14ac:dyDescent="0.35">
      <c r="A166" s="1"/>
      <c r="B166" s="27"/>
      <c r="C166" s="27"/>
      <c r="D166" s="28"/>
      <c r="E166" s="29"/>
      <c r="F166" s="29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/>
      <c r="V166"/>
    </row>
    <row r="167" spans="1:22" x14ac:dyDescent="0.35">
      <c r="A167" s="1"/>
      <c r="B167" s="27"/>
      <c r="C167" s="27"/>
      <c r="D167" s="28"/>
      <c r="E167" s="29"/>
      <c r="F167" s="29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/>
      <c r="V167"/>
    </row>
    <row r="168" spans="1:22" x14ac:dyDescent="0.35">
      <c r="A168" s="1"/>
      <c r="B168" s="27"/>
      <c r="C168" s="27"/>
      <c r="D168" s="28"/>
      <c r="E168" s="29"/>
      <c r="F168" s="29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/>
      <c r="V168"/>
    </row>
    <row r="169" spans="1:22" x14ac:dyDescent="0.35">
      <c r="A169" s="1"/>
      <c r="B169" s="27"/>
      <c r="C169" s="27"/>
      <c r="D169" s="28"/>
      <c r="E169" s="29"/>
      <c r="F169" s="29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/>
      <c r="V169"/>
    </row>
    <row r="170" spans="1:22" x14ac:dyDescent="0.35">
      <c r="A170" s="1"/>
      <c r="B170" s="27"/>
      <c r="C170" s="27"/>
      <c r="D170" s="28"/>
      <c r="E170" s="29"/>
      <c r="F170" s="29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/>
      <c r="V170"/>
    </row>
    <row r="171" spans="1:22" x14ac:dyDescent="0.35">
      <c r="A171" s="1"/>
      <c r="B171" s="27"/>
      <c r="C171" s="27"/>
      <c r="D171" s="28"/>
      <c r="E171" s="29"/>
      <c r="F171" s="29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/>
      <c r="V171"/>
    </row>
    <row r="172" spans="1:22" x14ac:dyDescent="0.35">
      <c r="A172" s="1"/>
      <c r="B172" s="27"/>
      <c r="C172" s="27"/>
      <c r="D172" s="28"/>
      <c r="E172" s="29"/>
      <c r="F172" s="29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/>
      <c r="V172"/>
    </row>
    <row r="173" spans="1:22" x14ac:dyDescent="0.35">
      <c r="A173" s="1"/>
      <c r="B173" s="27"/>
      <c r="C173" s="27"/>
      <c r="D173" s="28"/>
      <c r="E173" s="29"/>
      <c r="F173" s="29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/>
      <c r="V173"/>
    </row>
    <row r="174" spans="1:22" x14ac:dyDescent="0.35">
      <c r="A174" s="1"/>
      <c r="B174" s="27"/>
      <c r="C174" s="27"/>
      <c r="D174" s="28"/>
      <c r="E174" s="29"/>
      <c r="F174" s="29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/>
      <c r="V174"/>
    </row>
    <row r="175" spans="1:22" x14ac:dyDescent="0.35">
      <c r="A175" s="1"/>
      <c r="B175" s="27"/>
      <c r="C175" s="27"/>
      <c r="D175" s="28"/>
      <c r="E175" s="29"/>
      <c r="F175" s="29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/>
      <c r="V175"/>
    </row>
    <row r="176" spans="1:22" x14ac:dyDescent="0.35">
      <c r="A176" s="1"/>
      <c r="B176" s="27"/>
      <c r="C176" s="27"/>
      <c r="D176" s="28"/>
      <c r="E176" s="29"/>
      <c r="F176" s="29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/>
      <c r="V176"/>
    </row>
    <row r="177" spans="1:22" x14ac:dyDescent="0.35">
      <c r="A177" s="1"/>
      <c r="B177" s="27"/>
      <c r="C177" s="27"/>
      <c r="D177" s="28"/>
      <c r="E177" s="29"/>
      <c r="F177" s="29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/>
      <c r="V177"/>
    </row>
    <row r="178" spans="1:22" x14ac:dyDescent="0.35">
      <c r="A178" s="1"/>
      <c r="B178" s="27"/>
      <c r="C178" s="27"/>
      <c r="D178" s="28"/>
      <c r="E178" s="29"/>
      <c r="F178" s="29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/>
      <c r="V178"/>
    </row>
    <row r="179" spans="1:22" x14ac:dyDescent="0.35">
      <c r="A179" s="1"/>
      <c r="B179" s="27"/>
      <c r="C179" s="27"/>
      <c r="D179" s="28"/>
      <c r="E179" s="29"/>
      <c r="F179" s="29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/>
      <c r="V179"/>
    </row>
    <row r="180" spans="1:22" x14ac:dyDescent="0.35">
      <c r="A180" s="1"/>
      <c r="B180" s="27"/>
      <c r="C180" s="27"/>
      <c r="D180" s="28"/>
      <c r="E180" s="29"/>
      <c r="F180" s="29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/>
      <c r="V180"/>
    </row>
    <row r="181" spans="1:22" x14ac:dyDescent="0.35">
      <c r="A181" s="1"/>
      <c r="B181" s="27"/>
      <c r="C181" s="27"/>
      <c r="D181" s="28"/>
      <c r="E181" s="29"/>
      <c r="F181" s="29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/>
      <c r="V181"/>
    </row>
    <row r="182" spans="1:22" x14ac:dyDescent="0.35">
      <c r="A182" s="1"/>
      <c r="B182" s="27"/>
      <c r="C182" s="27"/>
      <c r="D182" s="28"/>
      <c r="E182" s="29"/>
      <c r="F182" s="29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/>
      <c r="V182"/>
    </row>
    <row r="183" spans="1:22" x14ac:dyDescent="0.35">
      <c r="A183" s="1"/>
      <c r="B183" s="27"/>
      <c r="C183" s="27"/>
      <c r="D183" s="28"/>
      <c r="E183" s="29"/>
      <c r="F183" s="29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/>
      <c r="V183"/>
    </row>
    <row r="184" spans="1:22" x14ac:dyDescent="0.35">
      <c r="A184" s="1"/>
      <c r="B184" s="27"/>
      <c r="C184" s="27"/>
      <c r="D184" s="28"/>
      <c r="E184" s="29"/>
      <c r="F184" s="29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/>
      <c r="V184"/>
    </row>
    <row r="185" spans="1:22" x14ac:dyDescent="0.35">
      <c r="A185" s="1"/>
      <c r="B185" s="27"/>
      <c r="C185" s="27"/>
      <c r="D185" s="28"/>
      <c r="E185" s="29"/>
      <c r="F185" s="29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/>
      <c r="V185"/>
    </row>
    <row r="186" spans="1:22" x14ac:dyDescent="0.35">
      <c r="A186" s="1"/>
      <c r="B186" s="27"/>
      <c r="C186" s="27"/>
      <c r="D186" s="28"/>
      <c r="E186" s="29"/>
      <c r="F186" s="29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/>
      <c r="V186"/>
    </row>
    <row r="187" spans="1:22" x14ac:dyDescent="0.35">
      <c r="A187" s="1"/>
      <c r="B187" s="27"/>
      <c r="C187" s="27"/>
      <c r="D187" s="28"/>
      <c r="E187" s="29"/>
      <c r="F187" s="29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/>
      <c r="V187"/>
    </row>
    <row r="188" spans="1:22" x14ac:dyDescent="0.35">
      <c r="A188" s="1"/>
      <c r="B188" s="27"/>
      <c r="C188" s="27"/>
      <c r="D188" s="28"/>
      <c r="E188" s="29"/>
      <c r="F188" s="29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/>
      <c r="V188"/>
    </row>
    <row r="189" spans="1:22" x14ac:dyDescent="0.35">
      <c r="A189" s="1"/>
      <c r="B189" s="27"/>
      <c r="C189" s="27"/>
      <c r="D189" s="28"/>
      <c r="E189" s="29"/>
      <c r="F189" s="29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/>
      <c r="V189"/>
    </row>
    <row r="190" spans="1:22" x14ac:dyDescent="0.35">
      <c r="A190" s="1"/>
      <c r="B190" s="27"/>
      <c r="C190" s="27"/>
      <c r="D190" s="28"/>
      <c r="E190" s="29"/>
      <c r="F190" s="29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/>
      <c r="V190"/>
    </row>
    <row r="191" spans="1:22" x14ac:dyDescent="0.35">
      <c r="A191" s="1"/>
      <c r="B191" s="27"/>
      <c r="C191" s="27"/>
      <c r="D191" s="28"/>
      <c r="E191" s="29"/>
      <c r="F191" s="29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/>
      <c r="V191"/>
    </row>
    <row r="192" spans="1:22" x14ac:dyDescent="0.35">
      <c r="A192" s="1"/>
      <c r="B192" s="27"/>
      <c r="C192" s="27"/>
      <c r="D192" s="28"/>
      <c r="E192" s="29"/>
      <c r="F192" s="29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/>
      <c r="V192"/>
    </row>
    <row r="193" spans="1:22" x14ac:dyDescent="0.35">
      <c r="A193" s="1"/>
      <c r="B193" s="27"/>
      <c r="C193" s="27"/>
      <c r="D193" s="28"/>
      <c r="E193" s="29"/>
      <c r="F193" s="29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/>
      <c r="V193"/>
    </row>
    <row r="194" spans="1:22" x14ac:dyDescent="0.35">
      <c r="A194" s="1"/>
      <c r="B194" s="27"/>
      <c r="C194" s="27"/>
      <c r="D194" s="28"/>
      <c r="E194" s="29"/>
      <c r="F194" s="29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/>
      <c r="V194"/>
    </row>
    <row r="195" spans="1:22" x14ac:dyDescent="0.35">
      <c r="A195" s="1"/>
      <c r="B195" s="27"/>
      <c r="C195" s="27"/>
      <c r="D195" s="28"/>
      <c r="E195" s="29"/>
      <c r="F195" s="29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/>
      <c r="V195"/>
    </row>
    <row r="196" spans="1:22" x14ac:dyDescent="0.35">
      <c r="A196" s="1"/>
      <c r="B196" s="27"/>
      <c r="C196" s="27"/>
      <c r="D196" s="28"/>
      <c r="E196" s="29"/>
      <c r="F196" s="29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/>
      <c r="V196"/>
    </row>
    <row r="197" spans="1:22" x14ac:dyDescent="0.35">
      <c r="A197" s="1"/>
      <c r="B197" s="27"/>
      <c r="C197" s="27"/>
      <c r="D197" s="28"/>
      <c r="E197" s="29"/>
      <c r="F197" s="29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/>
      <c r="V197"/>
    </row>
    <row r="198" spans="1:22" x14ac:dyDescent="0.35">
      <c r="A198" s="1"/>
      <c r="B198" s="27"/>
      <c r="C198" s="27"/>
      <c r="D198" s="28"/>
      <c r="E198" s="29"/>
      <c r="F198" s="29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/>
      <c r="V198"/>
    </row>
    <row r="199" spans="1:22" x14ac:dyDescent="0.35">
      <c r="A199" s="1"/>
      <c r="B199" s="27"/>
      <c r="C199" s="27"/>
      <c r="D199" s="28"/>
      <c r="E199" s="29"/>
      <c r="F199" s="29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/>
      <c r="V199"/>
    </row>
    <row r="200" spans="1:22" x14ac:dyDescent="0.35">
      <c r="A200" s="1"/>
      <c r="B200" s="27"/>
      <c r="C200" s="27"/>
      <c r="D200" s="28"/>
      <c r="E200" s="29"/>
      <c r="F200" s="29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/>
      <c r="V200"/>
    </row>
    <row r="201" spans="1:22" x14ac:dyDescent="0.35">
      <c r="A201" s="1"/>
      <c r="B201" s="27"/>
      <c r="C201" s="27"/>
      <c r="D201" s="28"/>
      <c r="E201" s="29"/>
      <c r="F201" s="29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/>
      <c r="V201"/>
    </row>
    <row r="202" spans="1:22" x14ac:dyDescent="0.35">
      <c r="A202" s="1"/>
      <c r="B202" s="27"/>
      <c r="C202" s="27"/>
      <c r="D202" s="28"/>
      <c r="E202" s="29"/>
      <c r="F202" s="29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/>
      <c r="V202"/>
    </row>
    <row r="203" spans="1:22" x14ac:dyDescent="0.35">
      <c r="A203" s="1"/>
      <c r="B203" s="27"/>
      <c r="C203" s="27"/>
      <c r="D203" s="28"/>
      <c r="E203" s="29"/>
      <c r="F203" s="29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/>
      <c r="V203"/>
    </row>
    <row r="204" spans="1:22" x14ac:dyDescent="0.35">
      <c r="A204" s="1"/>
      <c r="B204" s="27"/>
      <c r="C204" s="27"/>
      <c r="D204" s="28"/>
      <c r="E204" s="29"/>
      <c r="F204" s="29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/>
      <c r="V204"/>
    </row>
    <row r="205" spans="1:22" x14ac:dyDescent="0.35">
      <c r="A205" s="1"/>
      <c r="B205" s="27"/>
      <c r="C205" s="27"/>
      <c r="D205" s="28"/>
      <c r="E205" s="29"/>
      <c r="F205" s="29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/>
      <c r="V205"/>
    </row>
    <row r="206" spans="1:22" x14ac:dyDescent="0.35">
      <c r="A206" s="1"/>
      <c r="B206" s="27"/>
      <c r="C206" s="27"/>
      <c r="D206" s="28"/>
      <c r="E206" s="29"/>
      <c r="F206" s="29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/>
      <c r="V206"/>
    </row>
    <row r="207" spans="1:22" x14ac:dyDescent="0.35">
      <c r="A207" s="1"/>
      <c r="B207" s="27"/>
      <c r="C207" s="27"/>
      <c r="D207" s="28"/>
      <c r="E207" s="29"/>
      <c r="F207" s="29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/>
      <c r="V207"/>
    </row>
    <row r="208" spans="1:22" x14ac:dyDescent="0.35">
      <c r="A208" s="1"/>
      <c r="B208" s="27"/>
      <c r="C208" s="27"/>
      <c r="D208" s="28"/>
      <c r="E208" s="29"/>
      <c r="F208" s="29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/>
      <c r="V208"/>
    </row>
    <row r="209" spans="1:22" x14ac:dyDescent="0.35">
      <c r="A209" s="1"/>
      <c r="B209" s="27"/>
      <c r="C209" s="27"/>
      <c r="D209" s="28"/>
      <c r="E209" s="29"/>
      <c r="F209" s="29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/>
      <c r="V209"/>
    </row>
    <row r="210" spans="1:22" x14ac:dyDescent="0.35">
      <c r="A210" s="1"/>
      <c r="B210" s="27"/>
      <c r="C210" s="27"/>
      <c r="D210" s="28"/>
      <c r="E210" s="29"/>
      <c r="F210" s="29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/>
      <c r="V210"/>
    </row>
    <row r="211" spans="1:22" x14ac:dyDescent="0.35">
      <c r="A211" s="1"/>
      <c r="B211" s="27"/>
      <c r="C211" s="27"/>
      <c r="D211" s="28"/>
      <c r="E211" s="29"/>
      <c r="F211" s="29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/>
      <c r="V211"/>
    </row>
    <row r="212" spans="1:22" x14ac:dyDescent="0.35">
      <c r="A212" s="1"/>
      <c r="B212" s="27"/>
      <c r="C212" s="27"/>
      <c r="D212" s="28"/>
      <c r="E212" s="29"/>
      <c r="F212" s="29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/>
      <c r="V212"/>
    </row>
    <row r="213" spans="1:22" x14ac:dyDescent="0.35">
      <c r="A213" s="1"/>
      <c r="B213" s="27"/>
      <c r="C213" s="27"/>
      <c r="D213" s="28"/>
      <c r="E213" s="29"/>
      <c r="F213" s="29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/>
      <c r="V213"/>
    </row>
    <row r="214" spans="1:22" x14ac:dyDescent="0.35">
      <c r="A214" s="1"/>
      <c r="B214" s="27"/>
      <c r="C214" s="27"/>
      <c r="D214" s="28"/>
      <c r="E214" s="29"/>
      <c r="F214" s="29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/>
      <c r="V214"/>
    </row>
    <row r="215" spans="1:22" x14ac:dyDescent="0.35">
      <c r="A215" s="1"/>
      <c r="B215" s="27"/>
      <c r="C215" s="27"/>
      <c r="D215" s="28"/>
      <c r="E215" s="29"/>
      <c r="F215" s="29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/>
      <c r="V215"/>
    </row>
    <row r="216" spans="1:22" x14ac:dyDescent="0.35">
      <c r="A216" s="1"/>
      <c r="B216" s="27"/>
      <c r="C216" s="27"/>
      <c r="D216" s="28"/>
      <c r="E216" s="29"/>
      <c r="F216" s="29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/>
      <c r="V216"/>
    </row>
    <row r="217" spans="1:22" x14ac:dyDescent="0.35">
      <c r="A217" s="1"/>
      <c r="B217" s="27"/>
      <c r="C217" s="27"/>
      <c r="D217" s="28"/>
      <c r="E217" s="29"/>
      <c r="F217" s="29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/>
      <c r="V217"/>
    </row>
    <row r="218" spans="1:22" x14ac:dyDescent="0.35">
      <c r="A218" s="1"/>
      <c r="B218" s="27"/>
      <c r="C218" s="27"/>
      <c r="D218" s="28"/>
      <c r="E218" s="29"/>
      <c r="F218" s="29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/>
      <c r="V218"/>
    </row>
    <row r="219" spans="1:22" x14ac:dyDescent="0.35">
      <c r="A219" s="1"/>
      <c r="B219" s="27"/>
      <c r="C219" s="27"/>
      <c r="D219" s="28"/>
      <c r="E219" s="29"/>
      <c r="F219" s="29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/>
      <c r="V219"/>
    </row>
    <row r="220" spans="1:22" x14ac:dyDescent="0.35">
      <c r="A220" s="1"/>
      <c r="B220" s="27"/>
      <c r="C220" s="27"/>
      <c r="D220" s="28"/>
      <c r="E220" s="29"/>
      <c r="F220" s="29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/>
      <c r="V220"/>
    </row>
    <row r="221" spans="1:22" x14ac:dyDescent="0.35">
      <c r="A221" s="1"/>
      <c r="B221" s="27"/>
      <c r="C221" s="27"/>
      <c r="D221" s="28"/>
      <c r="E221" s="29"/>
      <c r="F221" s="29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/>
      <c r="V221"/>
    </row>
    <row r="222" spans="1:22" x14ac:dyDescent="0.35">
      <c r="A222" s="1"/>
      <c r="B222" s="27"/>
      <c r="C222" s="27"/>
      <c r="D222" s="28"/>
      <c r="E222" s="29"/>
      <c r="F222" s="29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/>
      <c r="V222"/>
    </row>
    <row r="223" spans="1:22" x14ac:dyDescent="0.35">
      <c r="A223" s="1"/>
      <c r="B223" s="27"/>
      <c r="C223" s="27"/>
      <c r="D223" s="28"/>
      <c r="E223" s="29"/>
      <c r="F223" s="29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/>
      <c r="V223"/>
    </row>
    <row r="224" spans="1:22" x14ac:dyDescent="0.35">
      <c r="A224" s="1"/>
      <c r="B224" s="27"/>
      <c r="C224" s="27"/>
      <c r="D224" s="28"/>
      <c r="E224" s="29"/>
      <c r="F224" s="29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/>
      <c r="V224"/>
    </row>
    <row r="225" spans="1:22" x14ac:dyDescent="0.35">
      <c r="A225" s="1"/>
      <c r="B225" s="27"/>
      <c r="C225" s="27"/>
      <c r="D225" s="28"/>
      <c r="E225" s="29"/>
      <c r="F225" s="29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/>
      <c r="V225"/>
    </row>
    <row r="226" spans="1:22" x14ac:dyDescent="0.35">
      <c r="A226" s="1"/>
      <c r="B226" s="27"/>
      <c r="C226" s="27"/>
      <c r="D226" s="28"/>
      <c r="E226" s="29"/>
      <c r="F226" s="29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/>
      <c r="V226"/>
    </row>
    <row r="227" spans="1:22" x14ac:dyDescent="0.35">
      <c r="A227" s="1"/>
      <c r="B227" s="27"/>
      <c r="C227" s="27"/>
      <c r="D227" s="28"/>
      <c r="E227" s="29"/>
      <c r="F227" s="29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/>
      <c r="V227"/>
    </row>
    <row r="228" spans="1:22" x14ac:dyDescent="0.35">
      <c r="A228" s="1"/>
      <c r="B228" s="27"/>
      <c r="C228" s="27"/>
      <c r="D228" s="28"/>
      <c r="E228" s="29"/>
      <c r="F228" s="29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/>
      <c r="V228"/>
    </row>
    <row r="229" spans="1:22" x14ac:dyDescent="0.35">
      <c r="A229" s="1"/>
      <c r="B229" s="27"/>
      <c r="C229" s="27"/>
      <c r="D229" s="28"/>
      <c r="E229" s="29"/>
      <c r="F229" s="29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/>
      <c r="V229"/>
    </row>
    <row r="230" spans="1:22" x14ac:dyDescent="0.35">
      <c r="A230" s="1"/>
      <c r="B230" s="27"/>
      <c r="C230" s="27"/>
      <c r="D230" s="28"/>
      <c r="E230" s="29"/>
      <c r="F230" s="29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/>
      <c r="V230"/>
    </row>
    <row r="231" spans="1:22" x14ac:dyDescent="0.35">
      <c r="A231" s="1"/>
      <c r="B231" s="27"/>
      <c r="C231" s="27"/>
      <c r="D231" s="28"/>
      <c r="E231" s="29"/>
      <c r="F231" s="29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/>
      <c r="V231"/>
    </row>
    <row r="232" spans="1:22" x14ac:dyDescent="0.35">
      <c r="A232" s="1"/>
      <c r="B232" s="27"/>
      <c r="C232" s="27"/>
      <c r="D232" s="28"/>
      <c r="E232" s="29"/>
      <c r="F232" s="29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/>
      <c r="V232"/>
    </row>
    <row r="233" spans="1:22" x14ac:dyDescent="0.35">
      <c r="A233" s="1"/>
      <c r="B233" s="27"/>
      <c r="C233" s="27"/>
      <c r="D233" s="28"/>
      <c r="E233" s="29"/>
      <c r="F233" s="29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/>
      <c r="V233"/>
    </row>
    <row r="234" spans="1:22" x14ac:dyDescent="0.35">
      <c r="A234" s="1"/>
      <c r="B234" s="27"/>
      <c r="C234" s="27"/>
      <c r="D234" s="28"/>
      <c r="E234" s="29"/>
      <c r="F234" s="29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/>
      <c r="V234"/>
    </row>
    <row r="235" spans="1:22" x14ac:dyDescent="0.35">
      <c r="A235" s="1"/>
      <c r="B235" s="27"/>
      <c r="C235" s="27"/>
      <c r="D235" s="28"/>
      <c r="E235" s="29"/>
      <c r="F235" s="29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/>
      <c r="V235"/>
    </row>
    <row r="236" spans="1:22" x14ac:dyDescent="0.35">
      <c r="A236" s="1"/>
      <c r="B236" s="27"/>
      <c r="C236" s="27"/>
      <c r="D236" s="28"/>
      <c r="E236" s="29"/>
      <c r="F236" s="29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/>
      <c r="V236"/>
    </row>
    <row r="237" spans="1:22" x14ac:dyDescent="0.35">
      <c r="A237" s="1"/>
      <c r="B237" s="27"/>
      <c r="C237" s="27"/>
      <c r="D237" s="28"/>
      <c r="E237" s="29"/>
      <c r="F237" s="29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/>
      <c r="V237"/>
    </row>
    <row r="238" spans="1:22" x14ac:dyDescent="0.35">
      <c r="A238" s="1"/>
      <c r="B238" s="27"/>
      <c r="C238" s="27"/>
      <c r="D238" s="28"/>
      <c r="E238" s="29"/>
      <c r="F238" s="29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/>
      <c r="V238"/>
    </row>
    <row r="239" spans="1:22" x14ac:dyDescent="0.35">
      <c r="A239" s="1"/>
      <c r="B239" s="27"/>
      <c r="C239" s="27"/>
      <c r="D239" s="28"/>
      <c r="E239" s="29"/>
      <c r="F239" s="29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/>
      <c r="V239"/>
    </row>
    <row r="240" spans="1:22" x14ac:dyDescent="0.35">
      <c r="A240" s="1"/>
      <c r="B240" s="27"/>
      <c r="C240" s="27"/>
      <c r="D240" s="28"/>
      <c r="E240" s="29"/>
      <c r="F240" s="29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/>
      <c r="V240"/>
    </row>
    <row r="241" spans="1:22" x14ac:dyDescent="0.35">
      <c r="A241" s="1"/>
      <c r="B241" s="27"/>
      <c r="C241" s="27"/>
      <c r="D241" s="28"/>
      <c r="E241" s="29"/>
      <c r="F241" s="29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/>
      <c r="V241"/>
    </row>
    <row r="242" spans="1:22" x14ac:dyDescent="0.35">
      <c r="A242" s="1"/>
      <c r="B242" s="27"/>
      <c r="C242" s="27"/>
      <c r="D242" s="28"/>
      <c r="E242" s="29"/>
      <c r="F242" s="29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/>
      <c r="V242"/>
    </row>
    <row r="243" spans="1:22" x14ac:dyDescent="0.35">
      <c r="A243" s="1"/>
      <c r="B243" s="27"/>
      <c r="C243" s="27"/>
      <c r="D243" s="28"/>
      <c r="E243" s="29"/>
      <c r="F243" s="29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/>
      <c r="V243"/>
    </row>
    <row r="244" spans="1:22" x14ac:dyDescent="0.35">
      <c r="A244" s="1"/>
      <c r="B244" s="27"/>
      <c r="C244" s="27"/>
      <c r="D244" s="28"/>
      <c r="E244" s="29"/>
      <c r="F244" s="29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/>
      <c r="V244"/>
    </row>
    <row r="245" spans="1:22" x14ac:dyDescent="0.35">
      <c r="A245" s="1"/>
      <c r="B245" s="27"/>
      <c r="C245" s="27"/>
      <c r="D245" s="28"/>
      <c r="E245" s="29"/>
      <c r="F245" s="29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/>
      <c r="V245"/>
    </row>
    <row r="246" spans="1:22" x14ac:dyDescent="0.35">
      <c r="A246" s="1"/>
      <c r="B246" s="27"/>
      <c r="C246" s="27"/>
      <c r="D246" s="28"/>
      <c r="E246" s="29"/>
      <c r="F246" s="29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/>
      <c r="V246"/>
    </row>
    <row r="247" spans="1:22" x14ac:dyDescent="0.35">
      <c r="A247" s="1"/>
      <c r="B247" s="27"/>
      <c r="C247" s="27"/>
      <c r="D247" s="28"/>
      <c r="E247" s="29"/>
      <c r="F247" s="29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/>
      <c r="V247"/>
    </row>
    <row r="248" spans="1:22" x14ac:dyDescent="0.35">
      <c r="A248" s="1"/>
      <c r="B248" s="27"/>
      <c r="C248" s="27"/>
      <c r="D248" s="28"/>
      <c r="E248" s="29"/>
      <c r="F248" s="29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/>
      <c r="V248"/>
    </row>
    <row r="249" spans="1:22" x14ac:dyDescent="0.35">
      <c r="A249" s="1"/>
      <c r="B249" s="27"/>
      <c r="C249" s="27"/>
      <c r="D249" s="28"/>
      <c r="E249" s="29"/>
      <c r="F249" s="29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/>
      <c r="V249"/>
    </row>
    <row r="250" spans="1:22" x14ac:dyDescent="0.35">
      <c r="A250" s="1"/>
      <c r="B250" s="27"/>
      <c r="C250" s="27"/>
      <c r="D250" s="28"/>
      <c r="E250" s="29"/>
      <c r="F250" s="29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/>
      <c r="V250"/>
    </row>
    <row r="251" spans="1:22" x14ac:dyDescent="0.35">
      <c r="A251" s="1"/>
      <c r="B251" s="27"/>
      <c r="C251" s="27"/>
      <c r="D251" s="28"/>
      <c r="E251" s="29"/>
      <c r="F251" s="29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/>
      <c r="V251"/>
    </row>
    <row r="252" spans="1:22" x14ac:dyDescent="0.35">
      <c r="A252" s="1"/>
      <c r="B252" s="27"/>
      <c r="C252" s="27"/>
      <c r="D252" s="28"/>
      <c r="E252" s="29"/>
      <c r="F252" s="29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/>
      <c r="V252"/>
    </row>
    <row r="253" spans="1:22" x14ac:dyDescent="0.35">
      <c r="A253" s="1"/>
      <c r="B253" s="27"/>
      <c r="C253" s="27"/>
      <c r="D253" s="28"/>
      <c r="E253" s="29"/>
      <c r="F253" s="29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/>
      <c r="V253"/>
    </row>
    <row r="254" spans="1:22" x14ac:dyDescent="0.35">
      <c r="A254" s="1"/>
      <c r="B254" s="27"/>
      <c r="C254" s="27"/>
      <c r="D254" s="28"/>
      <c r="E254" s="29"/>
      <c r="F254" s="29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/>
      <c r="V254"/>
    </row>
    <row r="255" spans="1:22" x14ac:dyDescent="0.35">
      <c r="A255" s="1"/>
      <c r="B255" s="27"/>
      <c r="C255" s="27"/>
      <c r="D255" s="28"/>
      <c r="E255" s="29"/>
      <c r="F255" s="29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/>
      <c r="V255"/>
    </row>
    <row r="256" spans="1:22" x14ac:dyDescent="0.35">
      <c r="A256" s="1"/>
      <c r="B256" s="27"/>
      <c r="C256" s="27"/>
      <c r="D256" s="28"/>
      <c r="E256" s="29"/>
      <c r="F256" s="29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/>
      <c r="V256"/>
    </row>
    <row r="257" spans="1:22" x14ac:dyDescent="0.35">
      <c r="A257" s="1"/>
      <c r="B257" s="27"/>
      <c r="C257" s="27"/>
      <c r="D257" s="28"/>
      <c r="E257" s="29"/>
      <c r="F257" s="29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/>
      <c r="V257"/>
    </row>
    <row r="258" spans="1:22" x14ac:dyDescent="0.35">
      <c r="A258" s="1"/>
      <c r="B258" s="27"/>
      <c r="C258" s="27"/>
      <c r="D258" s="28"/>
      <c r="E258" s="29"/>
      <c r="F258" s="29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/>
      <c r="V258"/>
    </row>
    <row r="259" spans="1:22" x14ac:dyDescent="0.35">
      <c r="A259" s="1"/>
      <c r="B259" s="27"/>
      <c r="C259" s="27"/>
      <c r="D259" s="28"/>
      <c r="E259" s="29"/>
      <c r="F259" s="29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/>
      <c r="V259"/>
    </row>
    <row r="260" spans="1:22" x14ac:dyDescent="0.35">
      <c r="A260" s="1"/>
      <c r="B260" s="27"/>
      <c r="C260" s="27"/>
      <c r="D260" s="28"/>
      <c r="E260" s="29"/>
      <c r="F260" s="29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/>
      <c r="V260"/>
    </row>
    <row r="261" spans="1:22" x14ac:dyDescent="0.35">
      <c r="A261" s="1"/>
      <c r="B261" s="27"/>
      <c r="C261" s="27"/>
      <c r="D261" s="28"/>
      <c r="E261" s="29"/>
      <c r="F261" s="29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/>
      <c r="V261"/>
    </row>
    <row r="262" spans="1:22" x14ac:dyDescent="0.35">
      <c r="A262" s="1"/>
      <c r="B262" s="27"/>
      <c r="C262" s="27"/>
      <c r="D262" s="28"/>
      <c r="E262" s="29"/>
      <c r="F262" s="29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/>
      <c r="V262"/>
    </row>
    <row r="263" spans="1:22" x14ac:dyDescent="0.35">
      <c r="A263" s="1"/>
      <c r="B263" s="27"/>
      <c r="C263" s="27"/>
      <c r="D263" s="28"/>
      <c r="E263" s="29"/>
      <c r="F263" s="29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/>
      <c r="V263"/>
    </row>
    <row r="264" spans="1:22" x14ac:dyDescent="0.35">
      <c r="A264" s="1"/>
      <c r="B264" s="27"/>
      <c r="C264" s="27"/>
      <c r="D264" s="28"/>
      <c r="E264" s="29"/>
      <c r="F264" s="29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/>
      <c r="V264"/>
    </row>
    <row r="265" spans="1:22" x14ac:dyDescent="0.35">
      <c r="A265" s="1"/>
      <c r="B265" s="27"/>
      <c r="C265" s="27"/>
      <c r="D265" s="28"/>
      <c r="E265" s="29"/>
      <c r="F265" s="29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/>
      <c r="V265"/>
    </row>
    <row r="266" spans="1:22" x14ac:dyDescent="0.35">
      <c r="A266" s="1"/>
      <c r="B266" s="27"/>
      <c r="C266" s="27"/>
      <c r="D266" s="28"/>
      <c r="E266" s="29"/>
      <c r="F266" s="29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/>
      <c r="V266"/>
    </row>
    <row r="267" spans="1:22" x14ac:dyDescent="0.35">
      <c r="A267" s="1"/>
      <c r="B267" s="27"/>
      <c r="C267" s="27"/>
      <c r="D267" s="28"/>
      <c r="E267" s="29"/>
      <c r="F267" s="29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/>
      <c r="V267"/>
    </row>
    <row r="268" spans="1:22" x14ac:dyDescent="0.35">
      <c r="A268" s="1"/>
      <c r="B268" s="27"/>
      <c r="C268" s="27"/>
      <c r="D268" s="28"/>
      <c r="E268" s="29"/>
      <c r="F268" s="29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/>
      <c r="V268"/>
    </row>
    <row r="269" spans="1:22" x14ac:dyDescent="0.35">
      <c r="A269" s="1"/>
      <c r="B269" s="27"/>
      <c r="C269" s="27"/>
      <c r="D269" s="28"/>
      <c r="E269" s="29"/>
      <c r="F269" s="29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/>
      <c r="V269"/>
    </row>
    <row r="270" spans="1:22" x14ac:dyDescent="0.35">
      <c r="A270" s="1"/>
      <c r="B270" s="27"/>
      <c r="C270" s="27"/>
      <c r="D270" s="28"/>
      <c r="E270" s="29"/>
      <c r="F270" s="29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/>
      <c r="V270"/>
    </row>
    <row r="271" spans="1:22" x14ac:dyDescent="0.35">
      <c r="A271" s="1"/>
      <c r="B271" s="27"/>
      <c r="C271" s="27"/>
      <c r="D271" s="28"/>
      <c r="E271" s="29"/>
      <c r="F271" s="29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/>
      <c r="V271"/>
    </row>
    <row r="272" spans="1:22" x14ac:dyDescent="0.35">
      <c r="A272" s="1"/>
      <c r="B272" s="27"/>
      <c r="C272" s="27"/>
      <c r="D272" s="28"/>
      <c r="E272" s="29"/>
      <c r="F272" s="29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/>
      <c r="V272"/>
    </row>
    <row r="273" spans="1:22" x14ac:dyDescent="0.35">
      <c r="A273" s="1"/>
      <c r="B273" s="27"/>
      <c r="C273" s="27"/>
      <c r="D273" s="28"/>
      <c r="E273" s="29"/>
      <c r="F273" s="29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/>
      <c r="V273"/>
    </row>
    <row r="274" spans="1:22" x14ac:dyDescent="0.35">
      <c r="A274" s="1"/>
      <c r="B274" s="27"/>
      <c r="C274" s="27"/>
      <c r="D274" s="28"/>
      <c r="E274" s="29"/>
      <c r="F274" s="29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/>
      <c r="V274"/>
    </row>
    <row r="275" spans="1:22" x14ac:dyDescent="0.35">
      <c r="A275" s="1"/>
      <c r="B275" s="27"/>
      <c r="C275" s="27"/>
      <c r="D275" s="28"/>
      <c r="E275" s="29"/>
      <c r="F275" s="29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/>
      <c r="V275"/>
    </row>
    <row r="276" spans="1:22" x14ac:dyDescent="0.35">
      <c r="A276" s="1"/>
      <c r="B276" s="27"/>
      <c r="C276" s="27"/>
      <c r="D276" s="28"/>
      <c r="E276" s="29"/>
      <c r="F276" s="29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/>
      <c r="V276"/>
    </row>
    <row r="277" spans="1:22" x14ac:dyDescent="0.35">
      <c r="A277" s="1"/>
      <c r="B277" s="27"/>
      <c r="C277" s="27"/>
      <c r="D277" s="28"/>
      <c r="E277" s="29"/>
      <c r="F277" s="29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/>
      <c r="V277"/>
    </row>
    <row r="278" spans="1:22" x14ac:dyDescent="0.35">
      <c r="A278" s="1"/>
      <c r="B278" s="27"/>
      <c r="C278" s="27"/>
      <c r="D278" s="28"/>
      <c r="E278" s="29"/>
      <c r="F278" s="29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/>
      <c r="V278"/>
    </row>
    <row r="279" spans="1:22" x14ac:dyDescent="0.35">
      <c r="A279" s="1"/>
      <c r="B279" s="27"/>
      <c r="C279" s="27"/>
      <c r="D279" s="28"/>
      <c r="E279" s="29"/>
      <c r="F279" s="29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/>
      <c r="V279"/>
    </row>
    <row r="280" spans="1:22" x14ac:dyDescent="0.35">
      <c r="A280" s="1"/>
      <c r="B280" s="27"/>
      <c r="C280" s="27"/>
      <c r="D280" s="28"/>
      <c r="E280" s="29"/>
      <c r="F280" s="29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/>
      <c r="V280"/>
    </row>
    <row r="281" spans="1:22" x14ac:dyDescent="0.35">
      <c r="A281" s="1"/>
      <c r="B281" s="27"/>
      <c r="C281" s="27"/>
      <c r="D281" s="28"/>
      <c r="E281" s="29"/>
      <c r="F281" s="29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/>
      <c r="V281"/>
    </row>
    <row r="282" spans="1:22" x14ac:dyDescent="0.35">
      <c r="A282" s="1"/>
      <c r="B282" s="27"/>
      <c r="C282" s="27"/>
      <c r="D282" s="28"/>
      <c r="E282" s="29"/>
      <c r="F282" s="29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/>
      <c r="V282"/>
    </row>
    <row r="283" spans="1:22" x14ac:dyDescent="0.35">
      <c r="A283" s="1"/>
      <c r="B283" s="27"/>
      <c r="C283" s="27"/>
      <c r="D283" s="28"/>
      <c r="E283" s="29"/>
      <c r="F283" s="29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/>
      <c r="V283"/>
    </row>
    <row r="284" spans="1:22" x14ac:dyDescent="0.35">
      <c r="A284" s="1"/>
      <c r="B284" s="27"/>
      <c r="C284" s="27"/>
      <c r="D284" s="28"/>
      <c r="E284" s="29"/>
      <c r="F284" s="29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/>
      <c r="V284"/>
    </row>
  </sheetData>
  <autoFilter ref="U1:U284" xr:uid="{00000000-0009-0000-0000-000004000000}"/>
  <mergeCells count="5">
    <mergeCell ref="B4:D4"/>
    <mergeCell ref="E4:G4"/>
    <mergeCell ref="U4:V4"/>
    <mergeCell ref="H4:P4"/>
    <mergeCell ref="H1:N3"/>
  </mergeCells>
  <pageMargins left="0.7" right="0.7" top="0.75" bottom="0.75" header="0.3" footer="0.3"/>
  <pageSetup scale="10" orientation="landscape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64F4-D063-4DAC-BE14-D02C8D5B656E}">
  <sheetPr>
    <tabColor theme="5"/>
  </sheetPr>
  <dimension ref="A1:L1048576"/>
  <sheetViews>
    <sheetView topLeftCell="A4" zoomScale="95" zoomScaleNormal="95" workbookViewId="0">
      <selection activeCell="H8" sqref="H7:H20"/>
    </sheetView>
  </sheetViews>
  <sheetFormatPr baseColWidth="10" defaultRowHeight="14.5" x14ac:dyDescent="0.35"/>
  <cols>
    <col min="1" max="1" width="13.54296875" bestFit="1" customWidth="1"/>
    <col min="2" max="2" width="18.81640625" customWidth="1"/>
    <col min="3" max="3" width="16.7265625" customWidth="1"/>
    <col min="4" max="4" width="21.7265625" customWidth="1"/>
    <col min="5" max="5" width="15.81640625" customWidth="1"/>
    <col min="6" max="7" width="15.7265625" customWidth="1"/>
    <col min="8" max="8" width="19" customWidth="1"/>
    <col min="9" max="9" width="12.453125" bestFit="1" customWidth="1"/>
    <col min="10" max="10" width="22.7265625" customWidth="1"/>
    <col min="11" max="11" width="24.26953125" customWidth="1"/>
    <col min="12" max="12" width="56.453125" customWidth="1"/>
  </cols>
  <sheetData>
    <row r="1" spans="1:12" ht="60.5" x14ac:dyDescent="1.2">
      <c r="A1" s="158" t="s">
        <v>8</v>
      </c>
      <c r="B1" s="159"/>
      <c r="C1" s="159"/>
      <c r="D1" s="160"/>
      <c r="E1" s="161"/>
      <c r="F1" s="161"/>
      <c r="G1" s="161"/>
      <c r="H1" s="162"/>
      <c r="I1" s="400" t="s">
        <v>81</v>
      </c>
      <c r="J1" s="400"/>
      <c r="K1" s="400"/>
      <c r="L1" s="163"/>
    </row>
    <row r="2" spans="1:12" ht="30" customHeight="1" x14ac:dyDescent="0.35">
      <c r="A2" s="158" t="s">
        <v>0</v>
      </c>
      <c r="B2" s="159"/>
      <c r="C2" s="159"/>
      <c r="D2" s="160"/>
      <c r="E2" s="161"/>
      <c r="F2" s="161"/>
      <c r="G2" s="161"/>
      <c r="H2" s="159"/>
      <c r="I2" s="159"/>
      <c r="J2" s="159"/>
      <c r="K2" s="158"/>
      <c r="L2" s="158"/>
    </row>
    <row r="3" spans="1:12" ht="20.25" customHeight="1" x14ac:dyDescent="0.35">
      <c r="A3" s="158" t="s">
        <v>27</v>
      </c>
      <c r="B3" s="159"/>
      <c r="C3" s="159"/>
      <c r="D3" s="160"/>
      <c r="E3" s="164"/>
      <c r="F3" s="164"/>
      <c r="G3" s="164"/>
      <c r="H3" s="159"/>
      <c r="I3" s="159"/>
      <c r="J3" s="159"/>
      <c r="K3" s="158"/>
      <c r="L3" s="158"/>
    </row>
    <row r="4" spans="1:12" ht="15.5" x14ac:dyDescent="0.35">
      <c r="A4" s="125"/>
      <c r="B4" s="366" t="s">
        <v>10</v>
      </c>
      <c r="C4" s="366"/>
      <c r="D4" s="366"/>
      <c r="E4" s="399" t="s">
        <v>12</v>
      </c>
      <c r="F4" s="399"/>
      <c r="G4" s="399"/>
      <c r="H4" s="388" t="s">
        <v>13</v>
      </c>
      <c r="I4" s="389"/>
      <c r="J4" s="390"/>
      <c r="K4" s="368" t="s">
        <v>21</v>
      </c>
      <c r="L4" s="368"/>
    </row>
    <row r="5" spans="1:12" ht="31" x14ac:dyDescent="0.35">
      <c r="A5" s="92" t="s">
        <v>1</v>
      </c>
      <c r="B5" s="92" t="s">
        <v>2</v>
      </c>
      <c r="C5" s="92" t="s">
        <v>3</v>
      </c>
      <c r="D5" s="154" t="s">
        <v>11</v>
      </c>
      <c r="E5" s="155" t="s">
        <v>4</v>
      </c>
      <c r="F5" s="155" t="s">
        <v>5</v>
      </c>
      <c r="G5" s="155" t="s">
        <v>6</v>
      </c>
      <c r="H5" s="92" t="s">
        <v>35</v>
      </c>
      <c r="I5" s="156" t="s">
        <v>47</v>
      </c>
      <c r="J5" s="92" t="s">
        <v>38</v>
      </c>
      <c r="K5" s="92" t="s">
        <v>22</v>
      </c>
      <c r="L5" s="92" t="s">
        <v>7</v>
      </c>
    </row>
    <row r="6" spans="1:12" ht="15.5" x14ac:dyDescent="0.35">
      <c r="A6" s="136"/>
      <c r="B6" s="60"/>
      <c r="C6" s="60"/>
      <c r="D6" s="62"/>
      <c r="E6" s="50"/>
      <c r="F6" s="50"/>
      <c r="G6" s="50"/>
      <c r="H6" s="49">
        <v>25</v>
      </c>
      <c r="I6" s="97"/>
      <c r="J6" s="97"/>
      <c r="K6" s="43"/>
      <c r="L6" s="41"/>
    </row>
    <row r="7" spans="1:12" ht="15.5" x14ac:dyDescent="0.35">
      <c r="A7" s="103"/>
      <c r="B7" s="79"/>
      <c r="C7" s="79"/>
      <c r="D7" s="73">
        <f t="shared" ref="D7:D53" si="0">1+C7-B7</f>
        <v>1</v>
      </c>
      <c r="E7" s="241">
        <v>10092</v>
      </c>
      <c r="F7" s="241">
        <v>10092</v>
      </c>
      <c r="G7" s="75">
        <f>(F7-E7)/100</f>
        <v>0</v>
      </c>
      <c r="H7" s="112"/>
      <c r="I7" s="148">
        <f>+H7*$H$6</f>
        <v>0</v>
      </c>
      <c r="J7" s="148" t="e">
        <f>I7/G7</f>
        <v>#DIV/0!</v>
      </c>
      <c r="K7" s="106" t="s">
        <v>92</v>
      </c>
      <c r="L7" s="61"/>
    </row>
    <row r="8" spans="1:12" ht="15.5" x14ac:dyDescent="0.35">
      <c r="A8" s="103"/>
      <c r="B8" s="79"/>
      <c r="C8" s="79"/>
      <c r="D8" s="73">
        <f t="shared" si="0"/>
        <v>1</v>
      </c>
      <c r="E8" s="74">
        <f t="shared" ref="E8:E14" si="1">F7</f>
        <v>10092</v>
      </c>
      <c r="F8" s="152"/>
      <c r="G8" s="75">
        <f t="shared" ref="G8:G32" si="2">(F8-E8)/100</f>
        <v>-100.92</v>
      </c>
      <c r="H8" s="112"/>
      <c r="I8" s="148">
        <f t="shared" ref="I8:I32" si="3">+H8*$H$6</f>
        <v>0</v>
      </c>
      <c r="J8" s="148">
        <f t="shared" ref="J8:J32" si="4">I8/G8</f>
        <v>0</v>
      </c>
      <c r="K8" s="92" t="s">
        <v>80</v>
      </c>
      <c r="L8" s="61"/>
    </row>
    <row r="9" spans="1:12" ht="15.5" x14ac:dyDescent="0.35">
      <c r="A9" s="103"/>
      <c r="B9" s="79"/>
      <c r="C9" s="79"/>
      <c r="D9" s="73">
        <f t="shared" si="0"/>
        <v>1</v>
      </c>
      <c r="E9" s="74">
        <f>F8</f>
        <v>0</v>
      </c>
      <c r="F9" s="74"/>
      <c r="G9" s="75">
        <f t="shared" si="2"/>
        <v>0</v>
      </c>
      <c r="H9" s="76"/>
      <c r="I9" s="148">
        <f t="shared" si="3"/>
        <v>0</v>
      </c>
      <c r="J9" s="148" t="e">
        <f t="shared" si="4"/>
        <v>#DIV/0!</v>
      </c>
      <c r="K9" s="92" t="s">
        <v>80</v>
      </c>
      <c r="L9" s="61"/>
    </row>
    <row r="10" spans="1:12" ht="15.5" x14ac:dyDescent="0.35">
      <c r="A10" s="103"/>
      <c r="B10" s="79"/>
      <c r="C10" s="79"/>
      <c r="D10" s="73">
        <f t="shared" si="0"/>
        <v>1</v>
      </c>
      <c r="E10" s="74">
        <f t="shared" si="1"/>
        <v>0</v>
      </c>
      <c r="F10" s="74"/>
      <c r="G10" s="75">
        <f t="shared" si="2"/>
        <v>0</v>
      </c>
      <c r="H10" s="76"/>
      <c r="I10" s="148">
        <f t="shared" si="3"/>
        <v>0</v>
      </c>
      <c r="J10" s="148" t="e">
        <f t="shared" si="4"/>
        <v>#DIV/0!</v>
      </c>
      <c r="K10" s="92" t="s">
        <v>160</v>
      </c>
      <c r="L10" s="61"/>
    </row>
    <row r="11" spans="1:12" ht="15.5" x14ac:dyDescent="0.35">
      <c r="A11" s="103"/>
      <c r="B11" s="79"/>
      <c r="C11" s="79"/>
      <c r="D11" s="73">
        <f t="shared" si="0"/>
        <v>1</v>
      </c>
      <c r="E11" s="74">
        <f t="shared" si="1"/>
        <v>0</v>
      </c>
      <c r="F11" s="152"/>
      <c r="G11" s="75">
        <f t="shared" si="2"/>
        <v>0</v>
      </c>
      <c r="H11" s="76"/>
      <c r="I11" s="148">
        <f t="shared" si="3"/>
        <v>0</v>
      </c>
      <c r="J11" s="148" t="e">
        <f t="shared" si="4"/>
        <v>#DIV/0!</v>
      </c>
      <c r="K11" s="92" t="s">
        <v>80</v>
      </c>
      <c r="L11" s="61" t="s">
        <v>162</v>
      </c>
    </row>
    <row r="12" spans="1:12" ht="12.75" customHeight="1" x14ac:dyDescent="0.35">
      <c r="A12" s="103"/>
      <c r="B12" s="79"/>
      <c r="C12" s="79"/>
      <c r="D12" s="73">
        <f t="shared" si="0"/>
        <v>1</v>
      </c>
      <c r="E12" s="74">
        <f t="shared" si="1"/>
        <v>0</v>
      </c>
      <c r="F12" s="74"/>
      <c r="G12" s="75">
        <f t="shared" si="2"/>
        <v>0</v>
      </c>
      <c r="H12" s="76"/>
      <c r="I12" s="148">
        <f t="shared" si="3"/>
        <v>0</v>
      </c>
      <c r="J12" s="148" t="e">
        <f t="shared" si="4"/>
        <v>#DIV/0!</v>
      </c>
      <c r="K12" s="92" t="s">
        <v>82</v>
      </c>
      <c r="L12" s="61"/>
    </row>
    <row r="13" spans="1:12" s="228" customFormat="1" ht="15.5" x14ac:dyDescent="0.35">
      <c r="A13" s="103"/>
      <c r="B13" s="79"/>
      <c r="C13" s="79"/>
      <c r="D13" s="73">
        <f t="shared" si="0"/>
        <v>1</v>
      </c>
      <c r="E13" s="74">
        <f t="shared" si="1"/>
        <v>0</v>
      </c>
      <c r="F13" s="242"/>
      <c r="G13" s="75">
        <f t="shared" si="2"/>
        <v>0</v>
      </c>
      <c r="H13" s="151"/>
      <c r="I13" s="148">
        <f t="shared" si="3"/>
        <v>0</v>
      </c>
      <c r="J13" s="148" t="e">
        <f t="shared" si="4"/>
        <v>#DIV/0!</v>
      </c>
      <c r="K13" s="92" t="s">
        <v>159</v>
      </c>
      <c r="L13" s="61"/>
    </row>
    <row r="14" spans="1:12" ht="15.5" x14ac:dyDescent="0.35">
      <c r="A14" s="103"/>
      <c r="B14" s="79"/>
      <c r="C14" s="79"/>
      <c r="D14" s="73">
        <f t="shared" si="0"/>
        <v>1</v>
      </c>
      <c r="E14" s="74">
        <f t="shared" si="1"/>
        <v>0</v>
      </c>
      <c r="F14" s="74"/>
      <c r="G14" s="75">
        <f t="shared" si="2"/>
        <v>0</v>
      </c>
      <c r="H14" s="76"/>
      <c r="I14" s="148">
        <f t="shared" si="3"/>
        <v>0</v>
      </c>
      <c r="J14" s="148" t="e">
        <f t="shared" si="4"/>
        <v>#DIV/0!</v>
      </c>
      <c r="K14" s="92" t="s">
        <v>92</v>
      </c>
      <c r="L14" s="61"/>
    </row>
    <row r="15" spans="1:12" ht="15.5" x14ac:dyDescent="0.35">
      <c r="A15" s="103"/>
      <c r="B15" s="79"/>
      <c r="C15" s="79"/>
      <c r="D15" s="73">
        <f t="shared" si="0"/>
        <v>1</v>
      </c>
      <c r="E15" s="74">
        <f t="shared" ref="E15:E60" si="5">F14</f>
        <v>0</v>
      </c>
      <c r="F15" s="74"/>
      <c r="G15" s="75">
        <f t="shared" si="2"/>
        <v>0</v>
      </c>
      <c r="H15" s="76"/>
      <c r="I15" s="148">
        <f t="shared" si="3"/>
        <v>0</v>
      </c>
      <c r="J15" s="148" t="e">
        <f t="shared" si="4"/>
        <v>#DIV/0!</v>
      </c>
      <c r="K15" s="92" t="s">
        <v>80</v>
      </c>
      <c r="L15" s="61"/>
    </row>
    <row r="16" spans="1:12" ht="15.5" x14ac:dyDescent="0.35">
      <c r="A16" s="103"/>
      <c r="B16" s="79"/>
      <c r="C16" s="79"/>
      <c r="D16" s="73">
        <f t="shared" si="0"/>
        <v>1</v>
      </c>
      <c r="E16" s="74">
        <f t="shared" si="5"/>
        <v>0</v>
      </c>
      <c r="F16" s="74"/>
      <c r="G16" s="75">
        <f t="shared" si="2"/>
        <v>0</v>
      </c>
      <c r="H16" s="76"/>
      <c r="I16" s="148">
        <f t="shared" si="3"/>
        <v>0</v>
      </c>
      <c r="J16" s="148" t="e">
        <f t="shared" si="4"/>
        <v>#DIV/0!</v>
      </c>
      <c r="K16" s="92" t="s">
        <v>82</v>
      </c>
      <c r="L16" s="61"/>
    </row>
    <row r="17" spans="1:12" ht="15.5" x14ac:dyDescent="0.35">
      <c r="A17" s="103"/>
      <c r="B17" s="79"/>
      <c r="C17" s="79"/>
      <c r="D17" s="73">
        <f t="shared" si="0"/>
        <v>1</v>
      </c>
      <c r="E17" s="74">
        <f t="shared" si="5"/>
        <v>0</v>
      </c>
      <c r="F17" s="74"/>
      <c r="G17" s="75">
        <f t="shared" si="2"/>
        <v>0</v>
      </c>
      <c r="H17" s="76"/>
      <c r="I17" s="148">
        <f t="shared" si="3"/>
        <v>0</v>
      </c>
      <c r="J17" s="148" t="e">
        <f t="shared" si="4"/>
        <v>#DIV/0!</v>
      </c>
      <c r="K17" s="92" t="s">
        <v>163</v>
      </c>
      <c r="L17" s="61"/>
    </row>
    <row r="18" spans="1:12" ht="15.5" x14ac:dyDescent="0.35">
      <c r="A18" s="103"/>
      <c r="B18" s="79"/>
      <c r="C18" s="79"/>
      <c r="D18" s="73">
        <f t="shared" si="0"/>
        <v>1</v>
      </c>
      <c r="E18" s="74">
        <f t="shared" si="5"/>
        <v>0</v>
      </c>
      <c r="F18" s="152"/>
      <c r="G18" s="75">
        <f t="shared" si="2"/>
        <v>0</v>
      </c>
      <c r="H18" s="112"/>
      <c r="I18" s="148">
        <f t="shared" si="3"/>
        <v>0</v>
      </c>
      <c r="J18" s="148" t="e">
        <f t="shared" si="4"/>
        <v>#DIV/0!</v>
      </c>
      <c r="K18" s="92" t="s">
        <v>92</v>
      </c>
      <c r="L18" s="41"/>
    </row>
    <row r="19" spans="1:12" s="228" customFormat="1" ht="15.5" x14ac:dyDescent="0.35">
      <c r="A19" s="103"/>
      <c r="B19" s="79"/>
      <c r="C19" s="79"/>
      <c r="D19" s="73">
        <f t="shared" si="0"/>
        <v>1</v>
      </c>
      <c r="E19" s="74">
        <f t="shared" si="5"/>
        <v>0</v>
      </c>
      <c r="F19" s="241"/>
      <c r="G19" s="75">
        <f t="shared" si="2"/>
        <v>0</v>
      </c>
      <c r="H19" s="112"/>
      <c r="I19" s="148">
        <f t="shared" si="3"/>
        <v>0</v>
      </c>
      <c r="J19" s="148" t="e">
        <f t="shared" si="4"/>
        <v>#DIV/0!</v>
      </c>
      <c r="K19" s="92" t="s">
        <v>80</v>
      </c>
      <c r="L19" s="61"/>
    </row>
    <row r="20" spans="1:12" s="228" customFormat="1" ht="15.5" x14ac:dyDescent="0.35">
      <c r="A20" s="103"/>
      <c r="B20" s="79"/>
      <c r="C20" s="79"/>
      <c r="D20" s="73">
        <f t="shared" si="0"/>
        <v>1</v>
      </c>
      <c r="E20" s="74">
        <f t="shared" si="5"/>
        <v>0</v>
      </c>
      <c r="F20" s="241"/>
      <c r="G20" s="75">
        <f t="shared" si="2"/>
        <v>0</v>
      </c>
      <c r="H20" s="112"/>
      <c r="I20" s="148">
        <f t="shared" si="3"/>
        <v>0</v>
      </c>
      <c r="J20" s="148" t="e">
        <f t="shared" si="4"/>
        <v>#DIV/0!</v>
      </c>
      <c r="K20" s="92" t="s">
        <v>82</v>
      </c>
      <c r="L20" s="61"/>
    </row>
    <row r="21" spans="1:12" ht="15.5" x14ac:dyDescent="0.35">
      <c r="A21" s="103"/>
      <c r="B21" s="79"/>
      <c r="C21" s="79"/>
      <c r="D21" s="73">
        <f t="shared" si="0"/>
        <v>1</v>
      </c>
      <c r="E21" s="74"/>
      <c r="F21" s="152"/>
      <c r="G21" s="75">
        <f t="shared" si="2"/>
        <v>0</v>
      </c>
      <c r="H21" s="112"/>
      <c r="I21" s="148">
        <f t="shared" si="3"/>
        <v>0</v>
      </c>
      <c r="J21" s="148" t="e">
        <f t="shared" si="4"/>
        <v>#DIV/0!</v>
      </c>
      <c r="K21" s="106"/>
      <c r="L21" s="41"/>
    </row>
    <row r="22" spans="1:12" ht="15.5" x14ac:dyDescent="0.35">
      <c r="A22" s="103"/>
      <c r="B22" s="79"/>
      <c r="C22" s="79"/>
      <c r="D22" s="73">
        <f t="shared" si="0"/>
        <v>1</v>
      </c>
      <c r="E22" s="74">
        <f t="shared" si="5"/>
        <v>0</v>
      </c>
      <c r="F22" s="152"/>
      <c r="G22" s="75">
        <f t="shared" si="2"/>
        <v>0</v>
      </c>
      <c r="H22" s="112"/>
      <c r="I22" s="148">
        <f t="shared" si="3"/>
        <v>0</v>
      </c>
      <c r="J22" s="148" t="e">
        <f t="shared" si="4"/>
        <v>#DIV/0!</v>
      </c>
      <c r="K22" s="92"/>
      <c r="L22" s="61" t="s">
        <v>97</v>
      </c>
    </row>
    <row r="23" spans="1:12" ht="15.5" x14ac:dyDescent="0.35">
      <c r="A23" s="103"/>
      <c r="B23" s="79"/>
      <c r="C23" s="79"/>
      <c r="D23" s="73">
        <f t="shared" si="0"/>
        <v>1</v>
      </c>
      <c r="E23" s="74">
        <f t="shared" si="5"/>
        <v>0</v>
      </c>
      <c r="F23" s="152"/>
      <c r="G23" s="75">
        <f t="shared" si="2"/>
        <v>0</v>
      </c>
      <c r="H23" s="112"/>
      <c r="I23" s="148">
        <f t="shared" si="3"/>
        <v>0</v>
      </c>
      <c r="J23" s="148" t="e">
        <f t="shared" si="4"/>
        <v>#DIV/0!</v>
      </c>
      <c r="K23" s="106"/>
      <c r="L23" s="41"/>
    </row>
    <row r="24" spans="1:12" ht="15.5" x14ac:dyDescent="0.35">
      <c r="A24" s="103"/>
      <c r="B24" s="79"/>
      <c r="C24" s="79"/>
      <c r="D24" s="73">
        <f t="shared" si="0"/>
        <v>1</v>
      </c>
      <c r="E24" s="74">
        <f t="shared" si="5"/>
        <v>0</v>
      </c>
      <c r="F24" s="152"/>
      <c r="G24" s="75">
        <f t="shared" si="2"/>
        <v>0</v>
      </c>
      <c r="H24" s="112"/>
      <c r="I24" s="148">
        <f t="shared" si="3"/>
        <v>0</v>
      </c>
      <c r="J24" s="148" t="e">
        <f t="shared" si="4"/>
        <v>#DIV/0!</v>
      </c>
      <c r="K24" s="92"/>
      <c r="L24" s="61" t="s">
        <v>97</v>
      </c>
    </row>
    <row r="25" spans="1:12" ht="15.5" x14ac:dyDescent="0.35">
      <c r="A25" s="103"/>
      <c r="B25" s="79"/>
      <c r="C25" s="79"/>
      <c r="D25" s="73">
        <f t="shared" si="0"/>
        <v>1</v>
      </c>
      <c r="E25" s="74">
        <f t="shared" si="5"/>
        <v>0</v>
      </c>
      <c r="F25" s="74"/>
      <c r="G25" s="75">
        <f t="shared" si="2"/>
        <v>0</v>
      </c>
      <c r="H25" s="76"/>
      <c r="I25" s="148">
        <f t="shared" si="3"/>
        <v>0</v>
      </c>
      <c r="J25" s="148" t="e">
        <f t="shared" si="4"/>
        <v>#DIV/0!</v>
      </c>
      <c r="K25" s="92"/>
      <c r="L25" s="61"/>
    </row>
    <row r="26" spans="1:12" s="228" customFormat="1" ht="15.5" x14ac:dyDescent="0.35">
      <c r="A26" s="103"/>
      <c r="B26" s="79"/>
      <c r="C26" s="79"/>
      <c r="D26" s="73">
        <f t="shared" si="0"/>
        <v>1</v>
      </c>
      <c r="E26" s="74">
        <f t="shared" si="5"/>
        <v>0</v>
      </c>
      <c r="F26" s="242"/>
      <c r="G26" s="75">
        <f t="shared" si="2"/>
        <v>0</v>
      </c>
      <c r="H26" s="151"/>
      <c r="I26" s="148">
        <f t="shared" si="3"/>
        <v>0</v>
      </c>
      <c r="J26" s="148" t="e">
        <f t="shared" si="4"/>
        <v>#DIV/0!</v>
      </c>
      <c r="K26" s="243"/>
      <c r="L26" s="61"/>
    </row>
    <row r="27" spans="1:12" ht="15.5" x14ac:dyDescent="0.35">
      <c r="A27" s="103"/>
      <c r="B27" s="79"/>
      <c r="C27" s="79"/>
      <c r="D27" s="73">
        <f t="shared" si="0"/>
        <v>1</v>
      </c>
      <c r="E27" s="74">
        <f t="shared" si="5"/>
        <v>0</v>
      </c>
      <c r="F27" s="152"/>
      <c r="G27" s="75">
        <f t="shared" si="2"/>
        <v>0</v>
      </c>
      <c r="H27" s="76"/>
      <c r="I27" s="148">
        <f t="shared" si="3"/>
        <v>0</v>
      </c>
      <c r="J27" s="148" t="e">
        <f t="shared" si="4"/>
        <v>#DIV/0!</v>
      </c>
      <c r="K27" s="92"/>
      <c r="L27" s="61"/>
    </row>
    <row r="28" spans="1:12" ht="15.5" x14ac:dyDescent="0.35">
      <c r="A28" s="103"/>
      <c r="B28" s="79"/>
      <c r="C28" s="79"/>
      <c r="D28" s="73">
        <f t="shared" si="0"/>
        <v>1</v>
      </c>
      <c r="E28" s="74">
        <f t="shared" si="5"/>
        <v>0</v>
      </c>
      <c r="F28" s="74"/>
      <c r="G28" s="75">
        <f t="shared" si="2"/>
        <v>0</v>
      </c>
      <c r="H28" s="76"/>
      <c r="I28" s="148">
        <f t="shared" si="3"/>
        <v>0</v>
      </c>
      <c r="J28" s="148" t="e">
        <f t="shared" si="4"/>
        <v>#DIV/0!</v>
      </c>
      <c r="K28" s="92"/>
      <c r="L28" s="61" t="s">
        <v>97</v>
      </c>
    </row>
    <row r="29" spans="1:12" ht="15.5" x14ac:dyDescent="0.35">
      <c r="A29" s="103"/>
      <c r="B29" s="79"/>
      <c r="C29" s="79"/>
      <c r="D29" s="73">
        <f t="shared" si="0"/>
        <v>1</v>
      </c>
      <c r="E29" s="74">
        <f>F28</f>
        <v>0</v>
      </c>
      <c r="F29" s="74"/>
      <c r="G29" s="75">
        <f t="shared" si="2"/>
        <v>0</v>
      </c>
      <c r="H29" s="76"/>
      <c r="I29" s="148">
        <f t="shared" si="3"/>
        <v>0</v>
      </c>
      <c r="J29" s="148" t="e">
        <f t="shared" si="4"/>
        <v>#DIV/0!</v>
      </c>
      <c r="K29" s="92"/>
      <c r="L29" s="61"/>
    </row>
    <row r="30" spans="1:12" ht="15.5" x14ac:dyDescent="0.35">
      <c r="A30" s="103"/>
      <c r="B30" s="79"/>
      <c r="C30" s="79"/>
      <c r="D30" s="73">
        <f t="shared" si="0"/>
        <v>1</v>
      </c>
      <c r="E30" s="74">
        <f t="shared" si="5"/>
        <v>0</v>
      </c>
      <c r="F30" s="74"/>
      <c r="G30" s="75">
        <f t="shared" si="2"/>
        <v>0</v>
      </c>
      <c r="H30" s="76"/>
      <c r="I30" s="148">
        <f t="shared" si="3"/>
        <v>0</v>
      </c>
      <c r="J30" s="148" t="e">
        <f t="shared" si="4"/>
        <v>#DIV/0!</v>
      </c>
      <c r="K30" s="92"/>
      <c r="L30" s="61"/>
    </row>
    <row r="31" spans="1:12" ht="15.5" x14ac:dyDescent="0.35">
      <c r="A31" s="103"/>
      <c r="B31" s="79"/>
      <c r="C31" s="79"/>
      <c r="D31" s="73">
        <f t="shared" si="0"/>
        <v>1</v>
      </c>
      <c r="E31" s="74">
        <f t="shared" si="5"/>
        <v>0</v>
      </c>
      <c r="F31" s="74"/>
      <c r="G31" s="75">
        <f t="shared" si="2"/>
        <v>0</v>
      </c>
      <c r="H31" s="76"/>
      <c r="I31" s="148">
        <f t="shared" si="3"/>
        <v>0</v>
      </c>
      <c r="J31" s="148" t="e">
        <f t="shared" si="4"/>
        <v>#DIV/0!</v>
      </c>
      <c r="K31" s="92"/>
      <c r="L31" s="61"/>
    </row>
    <row r="32" spans="1:12" ht="15.5" x14ac:dyDescent="0.35">
      <c r="A32" s="103"/>
      <c r="B32" s="79"/>
      <c r="C32" s="79"/>
      <c r="D32" s="73">
        <f t="shared" si="0"/>
        <v>1</v>
      </c>
      <c r="E32" s="74">
        <f t="shared" si="5"/>
        <v>0</v>
      </c>
      <c r="F32" s="74"/>
      <c r="G32" s="75">
        <f t="shared" si="2"/>
        <v>0</v>
      </c>
      <c r="H32" s="76"/>
      <c r="I32" s="148">
        <f t="shared" si="3"/>
        <v>0</v>
      </c>
      <c r="J32" s="148" t="e">
        <f t="shared" si="4"/>
        <v>#DIV/0!</v>
      </c>
      <c r="K32" s="92"/>
      <c r="L32" s="61" t="s">
        <v>97</v>
      </c>
    </row>
    <row r="33" spans="1:12" ht="15.5" x14ac:dyDescent="0.35">
      <c r="A33" s="103"/>
      <c r="B33" s="79"/>
      <c r="C33" s="79"/>
      <c r="D33" s="73">
        <f t="shared" si="0"/>
        <v>1</v>
      </c>
      <c r="E33" s="74">
        <f t="shared" si="5"/>
        <v>0</v>
      </c>
      <c r="F33" s="74"/>
      <c r="G33" s="75">
        <f t="shared" ref="G33:G86" si="6">(F33-E33)/100</f>
        <v>0</v>
      </c>
      <c r="H33" s="76"/>
      <c r="I33" s="148">
        <f t="shared" ref="I33:I70" si="7">+H33*$H$6</f>
        <v>0</v>
      </c>
      <c r="J33" s="148" t="e">
        <f t="shared" ref="J33:J77" si="8">I33/G33</f>
        <v>#DIV/0!</v>
      </c>
      <c r="K33" s="92"/>
      <c r="L33" s="61" t="s">
        <v>97</v>
      </c>
    </row>
    <row r="34" spans="1:12" ht="15.5" x14ac:dyDescent="0.35">
      <c r="A34" s="103"/>
      <c r="B34" s="79"/>
      <c r="C34" s="79"/>
      <c r="D34" s="73">
        <f t="shared" si="0"/>
        <v>1</v>
      </c>
      <c r="E34" s="74">
        <f t="shared" si="5"/>
        <v>0</v>
      </c>
      <c r="F34" s="74"/>
      <c r="G34" s="75">
        <f t="shared" si="6"/>
        <v>0</v>
      </c>
      <c r="H34" s="76"/>
      <c r="I34" s="148">
        <f t="shared" si="7"/>
        <v>0</v>
      </c>
      <c r="J34" s="148" t="e">
        <f t="shared" si="8"/>
        <v>#DIV/0!</v>
      </c>
      <c r="K34" s="92"/>
      <c r="L34" s="61" t="s">
        <v>97</v>
      </c>
    </row>
    <row r="35" spans="1:12" s="228" customFormat="1" ht="15.5" x14ac:dyDescent="0.35">
      <c r="A35" s="104"/>
      <c r="B35" s="314"/>
      <c r="C35" s="79"/>
      <c r="D35" s="73">
        <f t="shared" si="0"/>
        <v>1</v>
      </c>
      <c r="E35" s="242">
        <f t="shared" si="5"/>
        <v>0</v>
      </c>
      <c r="F35" s="242"/>
      <c r="G35" s="75">
        <f t="shared" si="6"/>
        <v>0</v>
      </c>
      <c r="H35" s="151"/>
      <c r="I35" s="148">
        <f t="shared" si="7"/>
        <v>0</v>
      </c>
      <c r="J35" s="148" t="e">
        <f t="shared" si="8"/>
        <v>#DIV/0!</v>
      </c>
      <c r="K35" s="243"/>
      <c r="L35" s="61"/>
    </row>
    <row r="36" spans="1:12" s="228" customFormat="1" ht="15.5" x14ac:dyDescent="0.35">
      <c r="A36" s="104"/>
      <c r="B36" s="79"/>
      <c r="C36" s="79"/>
      <c r="D36" s="73">
        <f t="shared" si="0"/>
        <v>1</v>
      </c>
      <c r="E36" s="74">
        <f t="shared" si="5"/>
        <v>0</v>
      </c>
      <c r="F36" s="242"/>
      <c r="G36" s="75">
        <f t="shared" si="6"/>
        <v>0</v>
      </c>
      <c r="H36" s="151"/>
      <c r="I36" s="148">
        <f t="shared" si="7"/>
        <v>0</v>
      </c>
      <c r="J36" s="148" t="e">
        <f t="shared" si="8"/>
        <v>#DIV/0!</v>
      </c>
      <c r="K36" s="243"/>
      <c r="L36" s="61"/>
    </row>
    <row r="37" spans="1:12" s="228" customFormat="1" ht="15.5" x14ac:dyDescent="0.35">
      <c r="A37" s="104"/>
      <c r="B37" s="79"/>
      <c r="C37" s="79"/>
      <c r="D37" s="73">
        <f t="shared" si="0"/>
        <v>1</v>
      </c>
      <c r="E37" s="74">
        <f t="shared" si="5"/>
        <v>0</v>
      </c>
      <c r="F37" s="242"/>
      <c r="G37" s="75">
        <f t="shared" si="6"/>
        <v>0</v>
      </c>
      <c r="H37" s="151"/>
      <c r="I37" s="148">
        <f t="shared" si="7"/>
        <v>0</v>
      </c>
      <c r="J37" s="148" t="e">
        <f t="shared" si="8"/>
        <v>#DIV/0!</v>
      </c>
      <c r="K37" s="243"/>
      <c r="L37" s="61"/>
    </row>
    <row r="38" spans="1:12" ht="15.5" x14ac:dyDescent="0.35">
      <c r="A38" s="103"/>
      <c r="B38" s="79"/>
      <c r="C38" s="79"/>
      <c r="D38" s="73">
        <f t="shared" si="0"/>
        <v>1</v>
      </c>
      <c r="E38" s="74">
        <f t="shared" si="5"/>
        <v>0</v>
      </c>
      <c r="F38" s="74"/>
      <c r="G38" s="75">
        <f t="shared" si="6"/>
        <v>0</v>
      </c>
      <c r="H38" s="76"/>
      <c r="I38" s="148">
        <f t="shared" si="7"/>
        <v>0</v>
      </c>
      <c r="J38" s="148" t="e">
        <f t="shared" si="8"/>
        <v>#DIV/0!</v>
      </c>
      <c r="K38" s="92"/>
      <c r="L38" s="147"/>
    </row>
    <row r="39" spans="1:12" ht="15.5" x14ac:dyDescent="0.35">
      <c r="A39" s="103"/>
      <c r="B39" s="79"/>
      <c r="C39" s="79"/>
      <c r="D39" s="73">
        <f t="shared" si="0"/>
        <v>1</v>
      </c>
      <c r="E39" s="74">
        <f t="shared" si="5"/>
        <v>0</v>
      </c>
      <c r="F39" s="74"/>
      <c r="G39" s="75">
        <f t="shared" si="6"/>
        <v>0</v>
      </c>
      <c r="H39" s="76"/>
      <c r="I39" s="148">
        <f t="shared" si="7"/>
        <v>0</v>
      </c>
      <c r="J39" s="148" t="e">
        <f t="shared" si="8"/>
        <v>#DIV/0!</v>
      </c>
      <c r="K39" s="92"/>
      <c r="L39" s="61"/>
    </row>
    <row r="40" spans="1:12" s="228" customFormat="1" ht="15.5" x14ac:dyDescent="0.35">
      <c r="A40" s="103"/>
      <c r="B40" s="79"/>
      <c r="C40" s="79"/>
      <c r="D40" s="73">
        <f t="shared" si="0"/>
        <v>1</v>
      </c>
      <c r="E40" s="74">
        <f t="shared" si="5"/>
        <v>0</v>
      </c>
      <c r="F40" s="242"/>
      <c r="G40" s="75">
        <f t="shared" si="6"/>
        <v>0</v>
      </c>
      <c r="H40" s="151"/>
      <c r="I40" s="148">
        <f t="shared" si="7"/>
        <v>0</v>
      </c>
      <c r="J40" s="148" t="e">
        <f t="shared" si="8"/>
        <v>#DIV/0!</v>
      </c>
      <c r="K40" s="243"/>
      <c r="L40" s="61"/>
    </row>
    <row r="41" spans="1:12" ht="15.5" x14ac:dyDescent="0.35">
      <c r="A41" s="103"/>
      <c r="B41" s="79"/>
      <c r="C41" s="79"/>
      <c r="D41" s="73">
        <f t="shared" si="0"/>
        <v>1</v>
      </c>
      <c r="E41" s="74">
        <f t="shared" si="5"/>
        <v>0</v>
      </c>
      <c r="F41" s="74"/>
      <c r="G41" s="75">
        <f t="shared" si="6"/>
        <v>0</v>
      </c>
      <c r="H41" s="76"/>
      <c r="I41" s="148">
        <f t="shared" si="7"/>
        <v>0</v>
      </c>
      <c r="J41" s="148" t="e">
        <f t="shared" si="8"/>
        <v>#DIV/0!</v>
      </c>
      <c r="K41" s="92"/>
      <c r="L41" s="61"/>
    </row>
    <row r="42" spans="1:12" ht="15.5" x14ac:dyDescent="0.35">
      <c r="A42" s="103"/>
      <c r="B42" s="79"/>
      <c r="C42" s="79"/>
      <c r="D42" s="73">
        <f t="shared" si="0"/>
        <v>1</v>
      </c>
      <c r="E42" s="74">
        <f t="shared" si="5"/>
        <v>0</v>
      </c>
      <c r="F42" s="74"/>
      <c r="G42" s="75">
        <f t="shared" si="6"/>
        <v>0</v>
      </c>
      <c r="H42" s="76"/>
      <c r="I42" s="148">
        <f t="shared" si="7"/>
        <v>0</v>
      </c>
      <c r="J42" s="148" t="e">
        <f t="shared" si="8"/>
        <v>#DIV/0!</v>
      </c>
      <c r="K42" s="92"/>
      <c r="L42" s="61"/>
    </row>
    <row r="43" spans="1:12" ht="15.5" x14ac:dyDescent="0.35">
      <c r="A43" s="103"/>
      <c r="B43" s="79"/>
      <c r="C43" s="79"/>
      <c r="D43" s="73">
        <f t="shared" si="0"/>
        <v>1</v>
      </c>
      <c r="E43" s="74">
        <f t="shared" si="5"/>
        <v>0</v>
      </c>
      <c r="F43" s="152"/>
      <c r="G43" s="75">
        <f t="shared" si="6"/>
        <v>0</v>
      </c>
      <c r="H43" s="76"/>
      <c r="I43" s="148">
        <f t="shared" si="7"/>
        <v>0</v>
      </c>
      <c r="J43" s="148" t="e">
        <f t="shared" si="8"/>
        <v>#DIV/0!</v>
      </c>
      <c r="K43" s="92"/>
      <c r="L43" s="61"/>
    </row>
    <row r="44" spans="1:12" ht="15.5" x14ac:dyDescent="0.35">
      <c r="A44" s="103"/>
      <c r="B44" s="79"/>
      <c r="C44" s="79"/>
      <c r="D44" s="73">
        <f t="shared" si="0"/>
        <v>1</v>
      </c>
      <c r="E44" s="74">
        <f t="shared" si="5"/>
        <v>0</v>
      </c>
      <c r="F44" s="74"/>
      <c r="G44" s="75">
        <f t="shared" si="6"/>
        <v>0</v>
      </c>
      <c r="H44" s="76"/>
      <c r="I44" s="148">
        <f t="shared" si="7"/>
        <v>0</v>
      </c>
      <c r="J44" s="148" t="e">
        <f t="shared" si="8"/>
        <v>#DIV/0!</v>
      </c>
      <c r="K44" s="92"/>
      <c r="L44" s="61"/>
    </row>
    <row r="45" spans="1:12" ht="15.5" x14ac:dyDescent="0.35">
      <c r="A45" s="103"/>
      <c r="B45" s="79"/>
      <c r="C45" s="79"/>
      <c r="D45" s="73">
        <f t="shared" si="0"/>
        <v>1</v>
      </c>
      <c r="E45" s="74">
        <f t="shared" si="5"/>
        <v>0</v>
      </c>
      <c r="F45" s="74"/>
      <c r="G45" s="75">
        <f t="shared" si="6"/>
        <v>0</v>
      </c>
      <c r="H45" s="76"/>
      <c r="I45" s="148">
        <f t="shared" si="7"/>
        <v>0</v>
      </c>
      <c r="J45" s="148" t="e">
        <f t="shared" si="8"/>
        <v>#DIV/0!</v>
      </c>
      <c r="K45" s="92"/>
      <c r="L45" s="61"/>
    </row>
    <row r="46" spans="1:12" ht="15.5" x14ac:dyDescent="0.35">
      <c r="A46" s="103"/>
      <c r="B46" s="79"/>
      <c r="C46" s="79"/>
      <c r="D46" s="73">
        <f t="shared" si="0"/>
        <v>1</v>
      </c>
      <c r="E46" s="74">
        <f t="shared" si="5"/>
        <v>0</v>
      </c>
      <c r="F46" s="74"/>
      <c r="G46" s="75">
        <f t="shared" si="6"/>
        <v>0</v>
      </c>
      <c r="H46" s="76"/>
      <c r="I46" s="148">
        <f t="shared" si="7"/>
        <v>0</v>
      </c>
      <c r="J46" s="148" t="e">
        <f t="shared" si="8"/>
        <v>#DIV/0!</v>
      </c>
      <c r="K46" s="92"/>
      <c r="L46" s="61"/>
    </row>
    <row r="47" spans="1:12" ht="15.5" x14ac:dyDescent="0.35">
      <c r="A47" s="103"/>
      <c r="B47" s="79"/>
      <c r="C47" s="79"/>
      <c r="D47" s="73">
        <f t="shared" si="0"/>
        <v>1</v>
      </c>
      <c r="E47" s="74">
        <f t="shared" si="5"/>
        <v>0</v>
      </c>
      <c r="F47" s="74"/>
      <c r="G47" s="75">
        <f t="shared" si="6"/>
        <v>0</v>
      </c>
      <c r="H47" s="76"/>
      <c r="I47" s="148">
        <f t="shared" si="7"/>
        <v>0</v>
      </c>
      <c r="J47" s="148" t="e">
        <f t="shared" si="8"/>
        <v>#DIV/0!</v>
      </c>
      <c r="K47" s="92"/>
      <c r="L47" s="61"/>
    </row>
    <row r="48" spans="1:12" ht="15.5" x14ac:dyDescent="0.35">
      <c r="A48" s="103"/>
      <c r="B48" s="79"/>
      <c r="C48" s="79"/>
      <c r="D48" s="73">
        <f t="shared" si="0"/>
        <v>1</v>
      </c>
      <c r="E48" s="74">
        <f t="shared" si="5"/>
        <v>0</v>
      </c>
      <c r="F48" s="74"/>
      <c r="G48" s="75">
        <f t="shared" si="6"/>
        <v>0</v>
      </c>
      <c r="H48" s="76"/>
      <c r="I48" s="148">
        <f t="shared" si="7"/>
        <v>0</v>
      </c>
      <c r="J48" s="148" t="e">
        <f t="shared" si="8"/>
        <v>#DIV/0!</v>
      </c>
      <c r="K48" s="92"/>
      <c r="L48" s="61"/>
    </row>
    <row r="49" spans="1:12" ht="15.5" x14ac:dyDescent="0.35">
      <c r="A49" s="103"/>
      <c r="B49" s="79"/>
      <c r="C49" s="79"/>
      <c r="D49" s="73">
        <f t="shared" si="0"/>
        <v>1</v>
      </c>
      <c r="E49" s="74">
        <f t="shared" si="5"/>
        <v>0</v>
      </c>
      <c r="F49" s="74"/>
      <c r="G49" s="75">
        <f t="shared" si="6"/>
        <v>0</v>
      </c>
      <c r="H49" s="76"/>
      <c r="I49" s="148">
        <f t="shared" si="7"/>
        <v>0</v>
      </c>
      <c r="J49" s="148" t="e">
        <f t="shared" si="8"/>
        <v>#DIV/0!</v>
      </c>
      <c r="K49" s="92"/>
      <c r="L49" s="61"/>
    </row>
    <row r="50" spans="1:12" ht="15.5" x14ac:dyDescent="0.35">
      <c r="A50" s="103"/>
      <c r="B50" s="84"/>
      <c r="C50" s="79"/>
      <c r="D50" s="73">
        <f t="shared" si="0"/>
        <v>1</v>
      </c>
      <c r="E50" s="74">
        <f t="shared" si="5"/>
        <v>0</v>
      </c>
      <c r="F50" s="74"/>
      <c r="G50" s="75">
        <f t="shared" si="6"/>
        <v>0</v>
      </c>
      <c r="H50" s="76"/>
      <c r="I50" s="148">
        <f t="shared" si="7"/>
        <v>0</v>
      </c>
      <c r="J50" s="148" t="e">
        <f t="shared" si="8"/>
        <v>#DIV/0!</v>
      </c>
      <c r="K50" s="92"/>
      <c r="L50" s="61"/>
    </row>
    <row r="51" spans="1:12" ht="15.5" x14ac:dyDescent="0.35">
      <c r="A51" s="103"/>
      <c r="B51" s="79"/>
      <c r="C51" s="79"/>
      <c r="D51" s="73">
        <f t="shared" si="0"/>
        <v>1</v>
      </c>
      <c r="E51" s="74">
        <f t="shared" si="5"/>
        <v>0</v>
      </c>
      <c r="F51" s="74"/>
      <c r="G51" s="75">
        <f t="shared" si="6"/>
        <v>0</v>
      </c>
      <c r="H51" s="76"/>
      <c r="I51" s="148">
        <f t="shared" si="7"/>
        <v>0</v>
      </c>
      <c r="J51" s="148" t="e">
        <f t="shared" si="8"/>
        <v>#DIV/0!</v>
      </c>
      <c r="K51" s="92"/>
      <c r="L51" s="61"/>
    </row>
    <row r="52" spans="1:12" ht="15.5" x14ac:dyDescent="0.35">
      <c r="A52" s="103"/>
      <c r="B52" s="79"/>
      <c r="C52" s="79"/>
      <c r="D52" s="73">
        <f t="shared" si="0"/>
        <v>1</v>
      </c>
      <c r="E52" s="74">
        <f t="shared" si="5"/>
        <v>0</v>
      </c>
      <c r="F52" s="74"/>
      <c r="G52" s="75">
        <f t="shared" si="6"/>
        <v>0</v>
      </c>
      <c r="H52" s="76"/>
      <c r="I52" s="148">
        <f t="shared" si="7"/>
        <v>0</v>
      </c>
      <c r="J52" s="148" t="e">
        <f t="shared" si="8"/>
        <v>#DIV/0!</v>
      </c>
      <c r="K52" s="92"/>
      <c r="L52" s="61"/>
    </row>
    <row r="53" spans="1:12" ht="15.5" x14ac:dyDescent="0.35">
      <c r="A53" s="103"/>
      <c r="B53" s="79"/>
      <c r="C53" s="79"/>
      <c r="D53" s="73">
        <f t="shared" si="0"/>
        <v>1</v>
      </c>
      <c r="E53" s="74">
        <f t="shared" si="5"/>
        <v>0</v>
      </c>
      <c r="F53" s="74"/>
      <c r="G53" s="75">
        <f t="shared" si="6"/>
        <v>0</v>
      </c>
      <c r="H53" s="76"/>
      <c r="I53" s="148">
        <f t="shared" si="7"/>
        <v>0</v>
      </c>
      <c r="J53" s="148" t="e">
        <f t="shared" si="8"/>
        <v>#DIV/0!</v>
      </c>
      <c r="K53" s="92"/>
      <c r="L53" s="61" t="s">
        <v>93</v>
      </c>
    </row>
    <row r="54" spans="1:12" ht="15.5" x14ac:dyDescent="0.35">
      <c r="A54" s="103"/>
      <c r="B54" s="79"/>
      <c r="C54" s="79"/>
      <c r="D54" s="73">
        <f t="shared" ref="D54:D103" si="9">1+C54-B54</f>
        <v>1</v>
      </c>
      <c r="E54" s="74">
        <f t="shared" si="5"/>
        <v>0</v>
      </c>
      <c r="F54" s="74"/>
      <c r="G54" s="75">
        <f t="shared" si="6"/>
        <v>0</v>
      </c>
      <c r="H54" s="76"/>
      <c r="I54" s="148">
        <f t="shared" si="7"/>
        <v>0</v>
      </c>
      <c r="J54" s="148" t="e">
        <f t="shared" si="8"/>
        <v>#DIV/0!</v>
      </c>
      <c r="K54" s="92"/>
      <c r="L54" s="61"/>
    </row>
    <row r="55" spans="1:12" ht="15.5" x14ac:dyDescent="0.35">
      <c r="A55" s="103"/>
      <c r="B55" s="79"/>
      <c r="C55" s="79"/>
      <c r="D55" s="73">
        <f t="shared" si="9"/>
        <v>1</v>
      </c>
      <c r="E55" s="74">
        <f t="shared" si="5"/>
        <v>0</v>
      </c>
      <c r="F55" s="74"/>
      <c r="G55" s="75">
        <f t="shared" si="6"/>
        <v>0</v>
      </c>
      <c r="H55" s="76"/>
      <c r="I55" s="148">
        <f t="shared" si="7"/>
        <v>0</v>
      </c>
      <c r="J55" s="148" t="e">
        <f t="shared" si="8"/>
        <v>#DIV/0!</v>
      </c>
      <c r="K55" s="92"/>
      <c r="L55" s="61"/>
    </row>
    <row r="56" spans="1:12" ht="15.5" x14ac:dyDescent="0.35">
      <c r="A56" s="103"/>
      <c r="B56" s="79"/>
      <c r="C56" s="79"/>
      <c r="D56" s="73">
        <f t="shared" si="9"/>
        <v>1</v>
      </c>
      <c r="E56" s="74">
        <f t="shared" si="5"/>
        <v>0</v>
      </c>
      <c r="F56" s="74"/>
      <c r="G56" s="75">
        <f t="shared" si="6"/>
        <v>0</v>
      </c>
      <c r="H56" s="76"/>
      <c r="I56" s="148">
        <f t="shared" si="7"/>
        <v>0</v>
      </c>
      <c r="J56" s="148" t="e">
        <f t="shared" si="8"/>
        <v>#DIV/0!</v>
      </c>
      <c r="K56" s="92"/>
      <c r="L56" s="61"/>
    </row>
    <row r="57" spans="1:12" ht="15.5" x14ac:dyDescent="0.35">
      <c r="A57" s="103"/>
      <c r="B57" s="79"/>
      <c r="C57" s="79"/>
      <c r="D57" s="73">
        <f t="shared" si="9"/>
        <v>1</v>
      </c>
      <c r="E57" s="74">
        <f t="shared" si="5"/>
        <v>0</v>
      </c>
      <c r="F57" s="74"/>
      <c r="G57" s="75">
        <f t="shared" si="6"/>
        <v>0</v>
      </c>
      <c r="H57" s="76"/>
      <c r="I57" s="148">
        <f t="shared" si="7"/>
        <v>0</v>
      </c>
      <c r="J57" s="148" t="e">
        <f t="shared" si="8"/>
        <v>#DIV/0!</v>
      </c>
      <c r="K57" s="92"/>
      <c r="L57" s="61"/>
    </row>
    <row r="58" spans="1:12" ht="15.5" x14ac:dyDescent="0.35">
      <c r="A58" s="103"/>
      <c r="B58" s="79"/>
      <c r="C58" s="79"/>
      <c r="D58" s="73">
        <f t="shared" si="9"/>
        <v>1</v>
      </c>
      <c r="E58" s="74">
        <f t="shared" si="5"/>
        <v>0</v>
      </c>
      <c r="F58" s="74"/>
      <c r="G58" s="75">
        <f t="shared" si="6"/>
        <v>0</v>
      </c>
      <c r="H58" s="76"/>
      <c r="I58" s="148">
        <f t="shared" si="7"/>
        <v>0</v>
      </c>
      <c r="J58" s="148" t="e">
        <f t="shared" si="8"/>
        <v>#DIV/0!</v>
      </c>
      <c r="K58" s="92"/>
      <c r="L58" s="61"/>
    </row>
    <row r="59" spans="1:12" ht="15.5" x14ac:dyDescent="0.35">
      <c r="A59" s="103"/>
      <c r="B59" s="79"/>
      <c r="C59" s="79"/>
      <c r="D59" s="73">
        <f t="shared" si="9"/>
        <v>1</v>
      </c>
      <c r="E59" s="74">
        <f t="shared" si="5"/>
        <v>0</v>
      </c>
      <c r="F59" s="74"/>
      <c r="G59" s="75">
        <f t="shared" si="6"/>
        <v>0</v>
      </c>
      <c r="H59" s="76"/>
      <c r="I59" s="148">
        <f t="shared" si="7"/>
        <v>0</v>
      </c>
      <c r="J59" s="148" t="e">
        <f t="shared" si="8"/>
        <v>#DIV/0!</v>
      </c>
      <c r="K59" s="92"/>
      <c r="L59" s="61"/>
    </row>
    <row r="60" spans="1:12" ht="15.5" x14ac:dyDescent="0.35">
      <c r="A60" s="103"/>
      <c r="B60" s="79"/>
      <c r="C60" s="79"/>
      <c r="D60" s="73">
        <f t="shared" si="9"/>
        <v>1</v>
      </c>
      <c r="E60" s="74">
        <f t="shared" si="5"/>
        <v>0</v>
      </c>
      <c r="F60" s="74"/>
      <c r="G60" s="75">
        <f t="shared" si="6"/>
        <v>0</v>
      </c>
      <c r="H60" s="76"/>
      <c r="I60" s="148">
        <f t="shared" si="7"/>
        <v>0</v>
      </c>
      <c r="J60" s="148" t="e">
        <f t="shared" si="8"/>
        <v>#DIV/0!</v>
      </c>
      <c r="K60" s="92"/>
      <c r="L60" s="61"/>
    </row>
    <row r="61" spans="1:12" ht="15.5" x14ac:dyDescent="0.35">
      <c r="A61" s="103"/>
      <c r="B61" s="79"/>
      <c r="C61" s="79"/>
      <c r="D61" s="73">
        <f t="shared" si="9"/>
        <v>1</v>
      </c>
      <c r="E61" s="74">
        <f t="shared" ref="E61:E77" si="10">F60</f>
        <v>0</v>
      </c>
      <c r="F61" s="74"/>
      <c r="G61" s="75">
        <f t="shared" si="6"/>
        <v>0</v>
      </c>
      <c r="H61" s="76"/>
      <c r="I61" s="148">
        <f t="shared" si="7"/>
        <v>0</v>
      </c>
      <c r="J61" s="148" t="e">
        <f t="shared" si="8"/>
        <v>#DIV/0!</v>
      </c>
      <c r="K61" s="92"/>
      <c r="L61" s="61"/>
    </row>
    <row r="62" spans="1:12" ht="15.5" x14ac:dyDescent="0.35">
      <c r="A62" s="103"/>
      <c r="B62" s="79"/>
      <c r="C62" s="79"/>
      <c r="D62" s="73">
        <f t="shared" si="9"/>
        <v>1</v>
      </c>
      <c r="E62" s="74">
        <f t="shared" si="10"/>
        <v>0</v>
      </c>
      <c r="F62" s="74"/>
      <c r="G62" s="75">
        <f t="shared" si="6"/>
        <v>0</v>
      </c>
      <c r="H62" s="76"/>
      <c r="I62" s="148">
        <f t="shared" si="7"/>
        <v>0</v>
      </c>
      <c r="J62" s="148" t="e">
        <f t="shared" si="8"/>
        <v>#DIV/0!</v>
      </c>
      <c r="K62" s="92"/>
      <c r="L62" s="61"/>
    </row>
    <row r="63" spans="1:12" ht="15.5" x14ac:dyDescent="0.35">
      <c r="A63" s="103"/>
      <c r="B63" s="79"/>
      <c r="C63" s="79"/>
      <c r="D63" s="73">
        <f t="shared" si="9"/>
        <v>1</v>
      </c>
      <c r="E63" s="74">
        <f t="shared" si="10"/>
        <v>0</v>
      </c>
      <c r="F63" s="74"/>
      <c r="G63" s="75">
        <f t="shared" si="6"/>
        <v>0</v>
      </c>
      <c r="H63" s="76"/>
      <c r="I63" s="148">
        <f t="shared" si="7"/>
        <v>0</v>
      </c>
      <c r="J63" s="148" t="e">
        <f t="shared" si="8"/>
        <v>#DIV/0!</v>
      </c>
      <c r="K63" s="92"/>
      <c r="L63" s="61"/>
    </row>
    <row r="64" spans="1:12" ht="15.5" x14ac:dyDescent="0.35">
      <c r="A64" s="103"/>
      <c r="B64" s="79"/>
      <c r="C64" s="79"/>
      <c r="D64" s="73">
        <f t="shared" si="9"/>
        <v>1</v>
      </c>
      <c r="E64" s="74">
        <f t="shared" si="10"/>
        <v>0</v>
      </c>
      <c r="F64" s="74"/>
      <c r="G64" s="75">
        <f t="shared" si="6"/>
        <v>0</v>
      </c>
      <c r="H64" s="76"/>
      <c r="I64" s="148">
        <f t="shared" si="7"/>
        <v>0</v>
      </c>
      <c r="J64" s="148" t="e">
        <f t="shared" si="8"/>
        <v>#DIV/0!</v>
      </c>
      <c r="K64" s="92"/>
      <c r="L64" s="61"/>
    </row>
    <row r="65" spans="1:12" ht="15.5" x14ac:dyDescent="0.35">
      <c r="A65" s="103"/>
      <c r="B65" s="79"/>
      <c r="C65" s="79"/>
      <c r="D65" s="73">
        <f t="shared" si="9"/>
        <v>1</v>
      </c>
      <c r="E65" s="74">
        <f t="shared" si="10"/>
        <v>0</v>
      </c>
      <c r="F65" s="74"/>
      <c r="G65" s="75">
        <f t="shared" si="6"/>
        <v>0</v>
      </c>
      <c r="H65" s="76"/>
      <c r="I65" s="148">
        <f t="shared" si="7"/>
        <v>0</v>
      </c>
      <c r="J65" s="148" t="e">
        <f t="shared" si="8"/>
        <v>#DIV/0!</v>
      </c>
      <c r="K65" s="92"/>
      <c r="L65" s="61"/>
    </row>
    <row r="66" spans="1:12" ht="15.5" x14ac:dyDescent="0.35">
      <c r="A66" s="103"/>
      <c r="B66" s="79"/>
      <c r="C66" s="79"/>
      <c r="D66" s="73">
        <f t="shared" si="9"/>
        <v>1</v>
      </c>
      <c r="E66" s="74">
        <f t="shared" si="10"/>
        <v>0</v>
      </c>
      <c r="F66" s="74"/>
      <c r="G66" s="75">
        <f t="shared" si="6"/>
        <v>0</v>
      </c>
      <c r="H66" s="76"/>
      <c r="I66" s="148">
        <f t="shared" si="7"/>
        <v>0</v>
      </c>
      <c r="J66" s="148" t="e">
        <f t="shared" si="8"/>
        <v>#DIV/0!</v>
      </c>
      <c r="K66" s="92"/>
      <c r="L66" s="61"/>
    </row>
    <row r="67" spans="1:12" ht="15.5" x14ac:dyDescent="0.35">
      <c r="A67" s="103"/>
      <c r="B67" s="79"/>
      <c r="C67" s="79"/>
      <c r="D67" s="73">
        <f t="shared" si="9"/>
        <v>1</v>
      </c>
      <c r="E67" s="74">
        <f t="shared" si="10"/>
        <v>0</v>
      </c>
      <c r="F67" s="74"/>
      <c r="G67" s="75">
        <f t="shared" si="6"/>
        <v>0</v>
      </c>
      <c r="H67" s="76"/>
      <c r="I67" s="148">
        <f t="shared" si="7"/>
        <v>0</v>
      </c>
      <c r="J67" s="148" t="e">
        <f t="shared" si="8"/>
        <v>#DIV/0!</v>
      </c>
      <c r="K67" s="92"/>
      <c r="L67" s="61"/>
    </row>
    <row r="68" spans="1:12" ht="15.5" x14ac:dyDescent="0.35">
      <c r="A68" s="103"/>
      <c r="B68" s="79"/>
      <c r="C68" s="79"/>
      <c r="D68" s="73">
        <f t="shared" si="9"/>
        <v>1</v>
      </c>
      <c r="E68" s="74">
        <f t="shared" si="10"/>
        <v>0</v>
      </c>
      <c r="F68" s="74"/>
      <c r="G68" s="75">
        <f t="shared" si="6"/>
        <v>0</v>
      </c>
      <c r="H68" s="76"/>
      <c r="I68" s="148">
        <f t="shared" si="7"/>
        <v>0</v>
      </c>
      <c r="J68" s="148" t="e">
        <f t="shared" si="8"/>
        <v>#DIV/0!</v>
      </c>
      <c r="K68" s="92"/>
      <c r="L68" s="61"/>
    </row>
    <row r="69" spans="1:12" ht="15.5" x14ac:dyDescent="0.35">
      <c r="A69" s="103"/>
      <c r="B69" s="79"/>
      <c r="C69" s="79"/>
      <c r="D69" s="73">
        <f t="shared" si="9"/>
        <v>1</v>
      </c>
      <c r="E69" s="74">
        <f t="shared" si="10"/>
        <v>0</v>
      </c>
      <c r="F69" s="74"/>
      <c r="G69" s="75">
        <f t="shared" si="6"/>
        <v>0</v>
      </c>
      <c r="H69" s="76"/>
      <c r="I69" s="148">
        <f t="shared" si="7"/>
        <v>0</v>
      </c>
      <c r="J69" s="148" t="e">
        <f t="shared" si="8"/>
        <v>#DIV/0!</v>
      </c>
      <c r="K69" s="92"/>
      <c r="L69" s="61"/>
    </row>
    <row r="70" spans="1:12" ht="15.5" x14ac:dyDescent="0.35">
      <c r="A70" s="103"/>
      <c r="B70" s="79"/>
      <c r="C70" s="79"/>
      <c r="D70" s="73">
        <f t="shared" si="9"/>
        <v>1</v>
      </c>
      <c r="E70" s="74">
        <f t="shared" si="10"/>
        <v>0</v>
      </c>
      <c r="F70" s="74"/>
      <c r="G70" s="75">
        <f t="shared" si="6"/>
        <v>0</v>
      </c>
      <c r="H70" s="76"/>
      <c r="I70" s="148">
        <f t="shared" si="7"/>
        <v>0</v>
      </c>
      <c r="J70" s="148" t="e">
        <f t="shared" si="8"/>
        <v>#DIV/0!</v>
      </c>
      <c r="K70" s="92"/>
      <c r="L70" s="61" t="s">
        <v>97</v>
      </c>
    </row>
    <row r="71" spans="1:12" ht="15.5" x14ac:dyDescent="0.35">
      <c r="A71" s="103"/>
      <c r="B71" s="72"/>
      <c r="C71" s="72"/>
      <c r="D71" s="73">
        <f t="shared" si="9"/>
        <v>1</v>
      </c>
      <c r="E71" s="74">
        <f t="shared" si="10"/>
        <v>0</v>
      </c>
      <c r="F71" s="74"/>
      <c r="G71" s="75">
        <f t="shared" si="6"/>
        <v>0</v>
      </c>
      <c r="H71" s="76"/>
      <c r="I71" s="148">
        <f>+H71*$H$6</f>
        <v>0</v>
      </c>
      <c r="J71" s="148" t="e">
        <f t="shared" si="8"/>
        <v>#DIV/0!</v>
      </c>
      <c r="K71" s="92"/>
      <c r="L71" s="61"/>
    </row>
    <row r="72" spans="1:12" ht="15.5" x14ac:dyDescent="0.35">
      <c r="A72" s="103"/>
      <c r="B72" s="81"/>
      <c r="C72" s="81"/>
      <c r="D72" s="73">
        <f t="shared" si="9"/>
        <v>1</v>
      </c>
      <c r="E72" s="74">
        <f t="shared" si="10"/>
        <v>0</v>
      </c>
      <c r="F72" s="74"/>
      <c r="G72" s="75">
        <f t="shared" si="6"/>
        <v>0</v>
      </c>
      <c r="H72" s="76"/>
      <c r="I72" s="148">
        <f>+H72*$H$6</f>
        <v>0</v>
      </c>
      <c r="J72" s="148" t="e">
        <f t="shared" si="8"/>
        <v>#DIV/0!</v>
      </c>
      <c r="K72" s="92"/>
      <c r="L72" s="61"/>
    </row>
    <row r="73" spans="1:12" ht="15.5" x14ac:dyDescent="0.35">
      <c r="A73" s="103"/>
      <c r="B73" s="79"/>
      <c r="C73" s="79"/>
      <c r="D73" s="73">
        <f t="shared" si="9"/>
        <v>1</v>
      </c>
      <c r="E73" s="74">
        <f t="shared" si="10"/>
        <v>0</v>
      </c>
      <c r="F73" s="74"/>
      <c r="G73" s="75">
        <f t="shared" si="6"/>
        <v>0</v>
      </c>
      <c r="H73" s="76"/>
      <c r="I73" s="148">
        <f>+H73*$H$6</f>
        <v>0</v>
      </c>
      <c r="J73" s="148" t="e">
        <f t="shared" si="8"/>
        <v>#DIV/0!</v>
      </c>
      <c r="K73" s="92"/>
      <c r="L73" s="61"/>
    </row>
    <row r="74" spans="1:12" ht="15.5" x14ac:dyDescent="0.35">
      <c r="A74" s="103"/>
      <c r="B74" s="79"/>
      <c r="C74" s="79"/>
      <c r="D74" s="73">
        <f t="shared" si="9"/>
        <v>1</v>
      </c>
      <c r="E74" s="74">
        <f t="shared" si="10"/>
        <v>0</v>
      </c>
      <c r="F74" s="74"/>
      <c r="G74" s="75">
        <f t="shared" si="6"/>
        <v>0</v>
      </c>
      <c r="H74" s="76"/>
      <c r="I74" s="148">
        <f>+H74*$H$6</f>
        <v>0</v>
      </c>
      <c r="J74" s="148" t="e">
        <f t="shared" si="8"/>
        <v>#DIV/0!</v>
      </c>
      <c r="K74" s="92"/>
      <c r="L74" s="61"/>
    </row>
    <row r="75" spans="1:12" ht="15.5" x14ac:dyDescent="0.35">
      <c r="A75" s="103"/>
      <c r="B75" s="79"/>
      <c r="C75" s="79"/>
      <c r="D75" s="73">
        <f t="shared" si="9"/>
        <v>1</v>
      </c>
      <c r="E75" s="74">
        <f t="shared" si="10"/>
        <v>0</v>
      </c>
      <c r="F75" s="74"/>
      <c r="G75" s="75">
        <f t="shared" si="6"/>
        <v>0</v>
      </c>
      <c r="H75" s="76"/>
      <c r="I75" s="148">
        <f>+H75*$H$6</f>
        <v>0</v>
      </c>
      <c r="J75" s="148" t="e">
        <f t="shared" si="8"/>
        <v>#DIV/0!</v>
      </c>
      <c r="K75" s="92"/>
      <c r="L75" s="61"/>
    </row>
    <row r="76" spans="1:12" ht="15.5" x14ac:dyDescent="0.35">
      <c r="A76" s="103"/>
      <c r="B76" s="79"/>
      <c r="C76" s="79"/>
      <c r="D76" s="73">
        <f t="shared" si="9"/>
        <v>1</v>
      </c>
      <c r="E76" s="74">
        <f t="shared" si="10"/>
        <v>0</v>
      </c>
      <c r="F76" s="74"/>
      <c r="G76" s="75">
        <f t="shared" si="6"/>
        <v>0</v>
      </c>
      <c r="H76" s="76"/>
      <c r="I76" s="148">
        <f t="shared" ref="I76:I103" si="11">+H76*$H$6</f>
        <v>0</v>
      </c>
      <c r="J76" s="148" t="e">
        <f t="shared" si="8"/>
        <v>#DIV/0!</v>
      </c>
      <c r="K76" s="92"/>
      <c r="L76" s="61" t="s">
        <v>97</v>
      </c>
    </row>
    <row r="77" spans="1:12" ht="15.5" x14ac:dyDescent="0.35">
      <c r="A77" s="103"/>
      <c r="B77" s="79"/>
      <c r="C77" s="79"/>
      <c r="D77" s="73">
        <f t="shared" si="9"/>
        <v>1</v>
      </c>
      <c r="E77" s="74">
        <f t="shared" si="10"/>
        <v>0</v>
      </c>
      <c r="F77" s="74"/>
      <c r="G77" s="75">
        <f t="shared" si="6"/>
        <v>0</v>
      </c>
      <c r="H77" s="76"/>
      <c r="I77" s="148">
        <f t="shared" si="11"/>
        <v>0</v>
      </c>
      <c r="J77" s="148" t="e">
        <f t="shared" si="8"/>
        <v>#DIV/0!</v>
      </c>
      <c r="K77" s="92"/>
      <c r="L77" s="61"/>
    </row>
    <row r="78" spans="1:12" ht="15.5" x14ac:dyDescent="0.35">
      <c r="A78" s="103"/>
      <c r="B78" s="81"/>
      <c r="C78" s="81"/>
      <c r="D78" s="73">
        <f t="shared" si="9"/>
        <v>1</v>
      </c>
      <c r="E78" s="74"/>
      <c r="F78" s="74"/>
      <c r="G78" s="75">
        <f t="shared" si="6"/>
        <v>0</v>
      </c>
      <c r="H78" s="76"/>
      <c r="I78" s="148">
        <f t="shared" si="11"/>
        <v>0</v>
      </c>
      <c r="J78" s="148" t="e">
        <f t="shared" ref="J78:J137" si="12">I78/G78</f>
        <v>#DIV/0!</v>
      </c>
      <c r="K78" s="92"/>
      <c r="L78" s="147"/>
    </row>
    <row r="79" spans="1:12" ht="15.5" x14ac:dyDescent="0.35">
      <c r="A79" s="103"/>
      <c r="B79" s="81"/>
      <c r="C79" s="81"/>
      <c r="D79" s="73">
        <f t="shared" si="9"/>
        <v>1</v>
      </c>
      <c r="E79" s="74">
        <f t="shared" ref="E79:E136" si="13">F78</f>
        <v>0</v>
      </c>
      <c r="F79" s="74"/>
      <c r="G79" s="75">
        <f t="shared" si="6"/>
        <v>0</v>
      </c>
      <c r="H79" s="76"/>
      <c r="I79" s="148">
        <f t="shared" si="11"/>
        <v>0</v>
      </c>
      <c r="J79" s="148" t="e">
        <f t="shared" si="12"/>
        <v>#DIV/0!</v>
      </c>
      <c r="K79" s="92"/>
      <c r="L79" s="61"/>
    </row>
    <row r="80" spans="1:12" ht="15.5" x14ac:dyDescent="0.35">
      <c r="A80" s="103"/>
      <c r="B80" s="81"/>
      <c r="C80" s="81"/>
      <c r="D80" s="73">
        <f t="shared" si="9"/>
        <v>1</v>
      </c>
      <c r="E80" s="74">
        <f t="shared" si="13"/>
        <v>0</v>
      </c>
      <c r="F80" s="74"/>
      <c r="G80" s="75">
        <f t="shared" si="6"/>
        <v>0</v>
      </c>
      <c r="H80" s="76"/>
      <c r="I80" s="148">
        <f t="shared" si="11"/>
        <v>0</v>
      </c>
      <c r="J80" s="148" t="e">
        <f t="shared" si="12"/>
        <v>#DIV/0!</v>
      </c>
      <c r="K80" s="92"/>
      <c r="L80" s="61"/>
    </row>
    <row r="81" spans="1:12" ht="15.5" x14ac:dyDescent="0.35">
      <c r="A81" s="103"/>
      <c r="B81" s="81"/>
      <c r="C81" s="81"/>
      <c r="D81" s="73">
        <f t="shared" si="9"/>
        <v>1</v>
      </c>
      <c r="E81" s="74">
        <f t="shared" si="13"/>
        <v>0</v>
      </c>
      <c r="F81" s="74"/>
      <c r="G81" s="75">
        <f t="shared" si="6"/>
        <v>0</v>
      </c>
      <c r="H81" s="76"/>
      <c r="I81" s="148">
        <f t="shared" si="11"/>
        <v>0</v>
      </c>
      <c r="J81" s="148" t="e">
        <f t="shared" si="12"/>
        <v>#DIV/0!</v>
      </c>
      <c r="K81" s="92"/>
      <c r="L81" s="61"/>
    </row>
    <row r="82" spans="1:12" ht="15.5" x14ac:dyDescent="0.35">
      <c r="A82" s="103"/>
      <c r="B82" s="81"/>
      <c r="C82" s="81"/>
      <c r="D82" s="73">
        <f t="shared" si="9"/>
        <v>1</v>
      </c>
      <c r="E82" s="74">
        <f t="shared" si="13"/>
        <v>0</v>
      </c>
      <c r="F82" s="74"/>
      <c r="G82" s="75">
        <f t="shared" si="6"/>
        <v>0</v>
      </c>
      <c r="H82" s="76"/>
      <c r="I82" s="148">
        <f t="shared" si="11"/>
        <v>0</v>
      </c>
      <c r="J82" s="148" t="e">
        <f t="shared" si="12"/>
        <v>#DIV/0!</v>
      </c>
      <c r="K82" s="92"/>
      <c r="L82" s="61"/>
    </row>
    <row r="83" spans="1:12" ht="15.5" x14ac:dyDescent="0.35">
      <c r="A83" s="103"/>
      <c r="B83" s="79"/>
      <c r="C83" s="79"/>
      <c r="D83" s="73">
        <f t="shared" si="9"/>
        <v>1</v>
      </c>
      <c r="E83" s="74">
        <f t="shared" si="13"/>
        <v>0</v>
      </c>
      <c r="F83" s="74"/>
      <c r="G83" s="75">
        <f t="shared" si="6"/>
        <v>0</v>
      </c>
      <c r="H83" s="76"/>
      <c r="I83" s="148">
        <f t="shared" si="11"/>
        <v>0</v>
      </c>
      <c r="J83" s="148" t="e">
        <f t="shared" si="12"/>
        <v>#DIV/0!</v>
      </c>
      <c r="K83" s="92"/>
      <c r="L83" s="61"/>
    </row>
    <row r="84" spans="1:12" ht="15.5" x14ac:dyDescent="0.35">
      <c r="A84" s="103"/>
      <c r="B84" s="81"/>
      <c r="C84" s="81"/>
      <c r="D84" s="73">
        <f t="shared" si="9"/>
        <v>1</v>
      </c>
      <c r="E84" s="74">
        <f t="shared" si="13"/>
        <v>0</v>
      </c>
      <c r="F84" s="74"/>
      <c r="G84" s="75">
        <f t="shared" si="6"/>
        <v>0</v>
      </c>
      <c r="H84" s="76"/>
      <c r="I84" s="148">
        <f t="shared" si="11"/>
        <v>0</v>
      </c>
      <c r="J84" s="148" t="e">
        <f t="shared" si="12"/>
        <v>#DIV/0!</v>
      </c>
      <c r="K84" s="92"/>
      <c r="L84" s="61"/>
    </row>
    <row r="85" spans="1:12" ht="15.5" x14ac:dyDescent="0.35">
      <c r="A85" s="103"/>
      <c r="B85" s="81"/>
      <c r="C85" s="81"/>
      <c r="D85" s="73">
        <f t="shared" si="9"/>
        <v>1</v>
      </c>
      <c r="E85" s="74">
        <f t="shared" si="13"/>
        <v>0</v>
      </c>
      <c r="F85" s="74"/>
      <c r="G85" s="75">
        <f t="shared" si="6"/>
        <v>0</v>
      </c>
      <c r="H85" s="76"/>
      <c r="I85" s="148">
        <f t="shared" si="11"/>
        <v>0</v>
      </c>
      <c r="J85" s="148" t="e">
        <f t="shared" si="12"/>
        <v>#DIV/0!</v>
      </c>
      <c r="K85" s="92"/>
      <c r="L85" s="61"/>
    </row>
    <row r="86" spans="1:12" ht="15.5" x14ac:dyDescent="0.35">
      <c r="A86" s="103"/>
      <c r="B86" s="81"/>
      <c r="C86" s="81"/>
      <c r="D86" s="73">
        <f t="shared" si="9"/>
        <v>1</v>
      </c>
      <c r="E86" s="74">
        <f t="shared" si="13"/>
        <v>0</v>
      </c>
      <c r="F86" s="74"/>
      <c r="G86" s="75">
        <f t="shared" si="6"/>
        <v>0</v>
      </c>
      <c r="H86" s="76"/>
      <c r="I86" s="148">
        <f t="shared" si="11"/>
        <v>0</v>
      </c>
      <c r="J86" s="148" t="e">
        <f t="shared" si="12"/>
        <v>#DIV/0!</v>
      </c>
      <c r="K86" s="92"/>
      <c r="L86" s="61"/>
    </row>
    <row r="87" spans="1:12" ht="15.5" x14ac:dyDescent="0.35">
      <c r="A87" s="103"/>
      <c r="B87" s="81"/>
      <c r="C87" s="81"/>
      <c r="D87" s="73">
        <f t="shared" si="9"/>
        <v>1</v>
      </c>
      <c r="E87" s="74">
        <f t="shared" si="13"/>
        <v>0</v>
      </c>
      <c r="F87" s="74"/>
      <c r="G87" s="75">
        <f t="shared" ref="G87:G148" si="14">(F87-E87)/100</f>
        <v>0</v>
      </c>
      <c r="H87" s="76"/>
      <c r="I87" s="148">
        <f t="shared" si="11"/>
        <v>0</v>
      </c>
      <c r="J87" s="148" t="e">
        <f t="shared" si="12"/>
        <v>#DIV/0!</v>
      </c>
      <c r="K87" s="92"/>
      <c r="L87" s="61"/>
    </row>
    <row r="88" spans="1:12" ht="15.5" x14ac:dyDescent="0.35">
      <c r="A88" s="103"/>
      <c r="B88" s="81"/>
      <c r="C88" s="81"/>
      <c r="D88" s="73">
        <f t="shared" si="9"/>
        <v>1</v>
      </c>
      <c r="E88" s="74">
        <f t="shared" si="13"/>
        <v>0</v>
      </c>
      <c r="F88" s="74"/>
      <c r="G88" s="75">
        <f t="shared" si="14"/>
        <v>0</v>
      </c>
      <c r="H88" s="76"/>
      <c r="I88" s="148">
        <f t="shared" si="11"/>
        <v>0</v>
      </c>
      <c r="J88" s="148" t="e">
        <f t="shared" si="12"/>
        <v>#DIV/0!</v>
      </c>
      <c r="K88" s="92"/>
      <c r="L88" s="61"/>
    </row>
    <row r="89" spans="1:12" ht="15.5" x14ac:dyDescent="0.35">
      <c r="A89" s="103"/>
      <c r="B89" s="81"/>
      <c r="C89" s="81"/>
      <c r="D89" s="73">
        <f t="shared" si="9"/>
        <v>1</v>
      </c>
      <c r="E89" s="74">
        <f t="shared" si="13"/>
        <v>0</v>
      </c>
      <c r="F89" s="74"/>
      <c r="G89" s="75">
        <f t="shared" si="14"/>
        <v>0</v>
      </c>
      <c r="H89" s="76"/>
      <c r="I89" s="148">
        <f t="shared" si="11"/>
        <v>0</v>
      </c>
      <c r="J89" s="148" t="e">
        <f t="shared" si="12"/>
        <v>#DIV/0!</v>
      </c>
      <c r="K89" s="92"/>
      <c r="L89" s="61"/>
    </row>
    <row r="90" spans="1:12" ht="15.5" x14ac:dyDescent="0.35">
      <c r="A90" s="103"/>
      <c r="B90" s="81"/>
      <c r="C90" s="81"/>
      <c r="D90" s="73">
        <f t="shared" si="9"/>
        <v>1</v>
      </c>
      <c r="E90" s="74">
        <f t="shared" si="13"/>
        <v>0</v>
      </c>
      <c r="F90" s="74"/>
      <c r="G90" s="75">
        <f t="shared" si="14"/>
        <v>0</v>
      </c>
      <c r="H90" s="76"/>
      <c r="I90" s="148">
        <f t="shared" si="11"/>
        <v>0</v>
      </c>
      <c r="J90" s="148" t="e">
        <f t="shared" si="12"/>
        <v>#DIV/0!</v>
      </c>
      <c r="K90" s="92"/>
      <c r="L90" s="61"/>
    </row>
    <row r="91" spans="1:12" ht="15.5" x14ac:dyDescent="0.35">
      <c r="A91" s="103"/>
      <c r="B91" s="81"/>
      <c r="C91" s="81"/>
      <c r="D91" s="73">
        <f t="shared" si="9"/>
        <v>1</v>
      </c>
      <c r="E91" s="74">
        <f t="shared" si="13"/>
        <v>0</v>
      </c>
      <c r="F91" s="74"/>
      <c r="G91" s="75">
        <f t="shared" si="14"/>
        <v>0</v>
      </c>
      <c r="H91" s="76"/>
      <c r="I91" s="148">
        <f t="shared" si="11"/>
        <v>0</v>
      </c>
      <c r="J91" s="148" t="e">
        <f t="shared" si="12"/>
        <v>#DIV/0!</v>
      </c>
      <c r="K91" s="92"/>
      <c r="L91" s="61"/>
    </row>
    <row r="92" spans="1:12" ht="15.5" x14ac:dyDescent="0.35">
      <c r="A92" s="103"/>
      <c r="B92" s="81"/>
      <c r="C92" s="81"/>
      <c r="D92" s="73">
        <f t="shared" si="9"/>
        <v>1</v>
      </c>
      <c r="E92" s="74">
        <f t="shared" si="13"/>
        <v>0</v>
      </c>
      <c r="F92" s="74"/>
      <c r="G92" s="75">
        <f t="shared" si="14"/>
        <v>0</v>
      </c>
      <c r="H92" s="76"/>
      <c r="I92" s="148">
        <f t="shared" si="11"/>
        <v>0</v>
      </c>
      <c r="J92" s="148" t="e">
        <f t="shared" si="12"/>
        <v>#DIV/0!</v>
      </c>
      <c r="K92" s="92"/>
      <c r="L92" s="61"/>
    </row>
    <row r="93" spans="1:12" ht="15.5" x14ac:dyDescent="0.35">
      <c r="A93" s="103"/>
      <c r="B93" s="81"/>
      <c r="C93" s="81"/>
      <c r="D93" s="73">
        <f t="shared" si="9"/>
        <v>1</v>
      </c>
      <c r="E93" s="74">
        <f t="shared" si="13"/>
        <v>0</v>
      </c>
      <c r="F93" s="74"/>
      <c r="G93" s="75">
        <f t="shared" si="14"/>
        <v>0</v>
      </c>
      <c r="H93" s="76"/>
      <c r="I93" s="148">
        <f t="shared" si="11"/>
        <v>0</v>
      </c>
      <c r="J93" s="148" t="e">
        <f t="shared" si="12"/>
        <v>#DIV/0!</v>
      </c>
      <c r="K93" s="92"/>
      <c r="L93" s="61"/>
    </row>
    <row r="94" spans="1:12" ht="15.5" x14ac:dyDescent="0.35">
      <c r="A94" s="103"/>
      <c r="B94" s="81"/>
      <c r="C94" s="81"/>
      <c r="D94" s="73">
        <f t="shared" si="9"/>
        <v>1</v>
      </c>
      <c r="E94" s="74">
        <f t="shared" si="13"/>
        <v>0</v>
      </c>
      <c r="F94" s="74"/>
      <c r="G94" s="75">
        <f t="shared" si="14"/>
        <v>0</v>
      </c>
      <c r="H94" s="76"/>
      <c r="I94" s="148">
        <f t="shared" si="11"/>
        <v>0</v>
      </c>
      <c r="J94" s="148" t="e">
        <f t="shared" si="12"/>
        <v>#DIV/0!</v>
      </c>
      <c r="K94" s="92"/>
      <c r="L94" s="61"/>
    </row>
    <row r="95" spans="1:12" ht="15.5" x14ac:dyDescent="0.35">
      <c r="A95" s="103"/>
      <c r="B95" s="81"/>
      <c r="C95" s="81"/>
      <c r="D95" s="73">
        <f t="shared" si="9"/>
        <v>1</v>
      </c>
      <c r="E95" s="74">
        <f t="shared" si="13"/>
        <v>0</v>
      </c>
      <c r="F95" s="74"/>
      <c r="G95" s="75">
        <f t="shared" si="14"/>
        <v>0</v>
      </c>
      <c r="H95" s="76"/>
      <c r="I95" s="148">
        <f t="shared" si="11"/>
        <v>0</v>
      </c>
      <c r="J95" s="148" t="e">
        <f t="shared" si="12"/>
        <v>#DIV/0!</v>
      </c>
      <c r="K95" s="92"/>
      <c r="L95" s="61"/>
    </row>
    <row r="96" spans="1:12" ht="15.5" x14ac:dyDescent="0.35">
      <c r="A96" s="103"/>
      <c r="B96" s="81"/>
      <c r="C96" s="81"/>
      <c r="D96" s="73">
        <f t="shared" si="9"/>
        <v>1</v>
      </c>
      <c r="E96" s="74">
        <f t="shared" si="13"/>
        <v>0</v>
      </c>
      <c r="F96" s="74"/>
      <c r="G96" s="75">
        <f t="shared" si="14"/>
        <v>0</v>
      </c>
      <c r="H96" s="76"/>
      <c r="I96" s="148">
        <f t="shared" si="11"/>
        <v>0</v>
      </c>
      <c r="J96" s="148" t="e">
        <f t="shared" si="12"/>
        <v>#DIV/0!</v>
      </c>
      <c r="K96" s="92"/>
      <c r="L96" s="61"/>
    </row>
    <row r="97" spans="1:12" ht="15.5" x14ac:dyDescent="0.35">
      <c r="A97" s="103"/>
      <c r="B97" s="81"/>
      <c r="C97" s="81"/>
      <c r="D97" s="73">
        <f t="shared" si="9"/>
        <v>1</v>
      </c>
      <c r="E97" s="74">
        <f t="shared" si="13"/>
        <v>0</v>
      </c>
      <c r="F97" s="74"/>
      <c r="G97" s="75">
        <f t="shared" si="14"/>
        <v>0</v>
      </c>
      <c r="H97" s="76"/>
      <c r="I97" s="148">
        <f t="shared" si="11"/>
        <v>0</v>
      </c>
      <c r="J97" s="148" t="e">
        <f t="shared" si="12"/>
        <v>#DIV/0!</v>
      </c>
      <c r="K97" s="92"/>
      <c r="L97" s="61"/>
    </row>
    <row r="98" spans="1:12" ht="15.5" x14ac:dyDescent="0.35">
      <c r="A98" s="103"/>
      <c r="B98" s="81"/>
      <c r="C98" s="81"/>
      <c r="D98" s="73">
        <f t="shared" si="9"/>
        <v>1</v>
      </c>
      <c r="E98" s="74">
        <f t="shared" si="13"/>
        <v>0</v>
      </c>
      <c r="F98" s="74"/>
      <c r="G98" s="75">
        <f t="shared" si="14"/>
        <v>0</v>
      </c>
      <c r="H98" s="76"/>
      <c r="I98" s="148">
        <f t="shared" si="11"/>
        <v>0</v>
      </c>
      <c r="J98" s="148" t="e">
        <f t="shared" si="12"/>
        <v>#DIV/0!</v>
      </c>
      <c r="K98" s="92"/>
      <c r="L98" s="61"/>
    </row>
    <row r="99" spans="1:12" ht="15.5" x14ac:dyDescent="0.35">
      <c r="A99" s="103"/>
      <c r="B99" s="81"/>
      <c r="C99" s="81"/>
      <c r="D99" s="73">
        <f t="shared" si="9"/>
        <v>1</v>
      </c>
      <c r="E99" s="74">
        <f t="shared" si="13"/>
        <v>0</v>
      </c>
      <c r="F99" s="74"/>
      <c r="G99" s="75">
        <f t="shared" si="14"/>
        <v>0</v>
      </c>
      <c r="H99" s="76"/>
      <c r="I99" s="148">
        <f t="shared" si="11"/>
        <v>0</v>
      </c>
      <c r="J99" s="148" t="e">
        <f t="shared" si="12"/>
        <v>#DIV/0!</v>
      </c>
      <c r="K99" s="92"/>
      <c r="L99" s="61"/>
    </row>
    <row r="100" spans="1:12" ht="15.5" x14ac:dyDescent="0.35">
      <c r="A100" s="103"/>
      <c r="B100" s="81"/>
      <c r="C100" s="81"/>
      <c r="D100" s="73">
        <f t="shared" si="9"/>
        <v>1</v>
      </c>
      <c r="E100" s="74">
        <f t="shared" si="13"/>
        <v>0</v>
      </c>
      <c r="F100" s="74"/>
      <c r="G100" s="75">
        <f t="shared" si="14"/>
        <v>0</v>
      </c>
      <c r="H100" s="76"/>
      <c r="I100" s="148">
        <f t="shared" si="11"/>
        <v>0</v>
      </c>
      <c r="J100" s="148" t="e">
        <f t="shared" si="12"/>
        <v>#DIV/0!</v>
      </c>
      <c r="K100" s="92"/>
      <c r="L100" s="61"/>
    </row>
    <row r="101" spans="1:12" ht="15.5" x14ac:dyDescent="0.35">
      <c r="A101" s="103"/>
      <c r="B101" s="81"/>
      <c r="C101" s="81"/>
      <c r="D101" s="73">
        <f t="shared" si="9"/>
        <v>1</v>
      </c>
      <c r="E101" s="74">
        <f t="shared" si="13"/>
        <v>0</v>
      </c>
      <c r="F101" s="74"/>
      <c r="G101" s="75">
        <f t="shared" si="14"/>
        <v>0</v>
      </c>
      <c r="H101" s="76"/>
      <c r="I101" s="148">
        <f t="shared" si="11"/>
        <v>0</v>
      </c>
      <c r="J101" s="148" t="e">
        <f t="shared" si="12"/>
        <v>#DIV/0!</v>
      </c>
      <c r="K101" s="92"/>
      <c r="L101" s="61"/>
    </row>
    <row r="102" spans="1:12" ht="15.5" x14ac:dyDescent="0.35">
      <c r="A102" s="103"/>
      <c r="B102" s="81"/>
      <c r="C102" s="81"/>
      <c r="D102" s="73">
        <f t="shared" si="9"/>
        <v>1</v>
      </c>
      <c r="E102" s="74">
        <f t="shared" si="13"/>
        <v>0</v>
      </c>
      <c r="F102" s="74"/>
      <c r="G102" s="75">
        <f t="shared" si="14"/>
        <v>0</v>
      </c>
      <c r="H102" s="76"/>
      <c r="I102" s="148">
        <f t="shared" si="11"/>
        <v>0</v>
      </c>
      <c r="J102" s="148" t="e">
        <f t="shared" si="12"/>
        <v>#DIV/0!</v>
      </c>
      <c r="K102" s="92"/>
      <c r="L102" s="61"/>
    </row>
    <row r="103" spans="1:12" ht="15.5" x14ac:dyDescent="0.35">
      <c r="A103" s="103"/>
      <c r="B103" s="81"/>
      <c r="C103" s="81"/>
      <c r="D103" s="73">
        <f t="shared" si="9"/>
        <v>1</v>
      </c>
      <c r="E103" s="74">
        <f t="shared" si="13"/>
        <v>0</v>
      </c>
      <c r="F103" s="74"/>
      <c r="G103" s="75">
        <f t="shared" si="14"/>
        <v>0</v>
      </c>
      <c r="H103" s="76"/>
      <c r="I103" s="148">
        <f t="shared" si="11"/>
        <v>0</v>
      </c>
      <c r="J103" s="148" t="e">
        <f t="shared" si="12"/>
        <v>#DIV/0!</v>
      </c>
      <c r="K103" s="92"/>
      <c r="L103" s="61"/>
    </row>
    <row r="104" spans="1:12" ht="15.5" x14ac:dyDescent="0.35">
      <c r="A104" s="103"/>
      <c r="B104" s="81"/>
      <c r="C104" s="81"/>
      <c r="D104" s="73">
        <f t="shared" ref="D104:D149" si="15">1+C104-B104</f>
        <v>1</v>
      </c>
      <c r="E104" s="74">
        <f t="shared" si="13"/>
        <v>0</v>
      </c>
      <c r="F104" s="74"/>
      <c r="G104" s="75">
        <f t="shared" si="14"/>
        <v>0</v>
      </c>
      <c r="H104" s="76"/>
      <c r="I104" s="148">
        <f t="shared" ref="I104:I135" si="16">+H104*$H$6</f>
        <v>0</v>
      </c>
      <c r="J104" s="148" t="e">
        <f t="shared" si="12"/>
        <v>#DIV/0!</v>
      </c>
      <c r="K104" s="92"/>
      <c r="L104" s="61"/>
    </row>
    <row r="105" spans="1:12" ht="15.5" x14ac:dyDescent="0.35">
      <c r="A105" s="103"/>
      <c r="B105" s="81"/>
      <c r="C105" s="81"/>
      <c r="D105" s="73">
        <f t="shared" si="15"/>
        <v>1</v>
      </c>
      <c r="E105" s="74">
        <f t="shared" si="13"/>
        <v>0</v>
      </c>
      <c r="F105" s="74"/>
      <c r="G105" s="75">
        <f t="shared" si="14"/>
        <v>0</v>
      </c>
      <c r="H105" s="76"/>
      <c r="I105" s="148">
        <f t="shared" si="16"/>
        <v>0</v>
      </c>
      <c r="J105" s="148" t="e">
        <f t="shared" si="12"/>
        <v>#DIV/0!</v>
      </c>
      <c r="K105" s="92"/>
      <c r="L105" s="61"/>
    </row>
    <row r="106" spans="1:12" ht="15.5" x14ac:dyDescent="0.35">
      <c r="A106" s="103"/>
      <c r="B106" s="81"/>
      <c r="C106" s="81"/>
      <c r="D106" s="73">
        <f t="shared" si="15"/>
        <v>1</v>
      </c>
      <c r="E106" s="74">
        <f t="shared" si="13"/>
        <v>0</v>
      </c>
      <c r="F106" s="74"/>
      <c r="G106" s="75">
        <f t="shared" si="14"/>
        <v>0</v>
      </c>
      <c r="H106" s="76"/>
      <c r="I106" s="148">
        <f t="shared" si="16"/>
        <v>0</v>
      </c>
      <c r="J106" s="148" t="e">
        <f t="shared" si="12"/>
        <v>#DIV/0!</v>
      </c>
      <c r="K106" s="92"/>
      <c r="L106" s="61"/>
    </row>
    <row r="107" spans="1:12" ht="15.5" x14ac:dyDescent="0.35">
      <c r="A107" s="103"/>
      <c r="B107" s="81"/>
      <c r="C107" s="81"/>
      <c r="D107" s="73">
        <f t="shared" si="15"/>
        <v>1</v>
      </c>
      <c r="E107" s="74">
        <f t="shared" si="13"/>
        <v>0</v>
      </c>
      <c r="F107" s="74"/>
      <c r="G107" s="75">
        <f t="shared" si="14"/>
        <v>0</v>
      </c>
      <c r="H107" s="76"/>
      <c r="I107" s="148">
        <f t="shared" si="16"/>
        <v>0</v>
      </c>
      <c r="J107" s="148" t="e">
        <f t="shared" si="12"/>
        <v>#DIV/0!</v>
      </c>
      <c r="K107" s="92"/>
      <c r="L107" s="61"/>
    </row>
    <row r="108" spans="1:12" ht="15.5" x14ac:dyDescent="0.35">
      <c r="A108" s="103"/>
      <c r="B108" s="81"/>
      <c r="C108" s="81"/>
      <c r="D108" s="73">
        <f t="shared" si="15"/>
        <v>1</v>
      </c>
      <c r="E108" s="74">
        <f t="shared" si="13"/>
        <v>0</v>
      </c>
      <c r="F108" s="74"/>
      <c r="G108" s="75">
        <f t="shared" si="14"/>
        <v>0</v>
      </c>
      <c r="H108" s="76"/>
      <c r="I108" s="148">
        <f t="shared" si="16"/>
        <v>0</v>
      </c>
      <c r="J108" s="148" t="e">
        <f t="shared" si="12"/>
        <v>#DIV/0!</v>
      </c>
      <c r="K108" s="92"/>
      <c r="L108" s="61"/>
    </row>
    <row r="109" spans="1:12" ht="15.5" x14ac:dyDescent="0.35">
      <c r="A109" s="103"/>
      <c r="B109" s="81"/>
      <c r="C109" s="81"/>
      <c r="D109" s="73">
        <f t="shared" si="15"/>
        <v>1</v>
      </c>
      <c r="E109" s="74">
        <f t="shared" si="13"/>
        <v>0</v>
      </c>
      <c r="F109" s="74"/>
      <c r="G109" s="75">
        <f t="shared" si="14"/>
        <v>0</v>
      </c>
      <c r="H109" s="76"/>
      <c r="I109" s="148">
        <f t="shared" si="16"/>
        <v>0</v>
      </c>
      <c r="J109" s="148" t="e">
        <f t="shared" si="12"/>
        <v>#DIV/0!</v>
      </c>
      <c r="K109" s="92"/>
      <c r="L109" s="61"/>
    </row>
    <row r="110" spans="1:12" ht="15.5" x14ac:dyDescent="0.35">
      <c r="A110" s="103"/>
      <c r="B110" s="81"/>
      <c r="C110" s="81"/>
      <c r="D110" s="73">
        <f t="shared" si="15"/>
        <v>1</v>
      </c>
      <c r="E110" s="74">
        <f t="shared" si="13"/>
        <v>0</v>
      </c>
      <c r="F110" s="74"/>
      <c r="G110" s="75">
        <f t="shared" si="14"/>
        <v>0</v>
      </c>
      <c r="H110" s="76"/>
      <c r="I110" s="148">
        <f t="shared" si="16"/>
        <v>0</v>
      </c>
      <c r="J110" s="148" t="e">
        <f t="shared" si="12"/>
        <v>#DIV/0!</v>
      </c>
      <c r="K110" s="166"/>
      <c r="L110" s="61"/>
    </row>
    <row r="111" spans="1:12" ht="15.5" x14ac:dyDescent="0.35">
      <c r="A111" s="103"/>
      <c r="B111" s="81"/>
      <c r="C111" s="81"/>
      <c r="D111" s="73">
        <f t="shared" si="15"/>
        <v>1</v>
      </c>
      <c r="E111" s="74">
        <f t="shared" si="13"/>
        <v>0</v>
      </c>
      <c r="F111" s="74"/>
      <c r="G111" s="75">
        <f t="shared" si="14"/>
        <v>0</v>
      </c>
      <c r="H111" s="76"/>
      <c r="I111" s="148">
        <f t="shared" si="16"/>
        <v>0</v>
      </c>
      <c r="J111" s="148" t="e">
        <f t="shared" si="12"/>
        <v>#DIV/0!</v>
      </c>
      <c r="K111" s="92"/>
      <c r="L111" s="61"/>
    </row>
    <row r="112" spans="1:12" ht="15.5" x14ac:dyDescent="0.35">
      <c r="A112" s="103"/>
      <c r="B112" s="81"/>
      <c r="C112" s="81"/>
      <c r="D112" s="73">
        <f t="shared" si="15"/>
        <v>1</v>
      </c>
      <c r="E112" s="74">
        <f t="shared" si="13"/>
        <v>0</v>
      </c>
      <c r="F112" s="74"/>
      <c r="G112" s="75">
        <f t="shared" si="14"/>
        <v>0</v>
      </c>
      <c r="H112" s="76"/>
      <c r="I112" s="148">
        <f t="shared" si="16"/>
        <v>0</v>
      </c>
      <c r="J112" s="148" t="e">
        <f t="shared" si="12"/>
        <v>#DIV/0!</v>
      </c>
      <c r="K112" s="166"/>
      <c r="L112" s="61"/>
    </row>
    <row r="113" spans="1:12" ht="15.5" x14ac:dyDescent="0.35">
      <c r="A113" s="103"/>
      <c r="B113" s="81"/>
      <c r="C113" s="81"/>
      <c r="D113" s="73">
        <f t="shared" si="15"/>
        <v>1</v>
      </c>
      <c r="E113" s="74">
        <f t="shared" si="13"/>
        <v>0</v>
      </c>
      <c r="F113" s="74"/>
      <c r="G113" s="75">
        <f t="shared" si="14"/>
        <v>0</v>
      </c>
      <c r="H113" s="76"/>
      <c r="I113" s="148">
        <f t="shared" si="16"/>
        <v>0</v>
      </c>
      <c r="J113" s="148" t="e">
        <f t="shared" si="12"/>
        <v>#DIV/0!</v>
      </c>
      <c r="K113" s="92"/>
      <c r="L113" s="61"/>
    </row>
    <row r="114" spans="1:12" ht="15.5" x14ac:dyDescent="0.35">
      <c r="A114" s="103"/>
      <c r="B114" s="81"/>
      <c r="C114" s="81"/>
      <c r="D114" s="73">
        <f t="shared" si="15"/>
        <v>1</v>
      </c>
      <c r="E114" s="74">
        <f t="shared" si="13"/>
        <v>0</v>
      </c>
      <c r="F114" s="74"/>
      <c r="G114" s="75">
        <f t="shared" si="14"/>
        <v>0</v>
      </c>
      <c r="H114" s="76"/>
      <c r="I114" s="148">
        <f t="shared" si="16"/>
        <v>0</v>
      </c>
      <c r="J114" s="148" t="e">
        <f t="shared" si="12"/>
        <v>#DIV/0!</v>
      </c>
      <c r="K114" s="166"/>
      <c r="L114" s="61"/>
    </row>
    <row r="115" spans="1:12" ht="15.5" x14ac:dyDescent="0.35">
      <c r="A115" s="103"/>
      <c r="B115" s="81"/>
      <c r="C115" s="81"/>
      <c r="D115" s="73">
        <f t="shared" si="15"/>
        <v>1</v>
      </c>
      <c r="E115" s="74">
        <f t="shared" si="13"/>
        <v>0</v>
      </c>
      <c r="F115" s="74"/>
      <c r="G115" s="75">
        <f t="shared" si="14"/>
        <v>0</v>
      </c>
      <c r="H115" s="76"/>
      <c r="I115" s="148">
        <f t="shared" si="16"/>
        <v>0</v>
      </c>
      <c r="J115" s="148" t="e">
        <f t="shared" si="12"/>
        <v>#DIV/0!</v>
      </c>
      <c r="K115" s="166"/>
      <c r="L115" s="61"/>
    </row>
    <row r="116" spans="1:12" ht="15.5" x14ac:dyDescent="0.35">
      <c r="A116" s="103"/>
      <c r="B116" s="81"/>
      <c r="C116" s="81"/>
      <c r="D116" s="73">
        <f t="shared" si="15"/>
        <v>1</v>
      </c>
      <c r="E116" s="74">
        <f t="shared" si="13"/>
        <v>0</v>
      </c>
      <c r="F116" s="74"/>
      <c r="G116" s="75">
        <f t="shared" si="14"/>
        <v>0</v>
      </c>
      <c r="H116" s="76"/>
      <c r="I116" s="148">
        <f t="shared" si="16"/>
        <v>0</v>
      </c>
      <c r="J116" s="148" t="e">
        <f t="shared" si="12"/>
        <v>#DIV/0!</v>
      </c>
      <c r="K116" s="166"/>
      <c r="L116" s="61"/>
    </row>
    <row r="117" spans="1:12" ht="15.5" x14ac:dyDescent="0.35">
      <c r="A117" s="103"/>
      <c r="B117" s="81"/>
      <c r="C117" s="81"/>
      <c r="D117" s="73">
        <f t="shared" si="15"/>
        <v>1</v>
      </c>
      <c r="E117" s="74">
        <f t="shared" si="13"/>
        <v>0</v>
      </c>
      <c r="F117" s="74"/>
      <c r="G117" s="75">
        <f t="shared" si="14"/>
        <v>0</v>
      </c>
      <c r="H117" s="76"/>
      <c r="I117" s="148">
        <f t="shared" si="16"/>
        <v>0</v>
      </c>
      <c r="J117" s="148" t="e">
        <f t="shared" si="12"/>
        <v>#DIV/0!</v>
      </c>
      <c r="K117" s="166"/>
      <c r="L117" s="61"/>
    </row>
    <row r="118" spans="1:12" ht="15.5" x14ac:dyDescent="0.35">
      <c r="A118" s="103"/>
      <c r="B118" s="81"/>
      <c r="C118" s="81"/>
      <c r="D118" s="73">
        <f t="shared" si="15"/>
        <v>1</v>
      </c>
      <c r="E118" s="74">
        <f t="shared" si="13"/>
        <v>0</v>
      </c>
      <c r="F118" s="74"/>
      <c r="G118" s="75">
        <f t="shared" si="14"/>
        <v>0</v>
      </c>
      <c r="H118" s="76"/>
      <c r="I118" s="148">
        <f t="shared" si="16"/>
        <v>0</v>
      </c>
      <c r="J118" s="148" t="e">
        <f t="shared" si="12"/>
        <v>#DIV/0!</v>
      </c>
      <c r="K118" s="92"/>
      <c r="L118" s="61"/>
    </row>
    <row r="119" spans="1:12" ht="15.5" x14ac:dyDescent="0.35">
      <c r="A119" s="103"/>
      <c r="B119" s="81"/>
      <c r="C119" s="81"/>
      <c r="D119" s="73">
        <f t="shared" si="15"/>
        <v>1</v>
      </c>
      <c r="E119" s="74">
        <f t="shared" si="13"/>
        <v>0</v>
      </c>
      <c r="F119" s="74"/>
      <c r="G119" s="75">
        <f t="shared" si="14"/>
        <v>0</v>
      </c>
      <c r="H119" s="76"/>
      <c r="I119" s="148">
        <f t="shared" si="16"/>
        <v>0</v>
      </c>
      <c r="J119" s="148" t="e">
        <f t="shared" si="12"/>
        <v>#DIV/0!</v>
      </c>
      <c r="K119" s="92"/>
      <c r="L119" s="61"/>
    </row>
    <row r="120" spans="1:12" ht="15.5" x14ac:dyDescent="0.35">
      <c r="A120" s="103"/>
      <c r="B120" s="81"/>
      <c r="C120" s="81"/>
      <c r="D120" s="73">
        <f t="shared" si="15"/>
        <v>1</v>
      </c>
      <c r="E120" s="74">
        <f t="shared" si="13"/>
        <v>0</v>
      </c>
      <c r="F120" s="74"/>
      <c r="G120" s="75">
        <f t="shared" si="14"/>
        <v>0</v>
      </c>
      <c r="H120" s="76"/>
      <c r="I120" s="148">
        <f t="shared" si="16"/>
        <v>0</v>
      </c>
      <c r="J120" s="148" t="e">
        <f t="shared" si="12"/>
        <v>#DIV/0!</v>
      </c>
      <c r="K120" s="92"/>
      <c r="L120" s="61"/>
    </row>
    <row r="121" spans="1:12" ht="15.5" x14ac:dyDescent="0.35">
      <c r="A121" s="103"/>
      <c r="B121" s="81"/>
      <c r="C121" s="81"/>
      <c r="D121" s="73">
        <f t="shared" si="15"/>
        <v>1</v>
      </c>
      <c r="E121" s="74">
        <f t="shared" si="13"/>
        <v>0</v>
      </c>
      <c r="F121" s="74"/>
      <c r="G121" s="75">
        <f t="shared" si="14"/>
        <v>0</v>
      </c>
      <c r="H121" s="76"/>
      <c r="I121" s="148">
        <f t="shared" si="16"/>
        <v>0</v>
      </c>
      <c r="J121" s="148" t="e">
        <f t="shared" si="12"/>
        <v>#DIV/0!</v>
      </c>
      <c r="K121" s="92"/>
      <c r="L121" s="61"/>
    </row>
    <row r="122" spans="1:12" ht="15.5" x14ac:dyDescent="0.35">
      <c r="A122" s="103"/>
      <c r="B122" s="81"/>
      <c r="C122" s="81"/>
      <c r="D122" s="73">
        <f t="shared" si="15"/>
        <v>1</v>
      </c>
      <c r="E122" s="74">
        <f t="shared" si="13"/>
        <v>0</v>
      </c>
      <c r="F122" s="74"/>
      <c r="G122" s="75">
        <f t="shared" si="14"/>
        <v>0</v>
      </c>
      <c r="H122" s="76"/>
      <c r="I122" s="148">
        <f t="shared" si="16"/>
        <v>0</v>
      </c>
      <c r="J122" s="148" t="e">
        <f t="shared" si="12"/>
        <v>#DIV/0!</v>
      </c>
      <c r="K122" s="92"/>
      <c r="L122" s="61"/>
    </row>
    <row r="123" spans="1:12" ht="15.5" x14ac:dyDescent="0.35">
      <c r="A123" s="103"/>
      <c r="B123" s="81"/>
      <c r="C123" s="81"/>
      <c r="D123" s="73">
        <f t="shared" si="15"/>
        <v>1</v>
      </c>
      <c r="E123" s="74">
        <f t="shared" si="13"/>
        <v>0</v>
      </c>
      <c r="F123" s="74"/>
      <c r="G123" s="75">
        <f t="shared" si="14"/>
        <v>0</v>
      </c>
      <c r="H123" s="76"/>
      <c r="I123" s="148">
        <f t="shared" si="16"/>
        <v>0</v>
      </c>
      <c r="J123" s="148" t="e">
        <f t="shared" si="12"/>
        <v>#DIV/0!</v>
      </c>
      <c r="K123" s="92"/>
      <c r="L123" s="61"/>
    </row>
    <row r="124" spans="1:12" ht="15.5" x14ac:dyDescent="0.35">
      <c r="A124" s="103"/>
      <c r="B124" s="81"/>
      <c r="C124" s="81"/>
      <c r="D124" s="73">
        <f t="shared" si="15"/>
        <v>1</v>
      </c>
      <c r="E124" s="74">
        <f t="shared" si="13"/>
        <v>0</v>
      </c>
      <c r="F124" s="74"/>
      <c r="G124" s="75">
        <f t="shared" si="14"/>
        <v>0</v>
      </c>
      <c r="H124" s="76"/>
      <c r="I124" s="148">
        <f t="shared" si="16"/>
        <v>0</v>
      </c>
      <c r="J124" s="148" t="e">
        <f t="shared" si="12"/>
        <v>#DIV/0!</v>
      </c>
      <c r="K124" s="92"/>
      <c r="L124" s="61"/>
    </row>
    <row r="125" spans="1:12" ht="15.5" x14ac:dyDescent="0.35">
      <c r="A125" s="103"/>
      <c r="B125" s="83"/>
      <c r="C125" s="81"/>
      <c r="D125" s="73">
        <f t="shared" si="15"/>
        <v>1</v>
      </c>
      <c r="E125" s="74">
        <f t="shared" si="13"/>
        <v>0</v>
      </c>
      <c r="F125" s="74"/>
      <c r="G125" s="75">
        <f t="shared" si="14"/>
        <v>0</v>
      </c>
      <c r="H125" s="76"/>
      <c r="I125" s="148">
        <f t="shared" si="16"/>
        <v>0</v>
      </c>
      <c r="J125" s="148" t="e">
        <f t="shared" si="12"/>
        <v>#DIV/0!</v>
      </c>
      <c r="K125" s="92"/>
      <c r="L125" s="61"/>
    </row>
    <row r="126" spans="1:12" ht="15.5" x14ac:dyDescent="0.35">
      <c r="A126" s="103"/>
      <c r="B126" s="81"/>
      <c r="C126" s="81"/>
      <c r="D126" s="73">
        <f t="shared" si="15"/>
        <v>1</v>
      </c>
      <c r="E126" s="74">
        <f t="shared" si="13"/>
        <v>0</v>
      </c>
      <c r="F126" s="74"/>
      <c r="G126" s="75">
        <f t="shared" si="14"/>
        <v>0</v>
      </c>
      <c r="H126" s="76"/>
      <c r="I126" s="148">
        <f t="shared" si="16"/>
        <v>0</v>
      </c>
      <c r="J126" s="148" t="e">
        <f t="shared" si="12"/>
        <v>#DIV/0!</v>
      </c>
      <c r="K126" s="92"/>
      <c r="L126" s="61"/>
    </row>
    <row r="127" spans="1:12" ht="15.5" x14ac:dyDescent="0.35">
      <c r="A127" s="103"/>
      <c r="B127" s="81"/>
      <c r="C127" s="81"/>
      <c r="D127" s="73">
        <f t="shared" si="15"/>
        <v>1</v>
      </c>
      <c r="E127" s="74">
        <f t="shared" si="13"/>
        <v>0</v>
      </c>
      <c r="F127" s="74"/>
      <c r="G127" s="75">
        <f t="shared" si="14"/>
        <v>0</v>
      </c>
      <c r="H127" s="76"/>
      <c r="I127" s="148">
        <f t="shared" si="16"/>
        <v>0</v>
      </c>
      <c r="J127" s="148" t="e">
        <f t="shared" si="12"/>
        <v>#DIV/0!</v>
      </c>
      <c r="K127" s="92"/>
      <c r="L127" s="61"/>
    </row>
    <row r="128" spans="1:12" ht="15.5" x14ac:dyDescent="0.35">
      <c r="A128" s="103"/>
      <c r="B128" s="81"/>
      <c r="C128" s="81"/>
      <c r="D128" s="73">
        <f t="shared" si="15"/>
        <v>1</v>
      </c>
      <c r="E128" s="74">
        <f t="shared" si="13"/>
        <v>0</v>
      </c>
      <c r="F128" s="74"/>
      <c r="G128" s="75">
        <f t="shared" si="14"/>
        <v>0</v>
      </c>
      <c r="H128" s="76"/>
      <c r="I128" s="148">
        <f t="shared" si="16"/>
        <v>0</v>
      </c>
      <c r="J128" s="148" t="e">
        <f t="shared" si="12"/>
        <v>#DIV/0!</v>
      </c>
      <c r="K128" s="92"/>
      <c r="L128" s="61"/>
    </row>
    <row r="129" spans="1:12" ht="15.5" x14ac:dyDescent="0.35">
      <c r="A129" s="103"/>
      <c r="B129" s="81"/>
      <c r="C129" s="81"/>
      <c r="D129" s="73">
        <f t="shared" si="15"/>
        <v>1</v>
      </c>
      <c r="E129" s="74">
        <f t="shared" si="13"/>
        <v>0</v>
      </c>
      <c r="F129" s="74"/>
      <c r="G129" s="75">
        <f t="shared" si="14"/>
        <v>0</v>
      </c>
      <c r="H129" s="76"/>
      <c r="I129" s="148">
        <f t="shared" si="16"/>
        <v>0</v>
      </c>
      <c r="J129" s="148" t="e">
        <f t="shared" si="12"/>
        <v>#DIV/0!</v>
      </c>
      <c r="K129" s="92"/>
      <c r="L129" s="57"/>
    </row>
    <row r="130" spans="1:12" ht="15.5" x14ac:dyDescent="0.35">
      <c r="A130" s="103"/>
      <c r="B130" s="81"/>
      <c r="C130" s="81"/>
      <c r="D130" s="73">
        <f t="shared" si="15"/>
        <v>1</v>
      </c>
      <c r="E130" s="74">
        <f t="shared" si="13"/>
        <v>0</v>
      </c>
      <c r="F130" s="74"/>
      <c r="G130" s="75">
        <f t="shared" si="14"/>
        <v>0</v>
      </c>
      <c r="H130" s="76"/>
      <c r="I130" s="148">
        <f t="shared" si="16"/>
        <v>0</v>
      </c>
      <c r="J130" s="148" t="e">
        <f t="shared" si="12"/>
        <v>#DIV/0!</v>
      </c>
      <c r="K130" s="92"/>
      <c r="L130" s="57"/>
    </row>
    <row r="131" spans="1:12" ht="15.5" x14ac:dyDescent="0.35">
      <c r="A131" s="103"/>
      <c r="B131" s="81"/>
      <c r="C131" s="81"/>
      <c r="D131" s="73">
        <f t="shared" si="15"/>
        <v>1</v>
      </c>
      <c r="E131" s="74">
        <f t="shared" si="13"/>
        <v>0</v>
      </c>
      <c r="F131" s="74"/>
      <c r="G131" s="75">
        <f t="shared" si="14"/>
        <v>0</v>
      </c>
      <c r="H131" s="76"/>
      <c r="I131" s="148">
        <f t="shared" si="16"/>
        <v>0</v>
      </c>
      <c r="J131" s="148" t="e">
        <f t="shared" si="12"/>
        <v>#DIV/0!</v>
      </c>
      <c r="K131" s="92"/>
      <c r="L131" s="57"/>
    </row>
    <row r="132" spans="1:12" ht="15.5" x14ac:dyDescent="0.35">
      <c r="A132" s="103"/>
      <c r="B132" s="81"/>
      <c r="C132" s="81"/>
      <c r="D132" s="73">
        <f t="shared" si="15"/>
        <v>1</v>
      </c>
      <c r="E132" s="74">
        <f t="shared" si="13"/>
        <v>0</v>
      </c>
      <c r="F132" s="74"/>
      <c r="G132" s="75">
        <f t="shared" si="14"/>
        <v>0</v>
      </c>
      <c r="H132" s="76"/>
      <c r="I132" s="148">
        <f t="shared" si="16"/>
        <v>0</v>
      </c>
      <c r="J132" s="148" t="e">
        <f t="shared" si="12"/>
        <v>#DIV/0!</v>
      </c>
      <c r="K132" s="92"/>
      <c r="L132" s="57"/>
    </row>
    <row r="133" spans="1:12" ht="15.5" x14ac:dyDescent="0.35">
      <c r="A133" s="103"/>
      <c r="B133" s="81"/>
      <c r="C133" s="81"/>
      <c r="D133" s="73">
        <f t="shared" si="15"/>
        <v>1</v>
      </c>
      <c r="E133" s="74">
        <f t="shared" si="13"/>
        <v>0</v>
      </c>
      <c r="F133" s="74"/>
      <c r="G133" s="75">
        <f t="shared" si="14"/>
        <v>0</v>
      </c>
      <c r="H133" s="76"/>
      <c r="I133" s="148">
        <f t="shared" si="16"/>
        <v>0</v>
      </c>
      <c r="J133" s="148" t="e">
        <f t="shared" si="12"/>
        <v>#DIV/0!</v>
      </c>
      <c r="K133" s="92"/>
      <c r="L133" s="57"/>
    </row>
    <row r="134" spans="1:12" ht="15.5" x14ac:dyDescent="0.35">
      <c r="A134" s="103"/>
      <c r="B134" s="81"/>
      <c r="C134" s="81"/>
      <c r="D134" s="73">
        <f t="shared" si="15"/>
        <v>1</v>
      </c>
      <c r="E134" s="74">
        <f t="shared" si="13"/>
        <v>0</v>
      </c>
      <c r="F134" s="74"/>
      <c r="G134" s="75">
        <f t="shared" si="14"/>
        <v>0</v>
      </c>
      <c r="H134" s="76"/>
      <c r="I134" s="148">
        <f t="shared" si="16"/>
        <v>0</v>
      </c>
      <c r="J134" s="148" t="e">
        <f t="shared" si="12"/>
        <v>#DIV/0!</v>
      </c>
      <c r="K134" s="92"/>
      <c r="L134" s="57"/>
    </row>
    <row r="135" spans="1:12" ht="15.5" x14ac:dyDescent="0.35">
      <c r="A135" s="103"/>
      <c r="B135" s="81"/>
      <c r="C135" s="81"/>
      <c r="D135" s="73">
        <f t="shared" si="15"/>
        <v>1</v>
      </c>
      <c r="E135" s="74">
        <f t="shared" si="13"/>
        <v>0</v>
      </c>
      <c r="F135" s="74"/>
      <c r="G135" s="75">
        <f t="shared" si="14"/>
        <v>0</v>
      </c>
      <c r="H135" s="76"/>
      <c r="I135" s="148">
        <f t="shared" si="16"/>
        <v>0</v>
      </c>
      <c r="J135" s="148" t="e">
        <f t="shared" si="12"/>
        <v>#DIV/0!</v>
      </c>
      <c r="K135" s="92"/>
      <c r="L135" s="57"/>
    </row>
    <row r="136" spans="1:12" ht="15.5" x14ac:dyDescent="0.35">
      <c r="A136" s="103"/>
      <c r="B136" s="81"/>
      <c r="C136" s="81"/>
      <c r="D136" s="73">
        <f t="shared" si="15"/>
        <v>1</v>
      </c>
      <c r="E136" s="74">
        <f t="shared" si="13"/>
        <v>0</v>
      </c>
      <c r="F136" s="74"/>
      <c r="G136" s="75">
        <f t="shared" si="14"/>
        <v>0</v>
      </c>
      <c r="H136" s="76"/>
      <c r="I136" s="148">
        <f t="shared" ref="I136:I148" si="17">+H136*$H$6</f>
        <v>0</v>
      </c>
      <c r="J136" s="148" t="e">
        <f t="shared" si="12"/>
        <v>#DIV/0!</v>
      </c>
      <c r="K136" s="92"/>
      <c r="L136" s="57"/>
    </row>
    <row r="137" spans="1:12" ht="15.5" x14ac:dyDescent="0.35">
      <c r="A137" s="93"/>
      <c r="B137" s="81"/>
      <c r="C137" s="81"/>
      <c r="D137" s="73">
        <f t="shared" si="15"/>
        <v>1</v>
      </c>
      <c r="E137" s="74">
        <f t="shared" ref="E137:E148" si="18">F136</f>
        <v>0</v>
      </c>
      <c r="F137" s="74"/>
      <c r="G137" s="75">
        <f t="shared" si="14"/>
        <v>0</v>
      </c>
      <c r="H137" s="76"/>
      <c r="I137" s="148">
        <f t="shared" si="17"/>
        <v>0</v>
      </c>
      <c r="J137" s="148" t="e">
        <f t="shared" si="12"/>
        <v>#DIV/0!</v>
      </c>
      <c r="K137" s="92"/>
      <c r="L137" s="57"/>
    </row>
    <row r="138" spans="1:12" ht="15.5" x14ac:dyDescent="0.35">
      <c r="A138" s="93"/>
      <c r="B138" s="81"/>
      <c r="C138" s="81"/>
      <c r="D138" s="73">
        <f t="shared" si="15"/>
        <v>1</v>
      </c>
      <c r="E138" s="74">
        <f t="shared" si="18"/>
        <v>0</v>
      </c>
      <c r="F138" s="74"/>
      <c r="G138" s="75">
        <f t="shared" si="14"/>
        <v>0</v>
      </c>
      <c r="H138" s="76"/>
      <c r="I138" s="148">
        <f t="shared" si="17"/>
        <v>0</v>
      </c>
      <c r="J138" s="148" t="e">
        <f t="shared" ref="J138:J148" si="19">I138/G138</f>
        <v>#DIV/0!</v>
      </c>
      <c r="K138" s="92"/>
      <c r="L138" s="57"/>
    </row>
    <row r="139" spans="1:12" ht="15.5" x14ac:dyDescent="0.35">
      <c r="A139" s="93"/>
      <c r="B139" s="81"/>
      <c r="C139" s="81"/>
      <c r="D139" s="73">
        <f t="shared" si="15"/>
        <v>1</v>
      </c>
      <c r="E139" s="74">
        <f t="shared" si="18"/>
        <v>0</v>
      </c>
      <c r="F139" s="74"/>
      <c r="G139" s="75">
        <f t="shared" si="14"/>
        <v>0</v>
      </c>
      <c r="H139" s="76"/>
      <c r="I139" s="148">
        <f t="shared" si="17"/>
        <v>0</v>
      </c>
      <c r="J139" s="148" t="e">
        <f t="shared" si="19"/>
        <v>#DIV/0!</v>
      </c>
      <c r="K139" s="92"/>
      <c r="L139" s="57"/>
    </row>
    <row r="140" spans="1:12" ht="15.5" x14ac:dyDescent="0.35">
      <c r="A140" s="93"/>
      <c r="B140" s="81"/>
      <c r="C140" s="81"/>
      <c r="D140" s="73">
        <f t="shared" si="15"/>
        <v>1</v>
      </c>
      <c r="E140" s="152">
        <f t="shared" si="18"/>
        <v>0</v>
      </c>
      <c r="F140" s="74"/>
      <c r="G140" s="75">
        <f t="shared" si="14"/>
        <v>0</v>
      </c>
      <c r="H140" s="76"/>
      <c r="I140" s="148">
        <f t="shared" si="17"/>
        <v>0</v>
      </c>
      <c r="J140" s="148" t="e">
        <f t="shared" si="19"/>
        <v>#DIV/0!</v>
      </c>
      <c r="K140" s="92"/>
      <c r="L140" s="57"/>
    </row>
    <row r="141" spans="1:12" ht="15.5" x14ac:dyDescent="0.35">
      <c r="A141" s="93"/>
      <c r="B141" s="81"/>
      <c r="C141" s="81"/>
      <c r="D141" s="73">
        <f t="shared" si="15"/>
        <v>1</v>
      </c>
      <c r="E141" s="152">
        <f t="shared" si="18"/>
        <v>0</v>
      </c>
      <c r="F141" s="74"/>
      <c r="G141" s="75">
        <f t="shared" si="14"/>
        <v>0</v>
      </c>
      <c r="H141" s="76"/>
      <c r="I141" s="148">
        <f t="shared" si="17"/>
        <v>0</v>
      </c>
      <c r="J141" s="148" t="e">
        <f t="shared" si="19"/>
        <v>#DIV/0!</v>
      </c>
      <c r="K141" s="92"/>
      <c r="L141" s="57"/>
    </row>
    <row r="142" spans="1:12" ht="15.5" x14ac:dyDescent="0.35">
      <c r="A142" s="93"/>
      <c r="B142" s="81"/>
      <c r="C142" s="81"/>
      <c r="D142" s="73">
        <f t="shared" si="15"/>
        <v>1</v>
      </c>
      <c r="E142" s="152">
        <f t="shared" si="18"/>
        <v>0</v>
      </c>
      <c r="F142" s="74"/>
      <c r="G142" s="75">
        <f t="shared" si="14"/>
        <v>0</v>
      </c>
      <c r="H142" s="76"/>
      <c r="I142" s="148">
        <f t="shared" si="17"/>
        <v>0</v>
      </c>
      <c r="J142" s="148" t="e">
        <f t="shared" si="19"/>
        <v>#DIV/0!</v>
      </c>
      <c r="K142" s="92"/>
      <c r="L142" s="57"/>
    </row>
    <row r="143" spans="1:12" ht="15.5" x14ac:dyDescent="0.35">
      <c r="A143" s="93"/>
      <c r="B143" s="81"/>
      <c r="C143" s="81"/>
      <c r="D143" s="73">
        <f t="shared" si="15"/>
        <v>1</v>
      </c>
      <c r="E143" s="152">
        <f t="shared" si="18"/>
        <v>0</v>
      </c>
      <c r="F143" s="74"/>
      <c r="G143" s="75">
        <f t="shared" si="14"/>
        <v>0</v>
      </c>
      <c r="H143" s="76"/>
      <c r="I143" s="148">
        <f t="shared" si="17"/>
        <v>0</v>
      </c>
      <c r="J143" s="148" t="e">
        <f t="shared" si="19"/>
        <v>#DIV/0!</v>
      </c>
      <c r="K143" s="92"/>
      <c r="L143" s="57"/>
    </row>
    <row r="144" spans="1:12" ht="15.5" x14ac:dyDescent="0.35">
      <c r="A144" s="93"/>
      <c r="B144" s="81"/>
      <c r="C144" s="81"/>
      <c r="D144" s="73">
        <f t="shared" si="15"/>
        <v>1</v>
      </c>
      <c r="E144" s="152">
        <f t="shared" si="18"/>
        <v>0</v>
      </c>
      <c r="F144" s="74"/>
      <c r="G144" s="75">
        <f t="shared" si="14"/>
        <v>0</v>
      </c>
      <c r="H144" s="76"/>
      <c r="I144" s="148">
        <f t="shared" si="17"/>
        <v>0</v>
      </c>
      <c r="J144" s="148" t="e">
        <f t="shared" si="19"/>
        <v>#DIV/0!</v>
      </c>
      <c r="K144" s="92"/>
      <c r="L144" s="57"/>
    </row>
    <row r="145" spans="1:12" ht="15.5" x14ac:dyDescent="0.35">
      <c r="A145" s="93"/>
      <c r="B145" s="81"/>
      <c r="C145" s="81"/>
      <c r="D145" s="73">
        <f t="shared" si="15"/>
        <v>1</v>
      </c>
      <c r="E145" s="152">
        <f t="shared" si="18"/>
        <v>0</v>
      </c>
      <c r="F145" s="74"/>
      <c r="G145" s="75">
        <f t="shared" si="14"/>
        <v>0</v>
      </c>
      <c r="H145" s="76"/>
      <c r="I145" s="148">
        <f t="shared" si="17"/>
        <v>0</v>
      </c>
      <c r="J145" s="148" t="e">
        <f t="shared" si="19"/>
        <v>#DIV/0!</v>
      </c>
      <c r="K145" s="92"/>
      <c r="L145" s="57"/>
    </row>
    <row r="146" spans="1:12" ht="15.5" x14ac:dyDescent="0.35">
      <c r="A146" s="93"/>
      <c r="B146" s="81"/>
      <c r="C146" s="81"/>
      <c r="D146" s="73">
        <f t="shared" si="15"/>
        <v>1</v>
      </c>
      <c r="E146" s="152">
        <f t="shared" si="18"/>
        <v>0</v>
      </c>
      <c r="F146" s="74"/>
      <c r="G146" s="75">
        <f t="shared" si="14"/>
        <v>0</v>
      </c>
      <c r="H146" s="76"/>
      <c r="I146" s="148">
        <f t="shared" si="17"/>
        <v>0</v>
      </c>
      <c r="J146" s="148" t="e">
        <f t="shared" si="19"/>
        <v>#DIV/0!</v>
      </c>
      <c r="K146" s="92"/>
      <c r="L146" s="57"/>
    </row>
    <row r="147" spans="1:12" ht="15.5" x14ac:dyDescent="0.35">
      <c r="A147" s="93"/>
      <c r="B147" s="81"/>
      <c r="C147" s="81"/>
      <c r="D147" s="73">
        <f t="shared" si="15"/>
        <v>1</v>
      </c>
      <c r="E147" s="152">
        <f t="shared" si="18"/>
        <v>0</v>
      </c>
      <c r="F147" s="74"/>
      <c r="G147" s="75">
        <f t="shared" si="14"/>
        <v>0</v>
      </c>
      <c r="H147" s="76"/>
      <c r="I147" s="148">
        <f t="shared" si="17"/>
        <v>0</v>
      </c>
      <c r="J147" s="148" t="e">
        <f t="shared" si="19"/>
        <v>#DIV/0!</v>
      </c>
      <c r="K147" s="92"/>
      <c r="L147" s="57"/>
    </row>
    <row r="148" spans="1:12" ht="15.5" x14ac:dyDescent="0.35">
      <c r="A148" s="93"/>
      <c r="B148" s="81"/>
      <c r="C148" s="81"/>
      <c r="D148" s="73">
        <f t="shared" si="15"/>
        <v>1</v>
      </c>
      <c r="E148" s="152">
        <f t="shared" si="18"/>
        <v>0</v>
      </c>
      <c r="F148" s="74"/>
      <c r="G148" s="75">
        <f t="shared" si="14"/>
        <v>0</v>
      </c>
      <c r="H148" s="76"/>
      <c r="I148" s="148">
        <f t="shared" si="17"/>
        <v>0</v>
      </c>
      <c r="J148" s="148" t="e">
        <f t="shared" si="19"/>
        <v>#DIV/0!</v>
      </c>
      <c r="K148" s="92"/>
      <c r="L148" s="57"/>
    </row>
    <row r="149" spans="1:12" ht="15.5" x14ac:dyDescent="0.35">
      <c r="A149" s="63"/>
      <c r="B149" s="114"/>
      <c r="C149" s="114"/>
      <c r="D149" s="73">
        <f t="shared" si="15"/>
        <v>1</v>
      </c>
      <c r="E149" s="88" t="s">
        <v>70</v>
      </c>
      <c r="F149" s="301">
        <f>SUM(G7:G148)</f>
        <v>-100.92</v>
      </c>
      <c r="G149" s="116"/>
      <c r="H149" s="90"/>
      <c r="I149" s="90"/>
      <c r="J149" s="90"/>
      <c r="K149" s="158"/>
      <c r="L149" s="67"/>
    </row>
    <row r="150" spans="1:12" ht="15.5" x14ac:dyDescent="0.35">
      <c r="A150" s="63"/>
      <c r="B150" s="114"/>
      <c r="C150" s="114"/>
      <c r="D150" s="115"/>
      <c r="E150" s="88" t="s">
        <v>71</v>
      </c>
      <c r="F150" s="301">
        <f>F149/24</f>
        <v>-4.2050000000000001</v>
      </c>
      <c r="G150" s="116"/>
      <c r="H150" s="90"/>
      <c r="I150" s="90"/>
      <c r="J150" s="90"/>
      <c r="K150" s="158"/>
      <c r="L150" s="67"/>
    </row>
    <row r="151" spans="1:12" ht="15.5" x14ac:dyDescent="0.35">
      <c r="A151" s="67"/>
      <c r="B151" s="90"/>
      <c r="C151" s="90"/>
      <c r="D151" s="90"/>
      <c r="E151" s="90"/>
      <c r="F151" s="90"/>
      <c r="G151" s="90"/>
      <c r="H151" s="90"/>
      <c r="I151" s="90"/>
      <c r="J151" s="90"/>
      <c r="K151" s="67"/>
      <c r="L151" s="67"/>
    </row>
    <row r="152" spans="1:12" ht="15.5" x14ac:dyDescent="0.35">
      <c r="A152" s="67"/>
      <c r="B152" s="90"/>
      <c r="C152" s="90"/>
      <c r="D152" s="90"/>
      <c r="E152" s="90"/>
      <c r="F152" s="90"/>
      <c r="G152" s="90"/>
      <c r="H152" s="90"/>
      <c r="I152" s="90"/>
      <c r="J152" s="90"/>
      <c r="K152" s="67"/>
      <c r="L152" s="67"/>
    </row>
    <row r="153" spans="1:12" ht="15.5" x14ac:dyDescent="0.3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</row>
    <row r="154" spans="1:12" ht="15.5" x14ac:dyDescent="0.3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</row>
    <row r="155" spans="1:12" ht="15.5" x14ac:dyDescent="0.3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</row>
    <row r="156" spans="1:12" ht="15.5" x14ac:dyDescent="0.3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</row>
    <row r="157" spans="1:12" ht="15.5" x14ac:dyDescent="0.35">
      <c r="H157" s="67"/>
      <c r="I157" s="67"/>
      <c r="J157" s="67"/>
      <c r="K157" s="67"/>
      <c r="L157" s="67"/>
    </row>
    <row r="1048576" spans="1:1" ht="15.5" x14ac:dyDescent="0.35">
      <c r="A1048576" s="103">
        <v>45103</v>
      </c>
    </row>
  </sheetData>
  <mergeCells count="5">
    <mergeCell ref="B4:D4"/>
    <mergeCell ref="E4:G4"/>
    <mergeCell ref="H4:J4"/>
    <mergeCell ref="K4:L4"/>
    <mergeCell ref="I1:K1"/>
  </mergeCells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7030A0"/>
  </sheetPr>
  <dimension ref="A1:AG1048576"/>
  <sheetViews>
    <sheetView topLeftCell="G1" zoomScale="86" zoomScaleNormal="86" workbookViewId="0">
      <selection activeCell="H7" sqref="H7:L80"/>
    </sheetView>
  </sheetViews>
  <sheetFormatPr baseColWidth="10" defaultRowHeight="14.5" x14ac:dyDescent="0.35"/>
  <cols>
    <col min="1" max="1" width="17.81640625" customWidth="1"/>
    <col min="2" max="2" width="17" customWidth="1"/>
    <col min="3" max="3" width="18.81640625" customWidth="1"/>
    <col min="4" max="4" width="35.26953125" customWidth="1"/>
    <col min="5" max="5" width="25.81640625" bestFit="1" customWidth="1"/>
    <col min="6" max="6" width="28" customWidth="1"/>
    <col min="7" max="7" width="17" bestFit="1" customWidth="1"/>
    <col min="8" max="8" width="14.26953125" customWidth="1"/>
    <col min="9" max="9" width="15.54296875" customWidth="1"/>
    <col min="10" max="10" width="19.7265625" customWidth="1"/>
    <col min="11" max="11" width="16.26953125" customWidth="1"/>
    <col min="12" max="13" width="17.54296875" customWidth="1"/>
    <col min="14" max="14" width="21.26953125" customWidth="1"/>
    <col min="15" max="15" width="31.26953125" customWidth="1"/>
    <col min="16" max="16" width="53.7265625" customWidth="1"/>
    <col min="17" max="17" width="17.453125" customWidth="1"/>
    <col min="18" max="18" width="27.54296875" customWidth="1"/>
    <col min="19" max="19" width="16.54296875" customWidth="1"/>
    <col min="20" max="20" width="17.81640625" customWidth="1"/>
    <col min="21" max="21" width="26.1796875" customWidth="1"/>
    <col min="22" max="22" width="18.1796875" customWidth="1"/>
  </cols>
  <sheetData>
    <row r="1" spans="1:23" ht="15.75" customHeight="1" x14ac:dyDescent="0.35">
      <c r="A1" s="67" t="s">
        <v>8</v>
      </c>
      <c r="B1" s="67"/>
      <c r="C1" s="67"/>
      <c r="D1" s="65"/>
      <c r="E1" s="362" t="s">
        <v>84</v>
      </c>
      <c r="F1" s="362"/>
      <c r="G1" s="362"/>
      <c r="H1" s="362"/>
      <c r="I1" s="362"/>
      <c r="Q1" s="362" t="s">
        <v>85</v>
      </c>
      <c r="R1" s="362"/>
      <c r="S1" s="362"/>
      <c r="T1" s="362"/>
      <c r="U1" s="362"/>
    </row>
    <row r="2" spans="1:23" ht="15.75" customHeight="1" x14ac:dyDescent="0.35">
      <c r="A2" s="67" t="s">
        <v>0</v>
      </c>
      <c r="B2" s="67"/>
      <c r="C2" s="67"/>
      <c r="D2" s="65"/>
      <c r="E2" s="362"/>
      <c r="F2" s="362"/>
      <c r="G2" s="362"/>
      <c r="H2" s="362"/>
      <c r="I2" s="362"/>
      <c r="Q2" s="362"/>
      <c r="R2" s="362"/>
      <c r="S2" s="362"/>
      <c r="T2" s="362"/>
      <c r="U2" s="362"/>
    </row>
    <row r="3" spans="1:23" ht="15.75" customHeight="1" x14ac:dyDescent="0.35">
      <c r="A3" s="67" t="s">
        <v>9</v>
      </c>
      <c r="B3" s="67"/>
      <c r="C3" s="67"/>
      <c r="D3" s="65"/>
      <c r="E3" s="363"/>
      <c r="F3" s="363"/>
      <c r="G3" s="363"/>
      <c r="H3" s="363"/>
      <c r="I3" s="363"/>
      <c r="Q3" s="363"/>
      <c r="R3" s="363"/>
      <c r="S3" s="363"/>
      <c r="T3" s="363"/>
      <c r="U3" s="363"/>
    </row>
    <row r="4" spans="1:23" ht="15.5" x14ac:dyDescent="0.35">
      <c r="A4" s="41"/>
      <c r="B4" s="360" t="s">
        <v>10</v>
      </c>
      <c r="C4" s="360"/>
      <c r="D4" s="360"/>
      <c r="E4" s="361" t="s">
        <v>12</v>
      </c>
      <c r="F4" s="361"/>
      <c r="G4" s="361"/>
      <c r="H4" s="401" t="s">
        <v>13</v>
      </c>
      <c r="I4" s="401"/>
      <c r="J4" s="401"/>
      <c r="K4" s="401"/>
      <c r="L4" s="401"/>
      <c r="M4" s="401"/>
      <c r="N4" s="401"/>
      <c r="O4" s="368" t="s">
        <v>21</v>
      </c>
      <c r="P4" s="368"/>
      <c r="Q4" s="132" t="s">
        <v>65</v>
      </c>
      <c r="R4" s="133"/>
      <c r="S4" s="134"/>
      <c r="T4" s="132" t="s">
        <v>66</v>
      </c>
      <c r="U4" s="133"/>
      <c r="V4" s="134"/>
      <c r="W4" s="67"/>
    </row>
    <row r="5" spans="1:23" ht="15.5" x14ac:dyDescent="0.35">
      <c r="A5" s="125" t="s">
        <v>1</v>
      </c>
      <c r="B5" s="125" t="s">
        <v>2</v>
      </c>
      <c r="C5" s="125" t="s">
        <v>3</v>
      </c>
      <c r="D5" s="126" t="s">
        <v>11</v>
      </c>
      <c r="E5" s="127" t="s">
        <v>4</v>
      </c>
      <c r="F5" s="128" t="s">
        <v>5</v>
      </c>
      <c r="G5" s="129" t="s">
        <v>6</v>
      </c>
      <c r="H5" s="125" t="s">
        <v>63</v>
      </c>
      <c r="I5" s="125" t="s">
        <v>64</v>
      </c>
      <c r="J5" s="125" t="s">
        <v>98</v>
      </c>
      <c r="K5" s="125" t="s">
        <v>17</v>
      </c>
      <c r="L5" s="125" t="s">
        <v>18</v>
      </c>
      <c r="M5" s="125" t="s">
        <v>19</v>
      </c>
      <c r="N5" s="106" t="s">
        <v>38</v>
      </c>
      <c r="O5" s="106" t="s">
        <v>22</v>
      </c>
      <c r="P5" s="106" t="s">
        <v>7</v>
      </c>
      <c r="Q5" s="127" t="s">
        <v>4</v>
      </c>
      <c r="R5" s="128" t="s">
        <v>5</v>
      </c>
      <c r="S5" s="129" t="s">
        <v>6</v>
      </c>
      <c r="T5" s="127" t="s">
        <v>4</v>
      </c>
      <c r="U5" s="128" t="s">
        <v>5</v>
      </c>
      <c r="V5" s="129" t="s">
        <v>6</v>
      </c>
      <c r="W5" s="67"/>
    </row>
    <row r="6" spans="1:23" ht="15.5" x14ac:dyDescent="0.35">
      <c r="A6" s="125"/>
      <c r="B6" s="125"/>
      <c r="C6" s="125"/>
      <c r="D6" s="126"/>
      <c r="E6" s="127"/>
      <c r="F6" s="128"/>
      <c r="G6" s="129"/>
      <c r="H6" s="130">
        <v>12.5</v>
      </c>
      <c r="I6" s="125">
        <v>25</v>
      </c>
      <c r="J6" s="131">
        <v>30</v>
      </c>
      <c r="K6" s="131">
        <v>15</v>
      </c>
      <c r="L6" s="131">
        <v>25</v>
      </c>
      <c r="M6" s="125"/>
      <c r="N6" s="106"/>
      <c r="O6" s="106"/>
      <c r="P6" s="106"/>
      <c r="Q6" s="127"/>
      <c r="R6" s="128"/>
      <c r="S6" s="129"/>
      <c r="T6" s="127"/>
      <c r="U6" s="128"/>
      <c r="V6" s="129"/>
      <c r="W6" s="67"/>
    </row>
    <row r="7" spans="1:23" ht="15.5" x14ac:dyDescent="0.35">
      <c r="A7" s="103"/>
      <c r="B7" s="72"/>
      <c r="C7" s="72"/>
      <c r="D7" s="111">
        <f t="shared" ref="D7:D32" si="0">1+C7-B7</f>
        <v>1</v>
      </c>
      <c r="E7" s="316">
        <v>693448</v>
      </c>
      <c r="F7" s="317"/>
      <c r="G7" s="339">
        <f>(F7-E7)/100</f>
        <v>-6934.48</v>
      </c>
      <c r="H7" s="112"/>
      <c r="I7" s="112"/>
      <c r="J7" s="112"/>
      <c r="K7" s="112"/>
      <c r="L7" s="112"/>
      <c r="M7" s="141">
        <f>+(H7*($H$6))+(J7*($J$6))+(K7*($K$6))+(L7*($L$6))</f>
        <v>0</v>
      </c>
      <c r="N7" s="141">
        <f t="shared" ref="N7:N38" si="1">+M7/G7</f>
        <v>0</v>
      </c>
      <c r="O7" s="107" t="s">
        <v>165</v>
      </c>
      <c r="P7" s="107"/>
      <c r="Q7" s="149">
        <v>89879</v>
      </c>
      <c r="R7" s="149">
        <v>90411</v>
      </c>
      <c r="S7" s="329">
        <f>(R7-Q7)/10</f>
        <v>53.2</v>
      </c>
      <c r="T7" s="107">
        <v>1011759</v>
      </c>
      <c r="U7" s="107">
        <v>1012288</v>
      </c>
      <c r="V7" s="329">
        <f>(U7-T7)/100</f>
        <v>5.29</v>
      </c>
      <c r="W7" s="90"/>
    </row>
    <row r="8" spans="1:23" ht="15.5" x14ac:dyDescent="0.35">
      <c r="A8" s="103"/>
      <c r="B8" s="72"/>
      <c r="C8" s="72"/>
      <c r="D8" s="111">
        <f t="shared" si="0"/>
        <v>1</v>
      </c>
      <c r="E8" s="318">
        <f>F7</f>
        <v>0</v>
      </c>
      <c r="F8" s="317"/>
      <c r="G8" s="339">
        <f t="shared" ref="G8:G85" si="2">(F8-E8)/100</f>
        <v>0</v>
      </c>
      <c r="H8" s="112"/>
      <c r="I8" s="112"/>
      <c r="J8" s="112"/>
      <c r="K8" s="112"/>
      <c r="L8" s="112"/>
      <c r="M8" s="141">
        <f>+(H8*($H$6))+(J8*($J$6))+(K8*($K$6))+(L8*($L$6))</f>
        <v>0</v>
      </c>
      <c r="N8" s="141" t="e">
        <f t="shared" si="1"/>
        <v>#DIV/0!</v>
      </c>
      <c r="O8" s="77" t="s">
        <v>164</v>
      </c>
      <c r="P8" s="107"/>
      <c r="Q8" s="149">
        <f t="shared" ref="Q8:Q18" si="3">R7</f>
        <v>90411</v>
      </c>
      <c r="R8" s="149">
        <v>90476</v>
      </c>
      <c r="S8" s="329">
        <f t="shared" ref="S8:S20" si="4">(R8-Q8)/10</f>
        <v>6.5</v>
      </c>
      <c r="T8" s="107">
        <f t="shared" ref="T8:T71" si="5">U7</f>
        <v>1012288</v>
      </c>
      <c r="U8" s="107">
        <v>1013799</v>
      </c>
      <c r="V8" s="329">
        <f t="shared" ref="V8:V71" si="6">(U8-T8)/100</f>
        <v>15.11</v>
      </c>
      <c r="W8" s="90"/>
    </row>
    <row r="9" spans="1:23" ht="15.5" x14ac:dyDescent="0.35">
      <c r="A9" s="103"/>
      <c r="B9" s="79"/>
      <c r="C9" s="79"/>
      <c r="D9" s="111">
        <f t="shared" si="0"/>
        <v>1</v>
      </c>
      <c r="E9" s="318">
        <f t="shared" ref="E9:E72" si="7">F8</f>
        <v>0</v>
      </c>
      <c r="F9" s="317"/>
      <c r="G9" s="339">
        <f>(F9-E9)/100</f>
        <v>0</v>
      </c>
      <c r="H9" s="112"/>
      <c r="I9" s="112"/>
      <c r="J9" s="112"/>
      <c r="K9" s="112"/>
      <c r="L9" s="112"/>
      <c r="M9" s="141">
        <f>+(H9*($H$6))+(J9*($J$6))+(K9*($K$6))+(L9*($L$6))</f>
        <v>0</v>
      </c>
      <c r="N9" s="141" t="e">
        <f t="shared" si="1"/>
        <v>#DIV/0!</v>
      </c>
      <c r="O9" s="77" t="s">
        <v>165</v>
      </c>
      <c r="P9" s="107"/>
      <c r="Q9" s="149">
        <f t="shared" si="3"/>
        <v>90476</v>
      </c>
      <c r="R9" s="149">
        <v>90476</v>
      </c>
      <c r="S9" s="329">
        <f t="shared" si="4"/>
        <v>0</v>
      </c>
      <c r="T9" s="107">
        <f t="shared" si="5"/>
        <v>1013799</v>
      </c>
      <c r="U9" s="107">
        <v>1014362</v>
      </c>
      <c r="V9" s="329">
        <f t="shared" si="6"/>
        <v>5.63</v>
      </c>
      <c r="W9" s="90"/>
    </row>
    <row r="10" spans="1:23" s="228" customFormat="1" ht="15.5" x14ac:dyDescent="0.35">
      <c r="A10" s="103"/>
      <c r="B10" s="79"/>
      <c r="C10" s="79"/>
      <c r="D10" s="111">
        <f t="shared" si="0"/>
        <v>1</v>
      </c>
      <c r="E10" s="318">
        <f t="shared" si="7"/>
        <v>0</v>
      </c>
      <c r="F10" s="317"/>
      <c r="G10" s="339">
        <f t="shared" si="2"/>
        <v>0</v>
      </c>
      <c r="H10" s="112"/>
      <c r="I10" s="112"/>
      <c r="J10" s="112"/>
      <c r="K10" s="112"/>
      <c r="L10" s="112"/>
      <c r="M10" s="232">
        <f>+(H10*($H$6))+(J10*($J$6))+(K10*($K$6))+(L10*($L$6))</f>
        <v>0</v>
      </c>
      <c r="N10" s="232" t="e">
        <f t="shared" si="1"/>
        <v>#DIV/0!</v>
      </c>
      <c r="O10" s="77" t="s">
        <v>166</v>
      </c>
      <c r="P10" s="149"/>
      <c r="Q10" s="149">
        <f t="shared" si="3"/>
        <v>90476</v>
      </c>
      <c r="R10" s="149">
        <v>91590</v>
      </c>
      <c r="S10" s="329">
        <f t="shared" si="4"/>
        <v>111.4</v>
      </c>
      <c r="T10" s="149">
        <f t="shared" si="5"/>
        <v>1014362</v>
      </c>
      <c r="U10" s="107">
        <v>1016207</v>
      </c>
      <c r="V10" s="329">
        <f t="shared" si="6"/>
        <v>18.45</v>
      </c>
      <c r="W10" s="244"/>
    </row>
    <row r="11" spans="1:23" ht="15.5" x14ac:dyDescent="0.35">
      <c r="A11" s="103"/>
      <c r="B11" s="84"/>
      <c r="C11" s="72"/>
      <c r="D11" s="111">
        <f t="shared" si="0"/>
        <v>1</v>
      </c>
      <c r="E11" s="318">
        <f t="shared" si="7"/>
        <v>0</v>
      </c>
      <c r="F11" s="319"/>
      <c r="G11" s="339">
        <f t="shared" si="2"/>
        <v>0</v>
      </c>
      <c r="H11" s="330"/>
      <c r="I11" s="330"/>
      <c r="J11" s="330"/>
      <c r="K11" s="330"/>
      <c r="L11" s="330"/>
      <c r="M11" s="141">
        <f>+(H11*($H$6))+(J11*($J$6))+(K11*($K$6))+(L11*($L$6))</f>
        <v>0</v>
      </c>
      <c r="N11" s="141" t="e">
        <f t="shared" si="1"/>
        <v>#DIV/0!</v>
      </c>
      <c r="O11" s="77" t="s">
        <v>164</v>
      </c>
      <c r="P11" s="107"/>
      <c r="Q11" s="149">
        <f t="shared" si="3"/>
        <v>91590</v>
      </c>
      <c r="R11" s="149">
        <v>94369</v>
      </c>
      <c r="S11" s="329">
        <f t="shared" si="4"/>
        <v>277.89999999999998</v>
      </c>
      <c r="T11" s="107">
        <f t="shared" si="5"/>
        <v>1016207</v>
      </c>
      <c r="U11" s="107">
        <v>1016207</v>
      </c>
      <c r="V11" s="329">
        <f t="shared" si="6"/>
        <v>0</v>
      </c>
      <c r="W11" s="90"/>
    </row>
    <row r="12" spans="1:23" ht="15.5" x14ac:dyDescent="0.35">
      <c r="A12" s="103"/>
      <c r="B12" s="72"/>
      <c r="C12" s="72"/>
      <c r="D12" s="111">
        <f t="shared" si="0"/>
        <v>1</v>
      </c>
      <c r="E12" s="318">
        <f t="shared" si="7"/>
        <v>0</v>
      </c>
      <c r="F12" s="319"/>
      <c r="G12" s="339">
        <f t="shared" si="2"/>
        <v>0</v>
      </c>
      <c r="H12" s="330"/>
      <c r="I12" s="330"/>
      <c r="J12" s="330"/>
      <c r="K12" s="330"/>
      <c r="L12" s="330"/>
      <c r="M12" s="141">
        <f t="shared" ref="M12:M53" si="8">+(H12*($H$6))+(J12*($J$6))+(K12*($K$6))+(L12*($L$6))</f>
        <v>0</v>
      </c>
      <c r="N12" s="141" t="e">
        <f t="shared" si="1"/>
        <v>#DIV/0!</v>
      </c>
      <c r="O12" s="107" t="s">
        <v>166</v>
      </c>
      <c r="P12" s="138"/>
      <c r="Q12" s="149">
        <f t="shared" si="3"/>
        <v>94369</v>
      </c>
      <c r="R12" s="149">
        <v>95942</v>
      </c>
      <c r="S12" s="329">
        <f t="shared" si="4"/>
        <v>157.30000000000001</v>
      </c>
      <c r="T12" s="107">
        <f t="shared" si="5"/>
        <v>1016207</v>
      </c>
      <c r="U12" s="107">
        <v>1016207</v>
      </c>
      <c r="V12" s="329">
        <f t="shared" si="6"/>
        <v>0</v>
      </c>
      <c r="W12" s="90"/>
    </row>
    <row r="13" spans="1:23" ht="15.5" x14ac:dyDescent="0.35">
      <c r="A13" s="103"/>
      <c r="B13" s="72"/>
      <c r="C13" s="72"/>
      <c r="D13" s="111">
        <f t="shared" si="0"/>
        <v>1</v>
      </c>
      <c r="E13" s="318">
        <f t="shared" si="7"/>
        <v>0</v>
      </c>
      <c r="F13" s="319"/>
      <c r="G13" s="339">
        <f t="shared" si="2"/>
        <v>0</v>
      </c>
      <c r="H13" s="330"/>
      <c r="I13" s="330"/>
      <c r="J13" s="330"/>
      <c r="K13" s="330"/>
      <c r="L13" s="330"/>
      <c r="M13" s="141">
        <f t="shared" si="8"/>
        <v>0</v>
      </c>
      <c r="N13" s="141" t="e">
        <f t="shared" si="1"/>
        <v>#DIV/0!</v>
      </c>
      <c r="O13" s="107" t="s">
        <v>165</v>
      </c>
      <c r="P13" s="138"/>
      <c r="Q13" s="149">
        <f t="shared" si="3"/>
        <v>95942</v>
      </c>
      <c r="R13" s="149">
        <v>99130</v>
      </c>
      <c r="S13" s="329">
        <f t="shared" si="4"/>
        <v>318.8</v>
      </c>
      <c r="T13" s="107">
        <f t="shared" si="5"/>
        <v>1016207</v>
      </c>
      <c r="U13" s="107">
        <v>1016207</v>
      </c>
      <c r="V13" s="329">
        <f t="shared" si="6"/>
        <v>0</v>
      </c>
      <c r="W13" s="90"/>
    </row>
    <row r="14" spans="1:23" ht="15.5" x14ac:dyDescent="0.35">
      <c r="A14" s="103"/>
      <c r="B14" s="72"/>
      <c r="C14" s="72"/>
      <c r="D14" s="111">
        <f>1+C14-B14</f>
        <v>1</v>
      </c>
      <c r="E14" s="318">
        <f>F13</f>
        <v>0</v>
      </c>
      <c r="F14" s="319"/>
      <c r="G14" s="339">
        <f>(F14-E14)/100</f>
        <v>0</v>
      </c>
      <c r="H14" s="330"/>
      <c r="I14" s="330"/>
      <c r="J14" s="330"/>
      <c r="K14" s="330"/>
      <c r="L14" s="330"/>
      <c r="M14" s="141">
        <f>+(H14*($H$6))+(J14*($J$6))+(K14*($K$6))+(L14*($L$6))</f>
        <v>0</v>
      </c>
      <c r="N14" s="141" t="e">
        <f>+M14/G14</f>
        <v>#DIV/0!</v>
      </c>
      <c r="O14" s="107" t="s">
        <v>180</v>
      </c>
      <c r="P14" s="138"/>
      <c r="Q14" s="149">
        <f>R13</f>
        <v>99130</v>
      </c>
      <c r="R14" s="149">
        <v>99893</v>
      </c>
      <c r="S14" s="329">
        <f>(R14-Q14)/10</f>
        <v>76.3</v>
      </c>
      <c r="T14" s="107">
        <f>U13</f>
        <v>1016207</v>
      </c>
      <c r="U14" s="107">
        <v>1016207</v>
      </c>
      <c r="V14" s="329">
        <f>(U14-T14)/100</f>
        <v>0</v>
      </c>
      <c r="W14" s="90"/>
    </row>
    <row r="15" spans="1:23" ht="15.5" x14ac:dyDescent="0.35">
      <c r="A15" s="103"/>
      <c r="B15" s="72"/>
      <c r="C15" s="72"/>
      <c r="D15" s="111">
        <f t="shared" si="0"/>
        <v>1</v>
      </c>
      <c r="E15" s="318">
        <f t="shared" si="7"/>
        <v>0</v>
      </c>
      <c r="F15" s="319"/>
      <c r="G15" s="339">
        <f t="shared" si="2"/>
        <v>0</v>
      </c>
      <c r="H15" s="330"/>
      <c r="I15" s="330"/>
      <c r="J15" s="330"/>
      <c r="K15" s="330"/>
      <c r="L15" s="330"/>
      <c r="M15" s="141">
        <f t="shared" si="8"/>
        <v>0</v>
      </c>
      <c r="N15" s="141" t="e">
        <f t="shared" si="1"/>
        <v>#DIV/0!</v>
      </c>
      <c r="O15" s="107" t="s">
        <v>164</v>
      </c>
      <c r="P15" s="138"/>
      <c r="Q15" s="149">
        <f t="shared" si="3"/>
        <v>99893</v>
      </c>
      <c r="R15" s="149">
        <v>100591</v>
      </c>
      <c r="S15" s="329">
        <f t="shared" si="4"/>
        <v>69.8</v>
      </c>
      <c r="T15" s="107">
        <f t="shared" si="5"/>
        <v>1016207</v>
      </c>
      <c r="U15" s="107">
        <v>1016207</v>
      </c>
      <c r="V15" s="329">
        <f t="shared" si="6"/>
        <v>0</v>
      </c>
      <c r="W15" s="90"/>
    </row>
    <row r="16" spans="1:23" ht="15.5" x14ac:dyDescent="0.35">
      <c r="A16" s="103"/>
      <c r="B16" s="72"/>
      <c r="C16" s="72"/>
      <c r="D16" s="111">
        <f t="shared" si="0"/>
        <v>1</v>
      </c>
      <c r="E16" s="318">
        <f>F15</f>
        <v>0</v>
      </c>
      <c r="F16" s="319"/>
      <c r="G16" s="339">
        <f>(F16-E16)/100</f>
        <v>0</v>
      </c>
      <c r="H16" s="330"/>
      <c r="I16" s="330"/>
      <c r="J16" s="330"/>
      <c r="K16" s="330"/>
      <c r="L16" s="330"/>
      <c r="M16" s="141">
        <f>+(H16*($H$6))+(J16*($J$6))+(K16*($K$6))+(L16*($L$6))</f>
        <v>0</v>
      </c>
      <c r="N16" s="141" t="e">
        <f>+M16/G16</f>
        <v>#DIV/0!</v>
      </c>
      <c r="O16" s="107" t="s">
        <v>165</v>
      </c>
      <c r="P16" s="138"/>
      <c r="Q16" s="149">
        <f t="shared" si="3"/>
        <v>100591</v>
      </c>
      <c r="R16" s="149">
        <v>101372</v>
      </c>
      <c r="S16" s="329">
        <f>(R16-Q16)/10</f>
        <v>78.099999999999994</v>
      </c>
      <c r="T16" s="107">
        <f t="shared" si="5"/>
        <v>1016207</v>
      </c>
      <c r="U16" s="107">
        <v>1016207</v>
      </c>
      <c r="V16" s="329">
        <f t="shared" si="6"/>
        <v>0</v>
      </c>
      <c r="W16" s="90"/>
    </row>
    <row r="17" spans="1:23" s="228" customFormat="1" ht="15.5" x14ac:dyDescent="0.35">
      <c r="A17" s="103"/>
      <c r="B17" s="79"/>
      <c r="C17" s="79"/>
      <c r="D17" s="111">
        <f t="shared" si="0"/>
        <v>1</v>
      </c>
      <c r="E17" s="319">
        <f t="shared" si="7"/>
        <v>0</v>
      </c>
      <c r="F17" s="319"/>
      <c r="G17" s="339">
        <f t="shared" si="2"/>
        <v>0</v>
      </c>
      <c r="H17" s="331"/>
      <c r="I17" s="331"/>
      <c r="J17" s="331"/>
      <c r="K17" s="331"/>
      <c r="L17" s="331"/>
      <c r="M17" s="232">
        <f t="shared" si="8"/>
        <v>0</v>
      </c>
      <c r="N17" s="232" t="e">
        <f t="shared" si="1"/>
        <v>#DIV/0!</v>
      </c>
      <c r="O17" s="109" t="s">
        <v>180</v>
      </c>
      <c r="P17" s="245"/>
      <c r="Q17" s="149">
        <f t="shared" si="3"/>
        <v>101372</v>
      </c>
      <c r="R17" s="149">
        <v>102182</v>
      </c>
      <c r="S17" s="329">
        <f t="shared" si="4"/>
        <v>81</v>
      </c>
      <c r="T17" s="107">
        <f t="shared" si="5"/>
        <v>1016207</v>
      </c>
      <c r="U17" s="149">
        <v>1016207</v>
      </c>
      <c r="V17" s="329">
        <f t="shared" si="6"/>
        <v>0</v>
      </c>
      <c r="W17" s="244"/>
    </row>
    <row r="18" spans="1:23" ht="15.5" x14ac:dyDescent="0.35">
      <c r="A18" s="103"/>
      <c r="B18" s="72"/>
      <c r="C18" s="72"/>
      <c r="D18" s="111">
        <f t="shared" si="0"/>
        <v>1</v>
      </c>
      <c r="E18" s="318">
        <f t="shared" ref="E18:E23" si="9">F17</f>
        <v>0</v>
      </c>
      <c r="F18" s="319"/>
      <c r="G18" s="339">
        <f t="shared" si="2"/>
        <v>0</v>
      </c>
      <c r="H18" s="330"/>
      <c r="I18" s="330"/>
      <c r="J18" s="330"/>
      <c r="K18" s="330"/>
      <c r="L18" s="330"/>
      <c r="M18" s="141">
        <f t="shared" si="8"/>
        <v>0</v>
      </c>
      <c r="N18" s="141" t="e">
        <f t="shared" si="1"/>
        <v>#DIV/0!</v>
      </c>
      <c r="O18" s="107" t="s">
        <v>164</v>
      </c>
      <c r="P18" s="138"/>
      <c r="Q18" s="149">
        <f t="shared" si="3"/>
        <v>102182</v>
      </c>
      <c r="R18" s="149">
        <v>102959</v>
      </c>
      <c r="S18" s="329">
        <f t="shared" si="4"/>
        <v>77.7</v>
      </c>
      <c r="T18" s="107">
        <f t="shared" si="5"/>
        <v>1016207</v>
      </c>
      <c r="U18" s="107">
        <v>1016207</v>
      </c>
      <c r="V18" s="329">
        <f t="shared" si="6"/>
        <v>0</v>
      </c>
      <c r="W18" s="90"/>
    </row>
    <row r="19" spans="1:23" ht="15.5" x14ac:dyDescent="0.35">
      <c r="A19" s="103"/>
      <c r="B19" s="72"/>
      <c r="C19" s="72"/>
      <c r="D19" s="111">
        <f t="shared" si="0"/>
        <v>1</v>
      </c>
      <c r="E19" s="318">
        <f t="shared" si="9"/>
        <v>0</v>
      </c>
      <c r="F19" s="319"/>
      <c r="G19" s="339">
        <f t="shared" si="2"/>
        <v>0</v>
      </c>
      <c r="H19" s="330"/>
      <c r="I19" s="330"/>
      <c r="J19" s="330"/>
      <c r="K19" s="330"/>
      <c r="L19" s="330"/>
      <c r="M19" s="141">
        <f t="shared" si="8"/>
        <v>0</v>
      </c>
      <c r="N19" s="141" t="e">
        <f t="shared" si="1"/>
        <v>#DIV/0!</v>
      </c>
      <c r="O19" s="137" t="s">
        <v>165</v>
      </c>
      <c r="P19" s="138"/>
      <c r="Q19" s="149">
        <f>R18</f>
        <v>102959</v>
      </c>
      <c r="R19" s="149">
        <v>103754</v>
      </c>
      <c r="S19" s="329">
        <f t="shared" si="4"/>
        <v>79.5</v>
      </c>
      <c r="T19" s="107">
        <f t="shared" si="5"/>
        <v>1016207</v>
      </c>
      <c r="U19" s="107">
        <v>1016207</v>
      </c>
      <c r="V19" s="329">
        <f t="shared" si="6"/>
        <v>0</v>
      </c>
      <c r="W19" s="90"/>
    </row>
    <row r="20" spans="1:23" ht="15.5" x14ac:dyDescent="0.35">
      <c r="A20" s="103"/>
      <c r="B20" s="72"/>
      <c r="C20" s="72"/>
      <c r="D20" s="111">
        <f t="shared" si="0"/>
        <v>1</v>
      </c>
      <c r="E20" s="318">
        <f t="shared" si="9"/>
        <v>0</v>
      </c>
      <c r="F20" s="319"/>
      <c r="G20" s="339">
        <f t="shared" si="2"/>
        <v>0</v>
      </c>
      <c r="H20" s="330"/>
      <c r="I20" s="330"/>
      <c r="J20" s="330"/>
      <c r="K20" s="330"/>
      <c r="L20" s="330"/>
      <c r="M20" s="141">
        <f t="shared" si="8"/>
        <v>0</v>
      </c>
      <c r="N20" s="141" t="e">
        <f t="shared" si="1"/>
        <v>#DIV/0!</v>
      </c>
      <c r="O20" s="137" t="s">
        <v>180</v>
      </c>
      <c r="P20" s="138"/>
      <c r="Q20" s="149">
        <f>R19</f>
        <v>103754</v>
      </c>
      <c r="R20" s="149">
        <v>104545</v>
      </c>
      <c r="S20" s="329">
        <f t="shared" si="4"/>
        <v>79.099999999999994</v>
      </c>
      <c r="T20" s="107">
        <f t="shared" si="5"/>
        <v>1016207</v>
      </c>
      <c r="U20" s="107">
        <v>1016207</v>
      </c>
      <c r="V20" s="329">
        <f t="shared" si="6"/>
        <v>0</v>
      </c>
      <c r="W20" s="90"/>
    </row>
    <row r="21" spans="1:23" s="228" customFormat="1" ht="15.5" x14ac:dyDescent="0.35">
      <c r="A21" s="103"/>
      <c r="B21" s="338"/>
      <c r="C21" s="79"/>
      <c r="D21" s="111">
        <f t="shared" si="0"/>
        <v>1</v>
      </c>
      <c r="E21" s="319">
        <f t="shared" si="9"/>
        <v>0</v>
      </c>
      <c r="F21" s="319"/>
      <c r="G21" s="339">
        <f t="shared" si="2"/>
        <v>0</v>
      </c>
      <c r="H21" s="331"/>
      <c r="I21" s="331"/>
      <c r="J21" s="331"/>
      <c r="K21" s="331"/>
      <c r="L21" s="331"/>
      <c r="M21" s="232">
        <f t="shared" si="8"/>
        <v>0</v>
      </c>
      <c r="N21" s="232" t="e">
        <f t="shared" si="1"/>
        <v>#DIV/0!</v>
      </c>
      <c r="O21" s="149" t="s">
        <v>164</v>
      </c>
      <c r="P21" s="245"/>
      <c r="Q21" s="149">
        <f t="shared" ref="Q21:Q84" si="10">R20</f>
        <v>104545</v>
      </c>
      <c r="R21" s="149">
        <v>106421</v>
      </c>
      <c r="S21" s="329">
        <f>(R21-Q21)/100</f>
        <v>18.760000000000002</v>
      </c>
      <c r="T21" s="107">
        <f t="shared" si="5"/>
        <v>1016207</v>
      </c>
      <c r="U21" s="107">
        <v>1020240</v>
      </c>
      <c r="V21" s="329">
        <f t="shared" si="6"/>
        <v>40.33</v>
      </c>
      <c r="W21" s="244"/>
    </row>
    <row r="22" spans="1:23" ht="15.5" x14ac:dyDescent="0.35">
      <c r="A22" s="103"/>
      <c r="B22" s="72"/>
      <c r="C22" s="72"/>
      <c r="D22" s="111">
        <f t="shared" si="0"/>
        <v>1</v>
      </c>
      <c r="E22" s="318">
        <f t="shared" si="9"/>
        <v>0</v>
      </c>
      <c r="F22" s="319"/>
      <c r="G22" s="339">
        <f t="shared" si="2"/>
        <v>0</v>
      </c>
      <c r="H22" s="330"/>
      <c r="I22" s="330"/>
      <c r="J22" s="330"/>
      <c r="K22" s="330"/>
      <c r="L22" s="330"/>
      <c r="M22" s="141">
        <f t="shared" si="8"/>
        <v>0</v>
      </c>
      <c r="N22" s="141" t="e">
        <f t="shared" si="1"/>
        <v>#DIV/0!</v>
      </c>
      <c r="O22" s="77" t="s">
        <v>165</v>
      </c>
      <c r="P22" s="138"/>
      <c r="Q22" s="149">
        <f t="shared" si="10"/>
        <v>106421</v>
      </c>
      <c r="R22" s="149">
        <v>108810</v>
      </c>
      <c r="S22" s="329">
        <f t="shared" ref="S22:S85" si="11">(R22-Q22)/100</f>
        <v>23.89</v>
      </c>
      <c r="T22" s="107">
        <f>U21</f>
        <v>1020240</v>
      </c>
      <c r="U22" s="107">
        <v>1020240</v>
      </c>
      <c r="V22" s="329">
        <f t="shared" si="6"/>
        <v>0</v>
      </c>
      <c r="W22" s="90"/>
    </row>
    <row r="23" spans="1:23" ht="15.5" x14ac:dyDescent="0.35">
      <c r="A23" s="103"/>
      <c r="B23" s="72"/>
      <c r="C23" s="72"/>
      <c r="D23" s="111">
        <f t="shared" si="0"/>
        <v>1</v>
      </c>
      <c r="E23" s="318">
        <f t="shared" si="9"/>
        <v>0</v>
      </c>
      <c r="F23" s="319"/>
      <c r="G23" s="339">
        <f t="shared" si="2"/>
        <v>0</v>
      </c>
      <c r="H23" s="330"/>
      <c r="I23" s="330"/>
      <c r="J23" s="330"/>
      <c r="K23" s="330"/>
      <c r="L23" s="330"/>
      <c r="M23" s="141">
        <f t="shared" si="8"/>
        <v>0</v>
      </c>
      <c r="N23" s="141" t="e">
        <f t="shared" si="1"/>
        <v>#DIV/0!</v>
      </c>
      <c r="O23" s="137" t="s">
        <v>166</v>
      </c>
      <c r="P23" s="138"/>
      <c r="Q23" s="149">
        <f t="shared" si="10"/>
        <v>108810</v>
      </c>
      <c r="R23" s="149">
        <v>109561</v>
      </c>
      <c r="S23" s="329">
        <f t="shared" si="11"/>
        <v>7.51</v>
      </c>
      <c r="T23" s="107">
        <f t="shared" si="5"/>
        <v>1020240</v>
      </c>
      <c r="U23" s="107">
        <v>1020240</v>
      </c>
      <c r="V23" s="329">
        <f t="shared" si="6"/>
        <v>0</v>
      </c>
      <c r="W23" s="90"/>
    </row>
    <row r="24" spans="1:23" ht="15.5" x14ac:dyDescent="0.35">
      <c r="A24" s="103"/>
      <c r="B24" s="72"/>
      <c r="C24" s="72"/>
      <c r="D24" s="111">
        <f t="shared" si="0"/>
        <v>1</v>
      </c>
      <c r="E24" s="318">
        <f>F23</f>
        <v>0</v>
      </c>
      <c r="F24" s="319"/>
      <c r="G24" s="339">
        <f t="shared" si="2"/>
        <v>0</v>
      </c>
      <c r="H24" s="330"/>
      <c r="I24" s="330"/>
      <c r="J24" s="330"/>
      <c r="K24" s="330"/>
      <c r="L24" s="330"/>
      <c r="M24" s="141">
        <f t="shared" si="8"/>
        <v>0</v>
      </c>
      <c r="N24" s="141" t="e">
        <f t="shared" si="1"/>
        <v>#DIV/0!</v>
      </c>
      <c r="O24" s="107" t="s">
        <v>170</v>
      </c>
      <c r="P24" s="138"/>
      <c r="Q24" s="149">
        <f t="shared" si="10"/>
        <v>109561</v>
      </c>
      <c r="R24" s="149">
        <v>114299</v>
      </c>
      <c r="S24" s="329">
        <f t="shared" si="11"/>
        <v>47.38</v>
      </c>
      <c r="T24" s="107">
        <f>U23</f>
        <v>1020240</v>
      </c>
      <c r="U24" s="107">
        <v>1020240</v>
      </c>
      <c r="V24" s="329">
        <f t="shared" si="6"/>
        <v>0</v>
      </c>
      <c r="W24" s="90"/>
    </row>
    <row r="25" spans="1:23" s="228" customFormat="1" ht="15.5" x14ac:dyDescent="0.35">
      <c r="A25" s="103"/>
      <c r="B25" s="79"/>
      <c r="C25" s="79"/>
      <c r="D25" s="111">
        <f t="shared" si="0"/>
        <v>1</v>
      </c>
      <c r="E25" s="319">
        <f t="shared" si="7"/>
        <v>0</v>
      </c>
      <c r="F25" s="319"/>
      <c r="G25" s="339">
        <f t="shared" si="2"/>
        <v>0</v>
      </c>
      <c r="H25" s="331"/>
      <c r="I25" s="331"/>
      <c r="J25" s="331"/>
      <c r="K25" s="331"/>
      <c r="L25" s="331"/>
      <c r="M25" s="232">
        <f t="shared" si="8"/>
        <v>0</v>
      </c>
      <c r="N25" s="232" t="e">
        <f t="shared" si="1"/>
        <v>#DIV/0!</v>
      </c>
      <c r="O25" s="149" t="s">
        <v>166</v>
      </c>
      <c r="P25" s="245"/>
      <c r="Q25" s="149">
        <f t="shared" si="10"/>
        <v>114299</v>
      </c>
      <c r="R25" s="149">
        <v>118967</v>
      </c>
      <c r="S25" s="329">
        <f t="shared" si="11"/>
        <v>46.68</v>
      </c>
      <c r="T25" s="107">
        <f t="shared" si="5"/>
        <v>1020240</v>
      </c>
      <c r="U25" s="107">
        <v>1020240</v>
      </c>
      <c r="V25" s="329">
        <f t="shared" si="6"/>
        <v>0</v>
      </c>
      <c r="W25" s="244"/>
    </row>
    <row r="26" spans="1:23" ht="15.5" x14ac:dyDescent="0.35">
      <c r="A26" s="103"/>
      <c r="B26" s="79"/>
      <c r="C26" s="79"/>
      <c r="D26" s="111">
        <f t="shared" si="0"/>
        <v>1</v>
      </c>
      <c r="E26" s="318">
        <f t="shared" si="7"/>
        <v>0</v>
      </c>
      <c r="F26" s="316"/>
      <c r="G26" s="339">
        <f t="shared" si="2"/>
        <v>0</v>
      </c>
      <c r="H26" s="330"/>
      <c r="I26" s="330"/>
      <c r="J26" s="330"/>
      <c r="K26" s="330"/>
      <c r="L26" s="330"/>
      <c r="M26" s="141">
        <f t="shared" si="8"/>
        <v>0</v>
      </c>
      <c r="N26" s="141" t="e">
        <f t="shared" si="1"/>
        <v>#DIV/0!</v>
      </c>
      <c r="O26" s="107" t="s">
        <v>166</v>
      </c>
      <c r="P26" s="138"/>
      <c r="Q26" s="149">
        <f t="shared" si="10"/>
        <v>118967</v>
      </c>
      <c r="R26" s="149">
        <v>121331</v>
      </c>
      <c r="S26" s="329">
        <f t="shared" si="11"/>
        <v>23.64</v>
      </c>
      <c r="T26" s="107">
        <f t="shared" si="5"/>
        <v>1020240</v>
      </c>
      <c r="U26" s="107">
        <v>1020240</v>
      </c>
      <c r="V26" s="329">
        <f t="shared" si="6"/>
        <v>0</v>
      </c>
      <c r="W26" s="90"/>
    </row>
    <row r="27" spans="1:23" ht="15.5" x14ac:dyDescent="0.35">
      <c r="A27" s="103"/>
      <c r="B27" s="72"/>
      <c r="C27" s="72"/>
      <c r="D27" s="111">
        <f t="shared" si="0"/>
        <v>1</v>
      </c>
      <c r="E27" s="318">
        <f t="shared" si="7"/>
        <v>0</v>
      </c>
      <c r="F27" s="316"/>
      <c r="G27" s="339">
        <f t="shared" si="2"/>
        <v>0</v>
      </c>
      <c r="H27" s="330"/>
      <c r="I27" s="330"/>
      <c r="J27" s="330"/>
      <c r="K27" s="330"/>
      <c r="L27" s="330"/>
      <c r="M27" s="141">
        <f t="shared" si="8"/>
        <v>0</v>
      </c>
      <c r="N27" s="141" t="e">
        <f t="shared" si="1"/>
        <v>#DIV/0!</v>
      </c>
      <c r="O27" s="107" t="s">
        <v>166</v>
      </c>
      <c r="P27" s="138"/>
      <c r="Q27" s="149">
        <f t="shared" si="10"/>
        <v>121331</v>
      </c>
      <c r="R27" s="149">
        <v>123995</v>
      </c>
      <c r="S27" s="329">
        <f t="shared" si="11"/>
        <v>26.64</v>
      </c>
      <c r="T27" s="107">
        <f t="shared" si="5"/>
        <v>1020240</v>
      </c>
      <c r="U27" s="107">
        <v>1020240</v>
      </c>
      <c r="V27" s="329">
        <f t="shared" si="6"/>
        <v>0</v>
      </c>
      <c r="W27" s="90"/>
    </row>
    <row r="28" spans="1:23" ht="15.5" x14ac:dyDescent="0.35">
      <c r="A28" s="103"/>
      <c r="B28" s="72"/>
      <c r="C28" s="72"/>
      <c r="D28" s="111">
        <f t="shared" si="0"/>
        <v>1</v>
      </c>
      <c r="E28" s="318">
        <f t="shared" si="7"/>
        <v>0</v>
      </c>
      <c r="F28" s="316"/>
      <c r="G28" s="339">
        <f t="shared" si="2"/>
        <v>0</v>
      </c>
      <c r="H28" s="330"/>
      <c r="I28" s="330"/>
      <c r="J28" s="330"/>
      <c r="K28" s="330"/>
      <c r="L28" s="330"/>
      <c r="M28" s="141">
        <f t="shared" si="8"/>
        <v>0</v>
      </c>
      <c r="N28" s="141" t="e">
        <f t="shared" si="1"/>
        <v>#DIV/0!</v>
      </c>
      <c r="O28" s="107" t="s">
        <v>166</v>
      </c>
      <c r="P28" s="138"/>
      <c r="Q28" s="149">
        <f t="shared" si="10"/>
        <v>123995</v>
      </c>
      <c r="R28" s="149">
        <v>125844</v>
      </c>
      <c r="S28" s="329">
        <f t="shared" si="11"/>
        <v>18.489999999999998</v>
      </c>
      <c r="T28" s="107">
        <f t="shared" si="5"/>
        <v>1020240</v>
      </c>
      <c r="U28" s="107">
        <v>1020240</v>
      </c>
      <c r="V28" s="329">
        <f t="shared" si="6"/>
        <v>0</v>
      </c>
      <c r="W28" s="90"/>
    </row>
    <row r="29" spans="1:23" ht="15.5" x14ac:dyDescent="0.35">
      <c r="A29" s="103"/>
      <c r="B29" s="72"/>
      <c r="C29" s="72"/>
      <c r="D29" s="111">
        <f t="shared" si="0"/>
        <v>1</v>
      </c>
      <c r="E29" s="318">
        <f>F28</f>
        <v>0</v>
      </c>
      <c r="F29" s="316"/>
      <c r="G29" s="339">
        <f t="shared" si="2"/>
        <v>0</v>
      </c>
      <c r="H29" s="330"/>
      <c r="I29" s="330"/>
      <c r="J29" s="330"/>
      <c r="K29" s="330"/>
      <c r="L29" s="330"/>
      <c r="M29" s="141">
        <f t="shared" si="8"/>
        <v>0</v>
      </c>
      <c r="N29" s="141" t="e">
        <f t="shared" si="1"/>
        <v>#DIV/0!</v>
      </c>
      <c r="O29" s="107" t="s">
        <v>164</v>
      </c>
      <c r="P29" s="138"/>
      <c r="Q29" s="149">
        <f t="shared" si="10"/>
        <v>125844</v>
      </c>
      <c r="R29" s="149">
        <v>127223</v>
      </c>
      <c r="S29" s="329">
        <f t="shared" si="11"/>
        <v>13.79</v>
      </c>
      <c r="T29" s="107">
        <f t="shared" si="5"/>
        <v>1020240</v>
      </c>
      <c r="U29" s="107">
        <v>1020240</v>
      </c>
      <c r="V29" s="329">
        <f t="shared" si="6"/>
        <v>0</v>
      </c>
      <c r="W29" s="90"/>
    </row>
    <row r="30" spans="1:23" ht="15.5" x14ac:dyDescent="0.35">
      <c r="A30" s="103"/>
      <c r="B30" s="72"/>
      <c r="C30" s="72"/>
      <c r="D30" s="111">
        <f t="shared" si="0"/>
        <v>1</v>
      </c>
      <c r="E30" s="318"/>
      <c r="F30" s="316"/>
      <c r="G30" s="339">
        <f t="shared" si="2"/>
        <v>0</v>
      </c>
      <c r="H30" s="330"/>
      <c r="I30" s="330"/>
      <c r="J30" s="330"/>
      <c r="K30" s="330"/>
      <c r="L30" s="330"/>
      <c r="M30" s="141">
        <f t="shared" si="8"/>
        <v>0</v>
      </c>
      <c r="N30" s="141" t="e">
        <f t="shared" si="1"/>
        <v>#DIV/0!</v>
      </c>
      <c r="O30" s="77"/>
      <c r="P30" s="138"/>
      <c r="Q30" s="149">
        <f t="shared" si="10"/>
        <v>127223</v>
      </c>
      <c r="R30" s="149"/>
      <c r="S30" s="329">
        <f t="shared" si="11"/>
        <v>-1272.23</v>
      </c>
      <c r="T30" s="107"/>
      <c r="U30" s="107"/>
      <c r="V30" s="329">
        <f t="shared" si="6"/>
        <v>0</v>
      </c>
      <c r="W30" s="90"/>
    </row>
    <row r="31" spans="1:23" ht="15.5" x14ac:dyDescent="0.35">
      <c r="A31" s="103"/>
      <c r="B31" s="72"/>
      <c r="C31" s="72"/>
      <c r="D31" s="111">
        <f t="shared" si="0"/>
        <v>1</v>
      </c>
      <c r="E31" s="318">
        <f>F30</f>
        <v>0</v>
      </c>
      <c r="F31" s="316"/>
      <c r="G31" s="339">
        <f t="shared" si="2"/>
        <v>0</v>
      </c>
      <c r="H31" s="330"/>
      <c r="I31" s="330"/>
      <c r="J31" s="330"/>
      <c r="K31" s="330"/>
      <c r="L31" s="330"/>
      <c r="M31" s="141">
        <f t="shared" si="8"/>
        <v>0</v>
      </c>
      <c r="N31" s="141" t="e">
        <f t="shared" si="1"/>
        <v>#DIV/0!</v>
      </c>
      <c r="O31" s="107"/>
      <c r="P31" s="138"/>
      <c r="Q31" s="149">
        <f t="shared" si="10"/>
        <v>0</v>
      </c>
      <c r="R31" s="149"/>
      <c r="S31" s="329">
        <f t="shared" si="11"/>
        <v>0</v>
      </c>
      <c r="T31" s="107">
        <f t="shared" si="5"/>
        <v>0</v>
      </c>
      <c r="U31" s="107"/>
      <c r="V31" s="329">
        <f t="shared" si="6"/>
        <v>0</v>
      </c>
      <c r="W31" s="90"/>
    </row>
    <row r="32" spans="1:23" ht="15.5" x14ac:dyDescent="0.35">
      <c r="A32" s="103"/>
      <c r="B32" s="72"/>
      <c r="C32" s="72"/>
      <c r="D32" s="111">
        <f t="shared" si="0"/>
        <v>1</v>
      </c>
      <c r="E32" s="318"/>
      <c r="F32" s="316"/>
      <c r="G32" s="339">
        <f t="shared" si="2"/>
        <v>0</v>
      </c>
      <c r="H32" s="330"/>
      <c r="I32" s="330"/>
      <c r="J32" s="330"/>
      <c r="K32" s="330"/>
      <c r="L32" s="330"/>
      <c r="M32" s="141">
        <f t="shared" si="8"/>
        <v>0</v>
      </c>
      <c r="N32" s="141" t="e">
        <f t="shared" si="1"/>
        <v>#DIV/0!</v>
      </c>
      <c r="O32" s="137"/>
      <c r="P32" s="138"/>
      <c r="Q32" s="149">
        <f t="shared" si="10"/>
        <v>0</v>
      </c>
      <c r="R32" s="149"/>
      <c r="S32" s="329">
        <f t="shared" si="11"/>
        <v>0</v>
      </c>
      <c r="T32" s="107">
        <f t="shared" si="5"/>
        <v>0</v>
      </c>
      <c r="U32" s="107"/>
      <c r="V32" s="329">
        <f t="shared" si="6"/>
        <v>0</v>
      </c>
      <c r="W32" s="90"/>
    </row>
    <row r="33" spans="1:23" ht="15.5" x14ac:dyDescent="0.35">
      <c r="A33" s="103"/>
      <c r="B33" s="72"/>
      <c r="C33" s="72"/>
      <c r="D33" s="111">
        <f t="shared" ref="D33:D58" si="12">1+C33-B33</f>
        <v>1</v>
      </c>
      <c r="E33" s="318">
        <f t="shared" si="7"/>
        <v>0</v>
      </c>
      <c r="F33" s="316"/>
      <c r="G33" s="339">
        <f t="shared" si="2"/>
        <v>0</v>
      </c>
      <c r="H33" s="330"/>
      <c r="I33" s="330"/>
      <c r="J33" s="330"/>
      <c r="K33" s="330"/>
      <c r="L33" s="330"/>
      <c r="M33" s="141">
        <f t="shared" si="8"/>
        <v>0</v>
      </c>
      <c r="N33" s="141" t="e">
        <f t="shared" si="1"/>
        <v>#DIV/0!</v>
      </c>
      <c r="O33" s="137"/>
      <c r="P33" s="138"/>
      <c r="Q33" s="149">
        <f t="shared" si="10"/>
        <v>0</v>
      </c>
      <c r="R33" s="149"/>
      <c r="S33" s="329">
        <f t="shared" si="11"/>
        <v>0</v>
      </c>
      <c r="T33" s="107">
        <f t="shared" si="5"/>
        <v>0</v>
      </c>
      <c r="U33" s="107"/>
      <c r="V33" s="329">
        <f t="shared" si="6"/>
        <v>0</v>
      </c>
      <c r="W33" s="90"/>
    </row>
    <row r="34" spans="1:23" ht="15.5" x14ac:dyDescent="0.35">
      <c r="A34" s="103"/>
      <c r="B34" s="72"/>
      <c r="C34" s="72"/>
      <c r="D34" s="111">
        <f t="shared" si="12"/>
        <v>1</v>
      </c>
      <c r="E34" s="318">
        <f>F33</f>
        <v>0</v>
      </c>
      <c r="F34" s="316"/>
      <c r="G34" s="339">
        <f t="shared" si="2"/>
        <v>0</v>
      </c>
      <c r="H34" s="330"/>
      <c r="I34" s="330"/>
      <c r="J34" s="330"/>
      <c r="K34" s="330"/>
      <c r="L34" s="330"/>
      <c r="M34" s="141">
        <f t="shared" si="8"/>
        <v>0</v>
      </c>
      <c r="N34" s="141" t="e">
        <f t="shared" si="1"/>
        <v>#DIV/0!</v>
      </c>
      <c r="O34" s="137"/>
      <c r="P34" s="138"/>
      <c r="Q34" s="149">
        <f t="shared" si="10"/>
        <v>0</v>
      </c>
      <c r="R34" s="149"/>
      <c r="S34" s="329">
        <f t="shared" si="11"/>
        <v>0</v>
      </c>
      <c r="T34" s="107">
        <f t="shared" si="5"/>
        <v>0</v>
      </c>
      <c r="U34" s="107"/>
      <c r="V34" s="329">
        <f t="shared" si="6"/>
        <v>0</v>
      </c>
      <c r="W34" s="90"/>
    </row>
    <row r="35" spans="1:23" ht="15.5" x14ac:dyDescent="0.35">
      <c r="A35" s="103"/>
      <c r="B35" s="72"/>
      <c r="C35" s="72"/>
      <c r="D35" s="111">
        <f t="shared" si="12"/>
        <v>1</v>
      </c>
      <c r="E35" s="318">
        <f>F34</f>
        <v>0</v>
      </c>
      <c r="F35" s="316"/>
      <c r="G35" s="339">
        <f t="shared" si="2"/>
        <v>0</v>
      </c>
      <c r="H35" s="330"/>
      <c r="I35" s="330"/>
      <c r="J35" s="330"/>
      <c r="K35" s="330"/>
      <c r="L35" s="330"/>
      <c r="M35" s="141">
        <f t="shared" si="8"/>
        <v>0</v>
      </c>
      <c r="N35" s="141" t="e">
        <f t="shared" si="1"/>
        <v>#DIV/0!</v>
      </c>
      <c r="O35" s="107"/>
      <c r="P35" s="138"/>
      <c r="Q35" s="149">
        <f t="shared" si="10"/>
        <v>0</v>
      </c>
      <c r="R35" s="149"/>
      <c r="S35" s="329">
        <f t="shared" si="11"/>
        <v>0</v>
      </c>
      <c r="T35" s="107">
        <f t="shared" si="5"/>
        <v>0</v>
      </c>
      <c r="U35" s="107"/>
      <c r="V35" s="329">
        <f t="shared" si="6"/>
        <v>0</v>
      </c>
      <c r="W35" s="90"/>
    </row>
    <row r="36" spans="1:23" ht="15.5" x14ac:dyDescent="0.35">
      <c r="A36" s="103"/>
      <c r="B36" s="72"/>
      <c r="C36" s="72"/>
      <c r="D36" s="111">
        <f t="shared" si="12"/>
        <v>1</v>
      </c>
      <c r="E36" s="318">
        <f>F35</f>
        <v>0</v>
      </c>
      <c r="F36" s="316"/>
      <c r="G36" s="339">
        <f t="shared" si="2"/>
        <v>0</v>
      </c>
      <c r="H36" s="330"/>
      <c r="I36" s="330"/>
      <c r="J36" s="330"/>
      <c r="K36" s="330"/>
      <c r="L36" s="330"/>
      <c r="M36" s="141">
        <f t="shared" si="8"/>
        <v>0</v>
      </c>
      <c r="N36" s="141" t="e">
        <f t="shared" si="1"/>
        <v>#DIV/0!</v>
      </c>
      <c r="O36" s="107"/>
      <c r="P36" s="138"/>
      <c r="Q36" s="149">
        <f t="shared" si="10"/>
        <v>0</v>
      </c>
      <c r="R36" s="149"/>
      <c r="S36" s="329">
        <f t="shared" si="11"/>
        <v>0</v>
      </c>
      <c r="T36" s="107">
        <f t="shared" si="5"/>
        <v>0</v>
      </c>
      <c r="U36" s="107"/>
      <c r="V36" s="329">
        <f t="shared" si="6"/>
        <v>0</v>
      </c>
      <c r="W36" s="90"/>
    </row>
    <row r="37" spans="1:23" ht="15.5" x14ac:dyDescent="0.35">
      <c r="A37" s="103"/>
      <c r="B37" s="72"/>
      <c r="C37" s="72"/>
      <c r="D37" s="111">
        <f t="shared" si="12"/>
        <v>1</v>
      </c>
      <c r="E37" s="318">
        <f t="shared" si="7"/>
        <v>0</v>
      </c>
      <c r="F37" s="316"/>
      <c r="G37" s="339">
        <f t="shared" si="2"/>
        <v>0</v>
      </c>
      <c r="H37" s="330"/>
      <c r="I37" s="330"/>
      <c r="J37" s="330"/>
      <c r="K37" s="330"/>
      <c r="L37" s="330"/>
      <c r="M37" s="141">
        <f t="shared" si="8"/>
        <v>0</v>
      </c>
      <c r="N37" s="141" t="e">
        <f t="shared" si="1"/>
        <v>#DIV/0!</v>
      </c>
      <c r="O37" s="107"/>
      <c r="P37" s="138"/>
      <c r="Q37" s="149">
        <f t="shared" si="10"/>
        <v>0</v>
      </c>
      <c r="R37" s="149"/>
      <c r="S37" s="329">
        <f t="shared" si="11"/>
        <v>0</v>
      </c>
      <c r="T37" s="107">
        <f t="shared" si="5"/>
        <v>0</v>
      </c>
      <c r="U37" s="107"/>
      <c r="V37" s="329">
        <f t="shared" si="6"/>
        <v>0</v>
      </c>
      <c r="W37" s="90"/>
    </row>
    <row r="38" spans="1:23" ht="15.5" x14ac:dyDescent="0.35">
      <c r="A38" s="103"/>
      <c r="B38" s="72"/>
      <c r="C38" s="72"/>
      <c r="D38" s="111">
        <f t="shared" si="12"/>
        <v>1</v>
      </c>
      <c r="E38" s="318"/>
      <c r="F38" s="316"/>
      <c r="G38" s="339">
        <f t="shared" si="2"/>
        <v>0</v>
      </c>
      <c r="H38" s="330"/>
      <c r="I38" s="330"/>
      <c r="J38" s="330"/>
      <c r="K38" s="330"/>
      <c r="L38" s="330"/>
      <c r="M38" s="141">
        <f t="shared" si="8"/>
        <v>0</v>
      </c>
      <c r="N38" s="141" t="e">
        <f t="shared" si="1"/>
        <v>#DIV/0!</v>
      </c>
      <c r="O38" s="107"/>
      <c r="P38" s="138"/>
      <c r="Q38" s="149">
        <f t="shared" si="10"/>
        <v>0</v>
      </c>
      <c r="R38" s="149"/>
      <c r="S38" s="329">
        <f t="shared" si="11"/>
        <v>0</v>
      </c>
      <c r="T38" s="107">
        <f t="shared" si="5"/>
        <v>0</v>
      </c>
      <c r="U38" s="107"/>
      <c r="V38" s="329">
        <f t="shared" si="6"/>
        <v>0</v>
      </c>
      <c r="W38" s="90"/>
    </row>
    <row r="39" spans="1:23" ht="15.5" x14ac:dyDescent="0.35">
      <c r="A39" s="103"/>
      <c r="B39" s="72"/>
      <c r="C39" s="72"/>
      <c r="D39" s="111">
        <f t="shared" si="12"/>
        <v>1</v>
      </c>
      <c r="E39" s="318">
        <f t="shared" si="7"/>
        <v>0</v>
      </c>
      <c r="F39" s="316"/>
      <c r="G39" s="339">
        <f t="shared" si="2"/>
        <v>0</v>
      </c>
      <c r="H39" s="330"/>
      <c r="I39" s="330"/>
      <c r="J39" s="330"/>
      <c r="K39" s="330"/>
      <c r="L39" s="330"/>
      <c r="M39" s="141">
        <f t="shared" si="8"/>
        <v>0</v>
      </c>
      <c r="N39" s="141" t="e">
        <f t="shared" ref="N39:N81" si="13">+M39/G39</f>
        <v>#DIV/0!</v>
      </c>
      <c r="O39" s="107"/>
      <c r="P39" s="138"/>
      <c r="Q39" s="149">
        <f t="shared" si="10"/>
        <v>0</v>
      </c>
      <c r="R39" s="149"/>
      <c r="S39" s="329">
        <f t="shared" si="11"/>
        <v>0</v>
      </c>
      <c r="T39" s="107">
        <f t="shared" si="5"/>
        <v>0</v>
      </c>
      <c r="U39" s="107"/>
      <c r="V39" s="329">
        <f t="shared" si="6"/>
        <v>0</v>
      </c>
      <c r="W39" s="90"/>
    </row>
    <row r="40" spans="1:23" ht="15.5" x14ac:dyDescent="0.35">
      <c r="A40" s="103"/>
      <c r="B40" s="72"/>
      <c r="C40" s="72"/>
      <c r="D40" s="111">
        <f t="shared" si="12"/>
        <v>1</v>
      </c>
      <c r="E40" s="318">
        <f t="shared" si="7"/>
        <v>0</v>
      </c>
      <c r="F40" s="316"/>
      <c r="G40" s="339">
        <f t="shared" si="2"/>
        <v>0</v>
      </c>
      <c r="H40" s="330"/>
      <c r="I40" s="330"/>
      <c r="J40" s="330"/>
      <c r="K40" s="330"/>
      <c r="L40" s="330"/>
      <c r="M40" s="141">
        <f t="shared" si="8"/>
        <v>0</v>
      </c>
      <c r="N40" s="141" t="e">
        <f t="shared" si="13"/>
        <v>#DIV/0!</v>
      </c>
      <c r="O40" s="107"/>
      <c r="P40" s="138"/>
      <c r="Q40" s="149">
        <f t="shared" si="10"/>
        <v>0</v>
      </c>
      <c r="R40" s="149"/>
      <c r="S40" s="329">
        <f t="shared" si="11"/>
        <v>0</v>
      </c>
      <c r="T40" s="107">
        <f t="shared" si="5"/>
        <v>0</v>
      </c>
      <c r="U40" s="107"/>
      <c r="V40" s="329">
        <f t="shared" si="6"/>
        <v>0</v>
      </c>
      <c r="W40" s="90"/>
    </row>
    <row r="41" spans="1:23" ht="15.5" x14ac:dyDescent="0.35">
      <c r="A41" s="103"/>
      <c r="B41" s="72"/>
      <c r="C41" s="72"/>
      <c r="D41" s="111">
        <f t="shared" si="12"/>
        <v>1</v>
      </c>
      <c r="E41" s="318">
        <f t="shared" si="7"/>
        <v>0</v>
      </c>
      <c r="F41" s="316"/>
      <c r="G41" s="339">
        <f t="shared" si="2"/>
        <v>0</v>
      </c>
      <c r="H41" s="330"/>
      <c r="I41" s="330"/>
      <c r="J41" s="330"/>
      <c r="K41" s="330"/>
      <c r="L41" s="330"/>
      <c r="M41" s="141">
        <f t="shared" si="8"/>
        <v>0</v>
      </c>
      <c r="N41" s="141" t="e">
        <f t="shared" si="13"/>
        <v>#DIV/0!</v>
      </c>
      <c r="O41" s="107"/>
      <c r="P41" s="138"/>
      <c r="Q41" s="149">
        <f t="shared" si="10"/>
        <v>0</v>
      </c>
      <c r="R41" s="149"/>
      <c r="S41" s="329">
        <f t="shared" si="11"/>
        <v>0</v>
      </c>
      <c r="T41" s="107">
        <f t="shared" si="5"/>
        <v>0</v>
      </c>
      <c r="U41" s="107"/>
      <c r="V41" s="329">
        <f t="shared" si="6"/>
        <v>0</v>
      </c>
      <c r="W41" s="90"/>
    </row>
    <row r="42" spans="1:23" ht="15.5" x14ac:dyDescent="0.35">
      <c r="A42" s="103"/>
      <c r="B42" s="72"/>
      <c r="C42" s="72"/>
      <c r="D42" s="111">
        <f t="shared" si="12"/>
        <v>1</v>
      </c>
      <c r="E42" s="318">
        <f t="shared" si="7"/>
        <v>0</v>
      </c>
      <c r="F42" s="316"/>
      <c r="G42" s="339">
        <f t="shared" si="2"/>
        <v>0</v>
      </c>
      <c r="H42" s="330"/>
      <c r="I42" s="330"/>
      <c r="J42" s="330"/>
      <c r="K42" s="330"/>
      <c r="L42" s="330"/>
      <c r="M42" s="141">
        <f t="shared" si="8"/>
        <v>0</v>
      </c>
      <c r="N42" s="141" t="e">
        <f t="shared" si="13"/>
        <v>#DIV/0!</v>
      </c>
      <c r="O42" s="137"/>
      <c r="P42" s="138"/>
      <c r="Q42" s="149">
        <f t="shared" si="10"/>
        <v>0</v>
      </c>
      <c r="R42" s="149"/>
      <c r="S42" s="329">
        <f t="shared" si="11"/>
        <v>0</v>
      </c>
      <c r="T42" s="107">
        <f t="shared" si="5"/>
        <v>0</v>
      </c>
      <c r="U42" s="107"/>
      <c r="V42" s="329">
        <f t="shared" si="6"/>
        <v>0</v>
      </c>
      <c r="W42" s="90"/>
    </row>
    <row r="43" spans="1:23" ht="15.5" x14ac:dyDescent="0.35">
      <c r="A43" s="103"/>
      <c r="B43" s="72"/>
      <c r="C43" s="72"/>
      <c r="D43" s="111">
        <f t="shared" si="12"/>
        <v>1</v>
      </c>
      <c r="E43" s="318">
        <f t="shared" si="7"/>
        <v>0</v>
      </c>
      <c r="F43" s="316"/>
      <c r="G43" s="339">
        <f t="shared" si="2"/>
        <v>0</v>
      </c>
      <c r="H43" s="330"/>
      <c r="I43" s="330"/>
      <c r="J43" s="330"/>
      <c r="K43" s="330"/>
      <c r="L43" s="330"/>
      <c r="M43" s="141">
        <f t="shared" si="8"/>
        <v>0</v>
      </c>
      <c r="N43" s="141" t="e">
        <f t="shared" si="13"/>
        <v>#DIV/0!</v>
      </c>
      <c r="O43" s="137"/>
      <c r="P43" s="138"/>
      <c r="Q43" s="149">
        <f t="shared" si="10"/>
        <v>0</v>
      </c>
      <c r="R43" s="149"/>
      <c r="S43" s="329">
        <f t="shared" si="11"/>
        <v>0</v>
      </c>
      <c r="T43" s="107">
        <f t="shared" si="5"/>
        <v>0</v>
      </c>
      <c r="U43" s="107"/>
      <c r="V43" s="329">
        <f t="shared" si="6"/>
        <v>0</v>
      </c>
      <c r="W43" s="90"/>
    </row>
    <row r="44" spans="1:23" ht="15.5" x14ac:dyDescent="0.35">
      <c r="A44" s="103"/>
      <c r="B44" s="72"/>
      <c r="C44" s="72"/>
      <c r="D44" s="111">
        <f t="shared" si="12"/>
        <v>1</v>
      </c>
      <c r="E44" s="318">
        <f t="shared" si="7"/>
        <v>0</v>
      </c>
      <c r="F44" s="316"/>
      <c r="G44" s="339">
        <f t="shared" si="2"/>
        <v>0</v>
      </c>
      <c r="H44" s="330"/>
      <c r="I44" s="330"/>
      <c r="J44" s="330"/>
      <c r="K44" s="330"/>
      <c r="L44" s="330"/>
      <c r="M44" s="141">
        <f t="shared" si="8"/>
        <v>0</v>
      </c>
      <c r="N44" s="141" t="e">
        <f t="shared" si="13"/>
        <v>#DIV/0!</v>
      </c>
      <c r="O44" s="77"/>
      <c r="P44" s="138"/>
      <c r="Q44" s="149">
        <f t="shared" si="10"/>
        <v>0</v>
      </c>
      <c r="R44" s="149"/>
      <c r="S44" s="329">
        <f t="shared" si="11"/>
        <v>0</v>
      </c>
      <c r="T44" s="107">
        <f t="shared" si="5"/>
        <v>0</v>
      </c>
      <c r="U44" s="107"/>
      <c r="V44" s="329">
        <f t="shared" si="6"/>
        <v>0</v>
      </c>
      <c r="W44" s="90"/>
    </row>
    <row r="45" spans="1:23" ht="15.5" x14ac:dyDescent="0.35">
      <c r="A45" s="103"/>
      <c r="B45" s="72"/>
      <c r="C45" s="72"/>
      <c r="D45" s="111">
        <f t="shared" si="12"/>
        <v>1</v>
      </c>
      <c r="E45" s="318">
        <f t="shared" si="7"/>
        <v>0</v>
      </c>
      <c r="F45" s="316"/>
      <c r="G45" s="339">
        <f t="shared" si="2"/>
        <v>0</v>
      </c>
      <c r="H45" s="330"/>
      <c r="I45" s="330"/>
      <c r="J45" s="330"/>
      <c r="K45" s="330"/>
      <c r="L45" s="330"/>
      <c r="M45" s="141">
        <f t="shared" si="8"/>
        <v>0</v>
      </c>
      <c r="N45" s="141" t="e">
        <f t="shared" si="13"/>
        <v>#DIV/0!</v>
      </c>
      <c r="O45" s="137"/>
      <c r="P45" s="138"/>
      <c r="Q45" s="149">
        <f t="shared" si="10"/>
        <v>0</v>
      </c>
      <c r="R45" s="149"/>
      <c r="S45" s="329">
        <f t="shared" si="11"/>
        <v>0</v>
      </c>
      <c r="T45" s="107">
        <f t="shared" si="5"/>
        <v>0</v>
      </c>
      <c r="U45" s="107"/>
      <c r="V45" s="329">
        <f t="shared" si="6"/>
        <v>0</v>
      </c>
      <c r="W45" s="90"/>
    </row>
    <row r="46" spans="1:23" ht="15.5" x14ac:dyDescent="0.35">
      <c r="A46" s="103"/>
      <c r="B46" s="72"/>
      <c r="C46" s="72"/>
      <c r="D46" s="111">
        <f t="shared" si="12"/>
        <v>1</v>
      </c>
      <c r="E46" s="318">
        <f t="shared" si="7"/>
        <v>0</v>
      </c>
      <c r="F46" s="319"/>
      <c r="G46" s="339">
        <f t="shared" si="2"/>
        <v>0</v>
      </c>
      <c r="H46" s="330"/>
      <c r="I46" s="330"/>
      <c r="J46" s="330"/>
      <c r="K46" s="330"/>
      <c r="L46" s="330"/>
      <c r="M46" s="141">
        <f t="shared" si="8"/>
        <v>0</v>
      </c>
      <c r="N46" s="141" t="e">
        <f t="shared" si="13"/>
        <v>#DIV/0!</v>
      </c>
      <c r="O46" s="107"/>
      <c r="P46" s="138"/>
      <c r="Q46" s="149">
        <f t="shared" si="10"/>
        <v>0</v>
      </c>
      <c r="R46" s="149"/>
      <c r="S46" s="329">
        <f t="shared" si="11"/>
        <v>0</v>
      </c>
      <c r="T46" s="107">
        <f t="shared" si="5"/>
        <v>0</v>
      </c>
      <c r="U46" s="107"/>
      <c r="V46" s="329">
        <f t="shared" si="6"/>
        <v>0</v>
      </c>
      <c r="W46" s="90"/>
    </row>
    <row r="47" spans="1:23" ht="15.5" x14ac:dyDescent="0.35">
      <c r="A47" s="103"/>
      <c r="B47" s="72"/>
      <c r="C47" s="79"/>
      <c r="D47" s="111">
        <f t="shared" si="12"/>
        <v>1</v>
      </c>
      <c r="E47" s="318">
        <f t="shared" si="7"/>
        <v>0</v>
      </c>
      <c r="F47" s="319"/>
      <c r="G47" s="339">
        <f t="shared" si="2"/>
        <v>0</v>
      </c>
      <c r="H47" s="330"/>
      <c r="I47" s="330"/>
      <c r="J47" s="330"/>
      <c r="K47" s="330"/>
      <c r="L47" s="330"/>
      <c r="M47" s="141">
        <f t="shared" si="8"/>
        <v>0</v>
      </c>
      <c r="N47" s="141" t="e">
        <f t="shared" si="13"/>
        <v>#DIV/0!</v>
      </c>
      <c r="O47" s="107"/>
      <c r="P47" s="138"/>
      <c r="Q47" s="149">
        <f t="shared" si="10"/>
        <v>0</v>
      </c>
      <c r="R47" s="149"/>
      <c r="S47" s="329">
        <f t="shared" si="11"/>
        <v>0</v>
      </c>
      <c r="T47" s="107">
        <f t="shared" si="5"/>
        <v>0</v>
      </c>
      <c r="U47" s="107"/>
      <c r="V47" s="329">
        <f t="shared" si="6"/>
        <v>0</v>
      </c>
      <c r="W47" s="90"/>
    </row>
    <row r="48" spans="1:23" ht="15.5" x14ac:dyDescent="0.35">
      <c r="A48" s="103"/>
      <c r="B48" s="72"/>
      <c r="C48" s="79"/>
      <c r="D48" s="111">
        <f t="shared" si="12"/>
        <v>1</v>
      </c>
      <c r="E48" s="318">
        <f t="shared" si="7"/>
        <v>0</v>
      </c>
      <c r="F48" s="319"/>
      <c r="G48" s="339">
        <f t="shared" si="2"/>
        <v>0</v>
      </c>
      <c r="H48" s="332"/>
      <c r="I48" s="332"/>
      <c r="J48" s="330"/>
      <c r="K48" s="330"/>
      <c r="L48" s="330"/>
      <c r="M48" s="141">
        <f t="shared" si="8"/>
        <v>0</v>
      </c>
      <c r="N48" s="141" t="e">
        <f t="shared" si="13"/>
        <v>#DIV/0!</v>
      </c>
      <c r="O48" s="137"/>
      <c r="P48" s="138"/>
      <c r="Q48" s="149">
        <f t="shared" si="10"/>
        <v>0</v>
      </c>
      <c r="R48" s="149"/>
      <c r="S48" s="329">
        <f t="shared" si="11"/>
        <v>0</v>
      </c>
      <c r="T48" s="107">
        <f t="shared" si="5"/>
        <v>0</v>
      </c>
      <c r="U48" s="107"/>
      <c r="V48" s="329">
        <f t="shared" si="6"/>
        <v>0</v>
      </c>
      <c r="W48" s="90"/>
    </row>
    <row r="49" spans="1:33" ht="15.5" x14ac:dyDescent="0.35">
      <c r="A49" s="103"/>
      <c r="B49" s="72"/>
      <c r="C49" s="79"/>
      <c r="D49" s="111">
        <f t="shared" si="12"/>
        <v>1</v>
      </c>
      <c r="E49" s="318">
        <f t="shared" si="7"/>
        <v>0</v>
      </c>
      <c r="F49" s="319"/>
      <c r="G49" s="339">
        <f t="shared" si="2"/>
        <v>0</v>
      </c>
      <c r="H49" s="332"/>
      <c r="I49" s="332"/>
      <c r="J49" s="330"/>
      <c r="K49" s="330"/>
      <c r="L49" s="330"/>
      <c r="M49" s="141">
        <f t="shared" si="8"/>
        <v>0</v>
      </c>
      <c r="N49" s="141" t="e">
        <f t="shared" si="13"/>
        <v>#DIV/0!</v>
      </c>
      <c r="O49" s="107"/>
      <c r="P49" s="138"/>
      <c r="Q49" s="149">
        <f t="shared" si="10"/>
        <v>0</v>
      </c>
      <c r="R49" s="149"/>
      <c r="S49" s="329">
        <f t="shared" si="11"/>
        <v>0</v>
      </c>
      <c r="T49" s="107">
        <f t="shared" si="5"/>
        <v>0</v>
      </c>
      <c r="U49" s="107"/>
      <c r="V49" s="329">
        <f t="shared" si="6"/>
        <v>0</v>
      </c>
      <c r="W49" s="90"/>
    </row>
    <row r="50" spans="1:33" ht="15.5" x14ac:dyDescent="0.35">
      <c r="A50" s="103"/>
      <c r="B50" s="72"/>
      <c r="C50" s="79"/>
      <c r="D50" s="111">
        <f t="shared" si="12"/>
        <v>1</v>
      </c>
      <c r="E50" s="318">
        <f t="shared" si="7"/>
        <v>0</v>
      </c>
      <c r="F50" s="319"/>
      <c r="G50" s="339">
        <f t="shared" si="2"/>
        <v>0</v>
      </c>
      <c r="H50" s="332"/>
      <c r="I50" s="332"/>
      <c r="J50" s="330"/>
      <c r="K50" s="330"/>
      <c r="L50" s="330"/>
      <c r="M50" s="141">
        <f t="shared" si="8"/>
        <v>0</v>
      </c>
      <c r="N50" s="141" t="e">
        <f t="shared" si="13"/>
        <v>#DIV/0!</v>
      </c>
      <c r="O50" s="107"/>
      <c r="P50" s="138"/>
      <c r="Q50" s="149">
        <f t="shared" si="10"/>
        <v>0</v>
      </c>
      <c r="R50" s="149"/>
      <c r="S50" s="329">
        <f t="shared" si="11"/>
        <v>0</v>
      </c>
      <c r="T50" s="107">
        <f t="shared" si="5"/>
        <v>0</v>
      </c>
      <c r="U50" s="107"/>
      <c r="V50" s="329">
        <f t="shared" si="6"/>
        <v>0</v>
      </c>
      <c r="W50" s="90"/>
    </row>
    <row r="51" spans="1:33" ht="15.5" x14ac:dyDescent="0.35">
      <c r="A51" s="103"/>
      <c r="B51" s="72"/>
      <c r="C51" s="79"/>
      <c r="D51" s="111">
        <f t="shared" si="12"/>
        <v>1</v>
      </c>
      <c r="E51" s="318"/>
      <c r="F51" s="319"/>
      <c r="G51" s="339">
        <f t="shared" si="2"/>
        <v>0</v>
      </c>
      <c r="H51" s="332"/>
      <c r="I51" s="332"/>
      <c r="J51" s="330"/>
      <c r="K51" s="330"/>
      <c r="L51" s="330"/>
      <c r="M51" s="141">
        <f t="shared" si="8"/>
        <v>0</v>
      </c>
      <c r="N51" s="141" t="e">
        <f t="shared" si="13"/>
        <v>#DIV/0!</v>
      </c>
      <c r="O51" s="107"/>
      <c r="P51" s="138"/>
      <c r="Q51" s="149">
        <f t="shared" si="10"/>
        <v>0</v>
      </c>
      <c r="R51" s="149"/>
      <c r="S51" s="329">
        <f t="shared" si="11"/>
        <v>0</v>
      </c>
      <c r="T51" s="107">
        <f t="shared" si="5"/>
        <v>0</v>
      </c>
      <c r="U51" s="107"/>
      <c r="V51" s="329">
        <f t="shared" si="6"/>
        <v>0</v>
      </c>
      <c r="W51" s="90"/>
    </row>
    <row r="52" spans="1:33" ht="15.5" x14ac:dyDescent="0.35">
      <c r="A52" s="103"/>
      <c r="B52" s="72"/>
      <c r="C52" s="72"/>
      <c r="D52" s="111">
        <f t="shared" si="12"/>
        <v>1</v>
      </c>
      <c r="E52" s="318">
        <f t="shared" si="7"/>
        <v>0</v>
      </c>
      <c r="F52" s="319"/>
      <c r="G52" s="339">
        <f t="shared" si="2"/>
        <v>0</v>
      </c>
      <c r="H52" s="332"/>
      <c r="I52" s="332"/>
      <c r="J52" s="330"/>
      <c r="K52" s="330"/>
      <c r="L52" s="330"/>
      <c r="M52" s="141">
        <f t="shared" si="8"/>
        <v>0</v>
      </c>
      <c r="N52" s="141" t="e">
        <f t="shared" si="13"/>
        <v>#DIV/0!</v>
      </c>
      <c r="O52" s="107"/>
      <c r="P52" s="138"/>
      <c r="Q52" s="149">
        <f t="shared" si="10"/>
        <v>0</v>
      </c>
      <c r="R52" s="149"/>
      <c r="S52" s="329">
        <f t="shared" si="11"/>
        <v>0</v>
      </c>
      <c r="T52" s="107">
        <f t="shared" si="5"/>
        <v>0</v>
      </c>
      <c r="U52" s="107"/>
      <c r="V52" s="329">
        <f t="shared" si="6"/>
        <v>0</v>
      </c>
      <c r="W52" s="90"/>
    </row>
    <row r="53" spans="1:33" ht="15.5" x14ac:dyDescent="0.35">
      <c r="A53" s="103"/>
      <c r="B53" s="72"/>
      <c r="C53" s="72"/>
      <c r="D53" s="111">
        <f t="shared" si="12"/>
        <v>1</v>
      </c>
      <c r="E53" s="318">
        <f t="shared" si="7"/>
        <v>0</v>
      </c>
      <c r="F53" s="319"/>
      <c r="G53" s="339">
        <f t="shared" si="2"/>
        <v>0</v>
      </c>
      <c r="H53" s="332"/>
      <c r="I53" s="332"/>
      <c r="J53" s="330"/>
      <c r="K53" s="330"/>
      <c r="L53" s="330"/>
      <c r="M53" s="141">
        <f t="shared" si="8"/>
        <v>0</v>
      </c>
      <c r="N53" s="141" t="e">
        <f t="shared" si="13"/>
        <v>#DIV/0!</v>
      </c>
      <c r="O53" s="77"/>
      <c r="P53" s="138"/>
      <c r="Q53" s="149">
        <f t="shared" si="10"/>
        <v>0</v>
      </c>
      <c r="R53" s="149"/>
      <c r="S53" s="329">
        <f t="shared" si="11"/>
        <v>0</v>
      </c>
      <c r="T53" s="107">
        <f t="shared" si="5"/>
        <v>0</v>
      </c>
      <c r="U53" s="107"/>
      <c r="V53" s="329">
        <f t="shared" si="6"/>
        <v>0</v>
      </c>
      <c r="W53" s="90"/>
    </row>
    <row r="54" spans="1:33" ht="15.5" x14ac:dyDescent="0.35">
      <c r="A54" s="103"/>
      <c r="B54" s="72"/>
      <c r="C54" s="72"/>
      <c r="D54" s="111">
        <f t="shared" si="12"/>
        <v>1</v>
      </c>
      <c r="E54" s="318">
        <f t="shared" si="7"/>
        <v>0</v>
      </c>
      <c r="F54" s="319"/>
      <c r="G54" s="339">
        <f t="shared" si="2"/>
        <v>0</v>
      </c>
      <c r="H54" s="332"/>
      <c r="I54" s="332"/>
      <c r="J54" s="330"/>
      <c r="K54" s="330"/>
      <c r="L54" s="330"/>
      <c r="M54" s="141">
        <f t="shared" ref="M54:M87" si="14">+(H54*($H$6))+(J54*($J$6))+(K54*($K$6))+(L54*($L$6))</f>
        <v>0</v>
      </c>
      <c r="N54" s="141" t="e">
        <f t="shared" si="13"/>
        <v>#DIV/0!</v>
      </c>
      <c r="O54" s="137"/>
      <c r="P54" s="138"/>
      <c r="Q54" s="149">
        <f t="shared" si="10"/>
        <v>0</v>
      </c>
      <c r="R54" s="149"/>
      <c r="S54" s="329">
        <f t="shared" si="11"/>
        <v>0</v>
      </c>
      <c r="T54" s="107">
        <f t="shared" si="5"/>
        <v>0</v>
      </c>
      <c r="U54" s="107"/>
      <c r="V54" s="329">
        <f t="shared" si="6"/>
        <v>0</v>
      </c>
      <c r="W54" s="90"/>
    </row>
    <row r="55" spans="1:33" ht="15.5" x14ac:dyDescent="0.35">
      <c r="A55" s="103"/>
      <c r="B55" s="72"/>
      <c r="C55" s="72"/>
      <c r="D55" s="111">
        <f t="shared" si="12"/>
        <v>1</v>
      </c>
      <c r="E55" s="318">
        <f t="shared" si="7"/>
        <v>0</v>
      </c>
      <c r="F55" s="319"/>
      <c r="G55" s="339">
        <f t="shared" si="2"/>
        <v>0</v>
      </c>
      <c r="H55" s="332"/>
      <c r="I55" s="332"/>
      <c r="J55" s="330"/>
      <c r="K55" s="330"/>
      <c r="L55" s="330"/>
      <c r="M55" s="141">
        <f t="shared" si="14"/>
        <v>0</v>
      </c>
      <c r="N55" s="141" t="e">
        <f t="shared" si="13"/>
        <v>#DIV/0!</v>
      </c>
      <c r="O55" s="77"/>
      <c r="P55" s="138"/>
      <c r="Q55" s="149">
        <f t="shared" si="10"/>
        <v>0</v>
      </c>
      <c r="R55" s="149"/>
      <c r="S55" s="329">
        <f t="shared" si="11"/>
        <v>0</v>
      </c>
      <c r="T55" s="107">
        <f t="shared" si="5"/>
        <v>0</v>
      </c>
      <c r="U55" s="107"/>
      <c r="V55" s="329">
        <f t="shared" si="6"/>
        <v>0</v>
      </c>
      <c r="W55" s="90"/>
    </row>
    <row r="56" spans="1:33" ht="15.5" x14ac:dyDescent="0.35">
      <c r="A56" s="103"/>
      <c r="B56" s="72"/>
      <c r="C56" s="72"/>
      <c r="D56" s="111">
        <f t="shared" si="12"/>
        <v>1</v>
      </c>
      <c r="E56" s="318">
        <f t="shared" si="7"/>
        <v>0</v>
      </c>
      <c r="F56" s="319"/>
      <c r="G56" s="339">
        <f t="shared" si="2"/>
        <v>0</v>
      </c>
      <c r="H56" s="332"/>
      <c r="I56" s="332"/>
      <c r="J56" s="330"/>
      <c r="K56" s="330"/>
      <c r="L56" s="330"/>
      <c r="M56" s="141">
        <f t="shared" si="14"/>
        <v>0</v>
      </c>
      <c r="N56" s="141" t="e">
        <f t="shared" si="13"/>
        <v>#DIV/0!</v>
      </c>
      <c r="O56" s="77"/>
      <c r="P56" s="138"/>
      <c r="Q56" s="149">
        <f t="shared" si="10"/>
        <v>0</v>
      </c>
      <c r="R56" s="149"/>
      <c r="S56" s="329">
        <f t="shared" si="11"/>
        <v>0</v>
      </c>
      <c r="T56" s="107">
        <f t="shared" si="5"/>
        <v>0</v>
      </c>
      <c r="U56" s="107"/>
      <c r="V56" s="329">
        <f t="shared" si="6"/>
        <v>0</v>
      </c>
      <c r="W56" s="90"/>
    </row>
    <row r="57" spans="1:33" ht="15.5" x14ac:dyDescent="0.35">
      <c r="A57" s="103"/>
      <c r="B57" s="72"/>
      <c r="C57" s="72"/>
      <c r="D57" s="111">
        <f t="shared" si="12"/>
        <v>1</v>
      </c>
      <c r="E57" s="318">
        <f t="shared" si="7"/>
        <v>0</v>
      </c>
      <c r="F57" s="319"/>
      <c r="G57" s="339">
        <f t="shared" si="2"/>
        <v>0</v>
      </c>
      <c r="H57" s="332"/>
      <c r="I57" s="332"/>
      <c r="J57" s="330"/>
      <c r="K57" s="330"/>
      <c r="L57" s="330"/>
      <c r="M57" s="141">
        <f t="shared" si="14"/>
        <v>0</v>
      </c>
      <c r="N57" s="141" t="e">
        <f t="shared" si="13"/>
        <v>#DIV/0!</v>
      </c>
      <c r="O57" s="137"/>
      <c r="P57" s="138"/>
      <c r="Q57" s="149">
        <f t="shared" si="10"/>
        <v>0</v>
      </c>
      <c r="R57" s="149"/>
      <c r="S57" s="329">
        <f t="shared" si="11"/>
        <v>0</v>
      </c>
      <c r="T57" s="107">
        <f t="shared" si="5"/>
        <v>0</v>
      </c>
      <c r="U57" s="107"/>
      <c r="V57" s="329">
        <f t="shared" si="6"/>
        <v>0</v>
      </c>
      <c r="W57" s="90"/>
      <c r="AG57">
        <v>3</v>
      </c>
    </row>
    <row r="58" spans="1:33" ht="15.5" x14ac:dyDescent="0.35">
      <c r="A58" s="103"/>
      <c r="B58" s="72"/>
      <c r="C58" s="72"/>
      <c r="D58" s="111">
        <f t="shared" si="12"/>
        <v>1</v>
      </c>
      <c r="E58" s="318">
        <f t="shared" si="7"/>
        <v>0</v>
      </c>
      <c r="F58" s="319"/>
      <c r="G58" s="339">
        <f t="shared" si="2"/>
        <v>0</v>
      </c>
      <c r="H58" s="332"/>
      <c r="I58" s="332"/>
      <c r="J58" s="330"/>
      <c r="K58" s="330"/>
      <c r="L58" s="330"/>
      <c r="M58" s="141">
        <f t="shared" si="14"/>
        <v>0</v>
      </c>
      <c r="N58" s="141" t="e">
        <f t="shared" si="13"/>
        <v>#DIV/0!</v>
      </c>
      <c r="O58" s="107"/>
      <c r="P58" s="138"/>
      <c r="Q58" s="149">
        <f t="shared" si="10"/>
        <v>0</v>
      </c>
      <c r="R58" s="149"/>
      <c r="S58" s="329">
        <f t="shared" si="11"/>
        <v>0</v>
      </c>
      <c r="T58" s="107">
        <f t="shared" si="5"/>
        <v>0</v>
      </c>
      <c r="U58" s="107"/>
      <c r="V58" s="329">
        <f t="shared" si="6"/>
        <v>0</v>
      </c>
      <c r="W58" s="90"/>
    </row>
    <row r="59" spans="1:33" ht="15.5" x14ac:dyDescent="0.35">
      <c r="A59" s="103"/>
      <c r="B59" s="72"/>
      <c r="C59" s="72"/>
      <c r="D59" s="111">
        <f t="shared" ref="D59:D68" si="15">1+C59-B59</f>
        <v>1</v>
      </c>
      <c r="E59" s="318">
        <f t="shared" si="7"/>
        <v>0</v>
      </c>
      <c r="F59" s="316"/>
      <c r="G59" s="339">
        <f t="shared" si="2"/>
        <v>0</v>
      </c>
      <c r="H59" s="330"/>
      <c r="I59" s="330"/>
      <c r="J59" s="330"/>
      <c r="K59" s="330"/>
      <c r="L59" s="330"/>
      <c r="M59" s="141">
        <f t="shared" si="14"/>
        <v>0</v>
      </c>
      <c r="N59" s="141" t="e">
        <f t="shared" si="13"/>
        <v>#DIV/0!</v>
      </c>
      <c r="O59" s="107"/>
      <c r="P59" s="138"/>
      <c r="Q59" s="149">
        <f t="shared" si="10"/>
        <v>0</v>
      </c>
      <c r="R59" s="149"/>
      <c r="S59" s="329">
        <f t="shared" si="11"/>
        <v>0</v>
      </c>
      <c r="T59" s="107">
        <f t="shared" si="5"/>
        <v>0</v>
      </c>
      <c r="U59" s="107"/>
      <c r="V59" s="329">
        <f t="shared" si="6"/>
        <v>0</v>
      </c>
      <c r="W59" s="90"/>
    </row>
    <row r="60" spans="1:33" ht="15.5" x14ac:dyDescent="0.35">
      <c r="A60" s="103"/>
      <c r="B60" s="72"/>
      <c r="C60" s="72"/>
      <c r="D60" s="111">
        <f t="shared" si="15"/>
        <v>1</v>
      </c>
      <c r="E60" s="318">
        <f t="shared" si="7"/>
        <v>0</v>
      </c>
      <c r="F60" s="316"/>
      <c r="G60" s="339">
        <f t="shared" si="2"/>
        <v>0</v>
      </c>
      <c r="H60" s="330"/>
      <c r="I60" s="330"/>
      <c r="J60" s="330"/>
      <c r="K60" s="330"/>
      <c r="L60" s="330"/>
      <c r="M60" s="141">
        <f t="shared" si="14"/>
        <v>0</v>
      </c>
      <c r="N60" s="141" t="e">
        <f t="shared" si="13"/>
        <v>#DIV/0!</v>
      </c>
      <c r="O60" s="107"/>
      <c r="P60" s="138"/>
      <c r="Q60" s="149">
        <f t="shared" si="10"/>
        <v>0</v>
      </c>
      <c r="R60" s="149"/>
      <c r="S60" s="329">
        <f t="shared" si="11"/>
        <v>0</v>
      </c>
      <c r="T60" s="107">
        <f t="shared" si="5"/>
        <v>0</v>
      </c>
      <c r="U60" s="107"/>
      <c r="V60" s="329">
        <f t="shared" si="6"/>
        <v>0</v>
      </c>
      <c r="W60" s="90"/>
    </row>
    <row r="61" spans="1:33" ht="15.5" x14ac:dyDescent="0.35">
      <c r="A61" s="103"/>
      <c r="B61" s="72"/>
      <c r="C61" s="72"/>
      <c r="D61" s="111">
        <f t="shared" si="15"/>
        <v>1</v>
      </c>
      <c r="E61" s="318">
        <f t="shared" si="7"/>
        <v>0</v>
      </c>
      <c r="F61" s="316"/>
      <c r="G61" s="339">
        <f t="shared" si="2"/>
        <v>0</v>
      </c>
      <c r="H61" s="330"/>
      <c r="I61" s="330"/>
      <c r="J61" s="330"/>
      <c r="K61" s="330"/>
      <c r="L61" s="330"/>
      <c r="M61" s="141">
        <f t="shared" si="14"/>
        <v>0</v>
      </c>
      <c r="N61" s="141" t="e">
        <f t="shared" si="13"/>
        <v>#DIV/0!</v>
      </c>
      <c r="O61" s="77"/>
      <c r="P61" s="138"/>
      <c r="Q61" s="149">
        <f t="shared" si="10"/>
        <v>0</v>
      </c>
      <c r="R61" s="149"/>
      <c r="S61" s="329">
        <f t="shared" si="11"/>
        <v>0</v>
      </c>
      <c r="T61" s="107">
        <f t="shared" si="5"/>
        <v>0</v>
      </c>
      <c r="U61" s="107"/>
      <c r="V61" s="329">
        <f t="shared" si="6"/>
        <v>0</v>
      </c>
      <c r="W61" s="90"/>
    </row>
    <row r="62" spans="1:33" ht="15.5" x14ac:dyDescent="0.35">
      <c r="A62" s="103"/>
      <c r="B62" s="72"/>
      <c r="C62" s="72"/>
      <c r="D62" s="111">
        <f t="shared" si="15"/>
        <v>1</v>
      </c>
      <c r="E62" s="318">
        <f t="shared" si="7"/>
        <v>0</v>
      </c>
      <c r="F62" s="316"/>
      <c r="G62" s="339">
        <f t="shared" si="2"/>
        <v>0</v>
      </c>
      <c r="H62" s="330"/>
      <c r="I62" s="330"/>
      <c r="J62" s="330"/>
      <c r="K62" s="330"/>
      <c r="L62" s="330"/>
      <c r="M62" s="141">
        <f t="shared" si="14"/>
        <v>0</v>
      </c>
      <c r="N62" s="141" t="e">
        <f t="shared" si="13"/>
        <v>#DIV/0!</v>
      </c>
      <c r="O62" s="107"/>
      <c r="P62" s="138"/>
      <c r="Q62" s="149">
        <f t="shared" si="10"/>
        <v>0</v>
      </c>
      <c r="R62" s="149"/>
      <c r="S62" s="329">
        <f t="shared" si="11"/>
        <v>0</v>
      </c>
      <c r="T62" s="107">
        <f t="shared" si="5"/>
        <v>0</v>
      </c>
      <c r="U62" s="107"/>
      <c r="V62" s="329">
        <f t="shared" si="6"/>
        <v>0</v>
      </c>
      <c r="W62" s="90"/>
    </row>
    <row r="63" spans="1:33" ht="15.5" x14ac:dyDescent="0.35">
      <c r="A63" s="103"/>
      <c r="B63" s="72"/>
      <c r="C63" s="72"/>
      <c r="D63" s="111">
        <f t="shared" si="15"/>
        <v>1</v>
      </c>
      <c r="E63" s="318">
        <f t="shared" si="7"/>
        <v>0</v>
      </c>
      <c r="F63" s="316"/>
      <c r="G63" s="339">
        <f t="shared" si="2"/>
        <v>0</v>
      </c>
      <c r="H63" s="330"/>
      <c r="I63" s="330"/>
      <c r="J63" s="330"/>
      <c r="K63" s="330"/>
      <c r="L63" s="330"/>
      <c r="M63" s="141">
        <f t="shared" si="14"/>
        <v>0</v>
      </c>
      <c r="N63" s="141" t="e">
        <f t="shared" si="13"/>
        <v>#DIV/0!</v>
      </c>
      <c r="O63" s="137"/>
      <c r="P63" s="138"/>
      <c r="Q63" s="149">
        <f t="shared" si="10"/>
        <v>0</v>
      </c>
      <c r="R63" s="149"/>
      <c r="S63" s="329">
        <f t="shared" si="11"/>
        <v>0</v>
      </c>
      <c r="T63" s="107">
        <f t="shared" si="5"/>
        <v>0</v>
      </c>
      <c r="U63" s="107"/>
      <c r="V63" s="329">
        <f t="shared" si="6"/>
        <v>0</v>
      </c>
      <c r="W63" s="90"/>
    </row>
    <row r="64" spans="1:33" ht="15.5" x14ac:dyDescent="0.35">
      <c r="A64" s="103"/>
      <c r="B64" s="72"/>
      <c r="C64" s="72"/>
      <c r="D64" s="111">
        <f t="shared" si="15"/>
        <v>1</v>
      </c>
      <c r="E64" s="318">
        <f t="shared" si="7"/>
        <v>0</v>
      </c>
      <c r="F64" s="316"/>
      <c r="G64" s="339">
        <f t="shared" si="2"/>
        <v>0</v>
      </c>
      <c r="H64" s="330"/>
      <c r="I64" s="330"/>
      <c r="J64" s="330"/>
      <c r="K64" s="330"/>
      <c r="L64" s="330"/>
      <c r="M64" s="141">
        <f t="shared" si="14"/>
        <v>0</v>
      </c>
      <c r="N64" s="141" t="e">
        <f t="shared" si="13"/>
        <v>#DIV/0!</v>
      </c>
      <c r="O64" s="137"/>
      <c r="P64" s="138"/>
      <c r="Q64" s="149">
        <f t="shared" si="10"/>
        <v>0</v>
      </c>
      <c r="R64" s="149"/>
      <c r="S64" s="329">
        <f t="shared" si="11"/>
        <v>0</v>
      </c>
      <c r="T64" s="107">
        <f t="shared" si="5"/>
        <v>0</v>
      </c>
      <c r="U64" s="107"/>
      <c r="V64" s="329">
        <f t="shared" si="6"/>
        <v>0</v>
      </c>
      <c r="W64" s="90"/>
    </row>
    <row r="65" spans="1:23" ht="15.5" x14ac:dyDescent="0.35">
      <c r="A65" s="103"/>
      <c r="B65" s="72"/>
      <c r="C65" s="72"/>
      <c r="D65" s="111">
        <f t="shared" si="15"/>
        <v>1</v>
      </c>
      <c r="E65" s="318">
        <f t="shared" si="7"/>
        <v>0</v>
      </c>
      <c r="F65" s="316"/>
      <c r="G65" s="339">
        <f t="shared" si="2"/>
        <v>0</v>
      </c>
      <c r="H65" s="330"/>
      <c r="I65" s="330"/>
      <c r="J65" s="330"/>
      <c r="K65" s="330"/>
      <c r="L65" s="330"/>
      <c r="M65" s="141">
        <f t="shared" si="14"/>
        <v>0</v>
      </c>
      <c r="N65" s="141" t="e">
        <f t="shared" si="13"/>
        <v>#DIV/0!</v>
      </c>
      <c r="O65" s="77"/>
      <c r="P65" s="138"/>
      <c r="Q65" s="149">
        <f t="shared" si="10"/>
        <v>0</v>
      </c>
      <c r="R65" s="149"/>
      <c r="S65" s="329">
        <f t="shared" si="11"/>
        <v>0</v>
      </c>
      <c r="T65" s="107">
        <f t="shared" si="5"/>
        <v>0</v>
      </c>
      <c r="U65" s="107"/>
      <c r="V65" s="329">
        <f t="shared" si="6"/>
        <v>0</v>
      </c>
      <c r="W65" s="90"/>
    </row>
    <row r="66" spans="1:23" ht="15.5" x14ac:dyDescent="0.35">
      <c r="A66" s="103"/>
      <c r="B66" s="72"/>
      <c r="C66" s="72"/>
      <c r="D66" s="111">
        <f t="shared" si="15"/>
        <v>1</v>
      </c>
      <c r="E66" s="318">
        <f t="shared" si="7"/>
        <v>0</v>
      </c>
      <c r="F66" s="316"/>
      <c r="G66" s="339">
        <f t="shared" si="2"/>
        <v>0</v>
      </c>
      <c r="H66" s="330"/>
      <c r="I66" s="330"/>
      <c r="J66" s="330"/>
      <c r="K66" s="330"/>
      <c r="L66" s="330"/>
      <c r="M66" s="141">
        <f t="shared" si="14"/>
        <v>0</v>
      </c>
      <c r="N66" s="141" t="e">
        <f t="shared" si="13"/>
        <v>#DIV/0!</v>
      </c>
      <c r="O66" s="107"/>
      <c r="P66" s="138"/>
      <c r="Q66" s="149">
        <f t="shared" si="10"/>
        <v>0</v>
      </c>
      <c r="R66" s="149"/>
      <c r="S66" s="329">
        <f t="shared" si="11"/>
        <v>0</v>
      </c>
      <c r="T66" s="107">
        <f t="shared" si="5"/>
        <v>0</v>
      </c>
      <c r="U66" s="107"/>
      <c r="V66" s="329">
        <f t="shared" si="6"/>
        <v>0</v>
      </c>
      <c r="W66" s="90"/>
    </row>
    <row r="67" spans="1:23" ht="15.5" x14ac:dyDescent="0.35">
      <c r="A67" s="103"/>
      <c r="B67" s="72"/>
      <c r="C67" s="72"/>
      <c r="D67" s="111">
        <f t="shared" si="15"/>
        <v>1</v>
      </c>
      <c r="E67" s="318">
        <f t="shared" si="7"/>
        <v>0</v>
      </c>
      <c r="F67" s="316"/>
      <c r="G67" s="339">
        <f t="shared" si="2"/>
        <v>0</v>
      </c>
      <c r="H67" s="330"/>
      <c r="I67" s="330"/>
      <c r="J67" s="330"/>
      <c r="K67" s="330"/>
      <c r="L67" s="330"/>
      <c r="M67" s="141">
        <f t="shared" si="14"/>
        <v>0</v>
      </c>
      <c r="N67" s="141" t="e">
        <f t="shared" si="13"/>
        <v>#DIV/0!</v>
      </c>
      <c r="O67" s="107"/>
      <c r="P67" s="138"/>
      <c r="Q67" s="149">
        <f t="shared" si="10"/>
        <v>0</v>
      </c>
      <c r="R67" s="149"/>
      <c r="S67" s="329">
        <f t="shared" si="11"/>
        <v>0</v>
      </c>
      <c r="T67" s="107">
        <f t="shared" si="5"/>
        <v>0</v>
      </c>
      <c r="U67" s="107"/>
      <c r="V67" s="329">
        <f t="shared" si="6"/>
        <v>0</v>
      </c>
      <c r="W67" s="90"/>
    </row>
    <row r="68" spans="1:23" ht="15.5" x14ac:dyDescent="0.35">
      <c r="A68" s="103"/>
      <c r="B68" s="72"/>
      <c r="C68" s="72"/>
      <c r="D68" s="111">
        <f t="shared" si="15"/>
        <v>1</v>
      </c>
      <c r="E68" s="318">
        <f t="shared" si="7"/>
        <v>0</v>
      </c>
      <c r="F68" s="317"/>
      <c r="G68" s="339">
        <f>(F68-E68)/100</f>
        <v>0</v>
      </c>
      <c r="H68" s="112"/>
      <c r="I68" s="112"/>
      <c r="J68" s="112"/>
      <c r="K68" s="112"/>
      <c r="L68" s="112"/>
      <c r="M68" s="141">
        <f>+(H68*($H$6))+(J68*($J$6))+(K68*($K$6))+(L68*($L$6))</f>
        <v>0</v>
      </c>
      <c r="N68" s="141" t="e">
        <f t="shared" si="13"/>
        <v>#DIV/0!</v>
      </c>
      <c r="O68" s="107"/>
      <c r="P68" s="107"/>
      <c r="Q68" s="149">
        <f t="shared" si="10"/>
        <v>0</v>
      </c>
      <c r="R68" s="149"/>
      <c r="S68" s="329">
        <f t="shared" si="11"/>
        <v>0</v>
      </c>
      <c r="T68" s="107">
        <f t="shared" si="5"/>
        <v>0</v>
      </c>
      <c r="U68" s="107"/>
      <c r="V68" s="329">
        <f t="shared" si="6"/>
        <v>0</v>
      </c>
      <c r="W68" s="90"/>
    </row>
    <row r="69" spans="1:23" ht="15.5" x14ac:dyDescent="0.35">
      <c r="A69" s="103"/>
      <c r="B69" s="72"/>
      <c r="C69" s="72"/>
      <c r="D69" s="111">
        <f t="shared" ref="D69:D81" si="16">1+C69-B69</f>
        <v>1</v>
      </c>
      <c r="E69" s="318">
        <f t="shared" si="7"/>
        <v>0</v>
      </c>
      <c r="F69" s="317"/>
      <c r="G69" s="339">
        <f t="shared" ref="G69:G81" si="17">(F69-E69)/100</f>
        <v>0</v>
      </c>
      <c r="H69" s="112"/>
      <c r="I69" s="112"/>
      <c r="J69" s="112"/>
      <c r="K69" s="112"/>
      <c r="L69" s="112"/>
      <c r="M69" s="141">
        <f>+(H69*($H$6))+(J69*($J$6))+(K69*($K$6))+(L69*($L$6))</f>
        <v>0</v>
      </c>
      <c r="N69" s="141" t="e">
        <f t="shared" si="13"/>
        <v>#DIV/0!</v>
      </c>
      <c r="O69" s="77"/>
      <c r="P69" s="107"/>
      <c r="Q69" s="149">
        <f t="shared" si="10"/>
        <v>0</v>
      </c>
      <c r="R69" s="149"/>
      <c r="S69" s="329">
        <f t="shared" si="11"/>
        <v>0</v>
      </c>
      <c r="T69" s="107">
        <f t="shared" si="5"/>
        <v>0</v>
      </c>
      <c r="U69" s="107"/>
      <c r="V69" s="329">
        <f t="shared" si="6"/>
        <v>0</v>
      </c>
      <c r="W69" s="90"/>
    </row>
    <row r="70" spans="1:23" ht="15.5" x14ac:dyDescent="0.35">
      <c r="A70" s="103"/>
      <c r="B70" s="79"/>
      <c r="C70" s="79"/>
      <c r="D70" s="111">
        <f t="shared" si="16"/>
        <v>1</v>
      </c>
      <c r="E70" s="318">
        <f t="shared" si="7"/>
        <v>0</v>
      </c>
      <c r="F70" s="317"/>
      <c r="G70" s="329">
        <f t="shared" si="17"/>
        <v>0</v>
      </c>
      <c r="H70" s="112"/>
      <c r="I70" s="112"/>
      <c r="J70" s="112"/>
      <c r="K70" s="112"/>
      <c r="L70" s="112"/>
      <c r="M70" s="141">
        <f>+(H70*($H$6))+(J70*($J$6))+(K70*($K$6))+(L70*($L$6))</f>
        <v>0</v>
      </c>
      <c r="N70" s="141" t="e">
        <f t="shared" si="13"/>
        <v>#DIV/0!</v>
      </c>
      <c r="O70" s="77"/>
      <c r="P70" s="107"/>
      <c r="Q70" s="149">
        <f t="shared" si="10"/>
        <v>0</v>
      </c>
      <c r="R70" s="149"/>
      <c r="S70" s="329">
        <f t="shared" si="11"/>
        <v>0</v>
      </c>
      <c r="T70" s="107">
        <f t="shared" si="5"/>
        <v>0</v>
      </c>
      <c r="U70" s="107"/>
      <c r="V70" s="329">
        <f t="shared" si="6"/>
        <v>0</v>
      </c>
      <c r="W70" s="90"/>
    </row>
    <row r="71" spans="1:23" s="228" customFormat="1" ht="15.5" x14ac:dyDescent="0.35">
      <c r="A71" s="103"/>
      <c r="B71" s="79"/>
      <c r="C71" s="79"/>
      <c r="D71" s="111">
        <f t="shared" si="16"/>
        <v>1</v>
      </c>
      <c r="E71" s="318">
        <f t="shared" si="7"/>
        <v>0</v>
      </c>
      <c r="F71" s="317"/>
      <c r="G71" s="329">
        <f t="shared" si="17"/>
        <v>0</v>
      </c>
      <c r="H71" s="112"/>
      <c r="I71" s="112"/>
      <c r="J71" s="112"/>
      <c r="K71" s="112"/>
      <c r="L71" s="112"/>
      <c r="M71" s="232">
        <f>+(H71*($H$6))+(J71*($J$6))+(K71*($K$6))+(L71*($L$6))</f>
        <v>0</v>
      </c>
      <c r="N71" s="232" t="e">
        <f t="shared" si="13"/>
        <v>#DIV/0!</v>
      </c>
      <c r="O71" s="149"/>
      <c r="P71" s="149"/>
      <c r="Q71" s="149">
        <f t="shared" si="10"/>
        <v>0</v>
      </c>
      <c r="R71" s="149"/>
      <c r="S71" s="329">
        <f t="shared" si="11"/>
        <v>0</v>
      </c>
      <c r="T71" s="107">
        <f t="shared" si="5"/>
        <v>0</v>
      </c>
      <c r="U71" s="107"/>
      <c r="V71" s="329">
        <f t="shared" si="6"/>
        <v>0</v>
      </c>
      <c r="W71" s="244"/>
    </row>
    <row r="72" spans="1:23" ht="15.5" x14ac:dyDescent="0.35">
      <c r="A72" s="103"/>
      <c r="B72" s="72"/>
      <c r="C72" s="72"/>
      <c r="D72" s="111">
        <f t="shared" si="16"/>
        <v>1</v>
      </c>
      <c r="E72" s="318">
        <f t="shared" si="7"/>
        <v>0</v>
      </c>
      <c r="F72" s="319"/>
      <c r="G72" s="329">
        <f t="shared" si="17"/>
        <v>0</v>
      </c>
      <c r="H72" s="330"/>
      <c r="I72" s="330"/>
      <c r="J72" s="330"/>
      <c r="K72" s="330"/>
      <c r="L72" s="330"/>
      <c r="M72" s="141">
        <f>+(H72*($H$6))+(J72*($J$6))+(K72*($K$6))+(L72*($L$6))</f>
        <v>0</v>
      </c>
      <c r="N72" s="141" t="e">
        <f t="shared" si="13"/>
        <v>#DIV/0!</v>
      </c>
      <c r="O72" s="107"/>
      <c r="P72" s="107"/>
      <c r="Q72" s="149">
        <f t="shared" si="10"/>
        <v>0</v>
      </c>
      <c r="R72" s="149"/>
      <c r="S72" s="329">
        <f t="shared" si="11"/>
        <v>0</v>
      </c>
      <c r="T72" s="107">
        <f t="shared" ref="T72:T123" si="18">U71</f>
        <v>0</v>
      </c>
      <c r="U72" s="107"/>
      <c r="V72" s="329">
        <f t="shared" ref="V72:V109" si="19">(U72-T72)/100</f>
        <v>0</v>
      </c>
      <c r="W72" s="90"/>
    </row>
    <row r="73" spans="1:23" ht="15.5" x14ac:dyDescent="0.35">
      <c r="A73" s="103"/>
      <c r="B73" s="72"/>
      <c r="C73" s="72"/>
      <c r="D73" s="111">
        <f t="shared" si="16"/>
        <v>1</v>
      </c>
      <c r="E73" s="318">
        <f t="shared" ref="E73:E82" si="20">F72</f>
        <v>0</v>
      </c>
      <c r="F73" s="319"/>
      <c r="G73" s="329">
        <f t="shared" si="17"/>
        <v>0</v>
      </c>
      <c r="H73" s="330"/>
      <c r="I73" s="330"/>
      <c r="J73" s="330"/>
      <c r="K73" s="330"/>
      <c r="L73" s="330"/>
      <c r="M73" s="141">
        <f t="shared" ref="M73:M81" si="21">+(H73*($H$6))+(J73*($J$6))+(K73*($K$6))+(L73*($L$6))</f>
        <v>0</v>
      </c>
      <c r="N73" s="141" t="e">
        <f t="shared" si="13"/>
        <v>#DIV/0!</v>
      </c>
      <c r="O73" s="107"/>
      <c r="P73" s="138"/>
      <c r="Q73" s="149">
        <f t="shared" si="10"/>
        <v>0</v>
      </c>
      <c r="R73" s="149"/>
      <c r="S73" s="329">
        <f t="shared" si="11"/>
        <v>0</v>
      </c>
      <c r="T73" s="107">
        <f t="shared" si="18"/>
        <v>0</v>
      </c>
      <c r="U73" s="107"/>
      <c r="V73" s="329">
        <f t="shared" si="19"/>
        <v>0</v>
      </c>
      <c r="W73" s="90"/>
    </row>
    <row r="74" spans="1:23" ht="15.5" x14ac:dyDescent="0.35">
      <c r="A74" s="103"/>
      <c r="B74" s="72"/>
      <c r="C74" s="72"/>
      <c r="D74" s="111">
        <f t="shared" si="16"/>
        <v>1</v>
      </c>
      <c r="E74" s="318">
        <f t="shared" si="20"/>
        <v>0</v>
      </c>
      <c r="F74" s="319"/>
      <c r="G74" s="329">
        <f t="shared" si="17"/>
        <v>0</v>
      </c>
      <c r="H74" s="330"/>
      <c r="I74" s="330"/>
      <c r="J74" s="330"/>
      <c r="K74" s="330"/>
      <c r="L74" s="330"/>
      <c r="M74" s="141">
        <f t="shared" si="21"/>
        <v>0</v>
      </c>
      <c r="N74" s="141" t="e">
        <f t="shared" si="13"/>
        <v>#DIV/0!</v>
      </c>
      <c r="O74" s="107"/>
      <c r="P74" s="138"/>
      <c r="Q74" s="149">
        <f t="shared" si="10"/>
        <v>0</v>
      </c>
      <c r="R74" s="149"/>
      <c r="S74" s="329">
        <f t="shared" si="11"/>
        <v>0</v>
      </c>
      <c r="T74" s="107">
        <f t="shared" si="18"/>
        <v>0</v>
      </c>
      <c r="U74" s="107"/>
      <c r="V74" s="329">
        <f t="shared" si="19"/>
        <v>0</v>
      </c>
      <c r="W74" s="90"/>
    </row>
    <row r="75" spans="1:23" ht="15.5" x14ac:dyDescent="0.35">
      <c r="A75" s="103"/>
      <c r="B75" s="72"/>
      <c r="C75" s="72"/>
      <c r="D75" s="111">
        <f t="shared" si="16"/>
        <v>1</v>
      </c>
      <c r="E75" s="318">
        <f t="shared" si="20"/>
        <v>0</v>
      </c>
      <c r="F75" s="319"/>
      <c r="G75" s="329">
        <f t="shared" si="17"/>
        <v>0</v>
      </c>
      <c r="H75" s="330"/>
      <c r="I75" s="330"/>
      <c r="J75" s="330"/>
      <c r="K75" s="330"/>
      <c r="L75" s="330"/>
      <c r="M75" s="141">
        <f t="shared" si="21"/>
        <v>0</v>
      </c>
      <c r="N75" s="141" t="e">
        <f t="shared" si="13"/>
        <v>#DIV/0!</v>
      </c>
      <c r="O75" s="107"/>
      <c r="P75" s="138"/>
      <c r="Q75" s="149">
        <f t="shared" si="10"/>
        <v>0</v>
      </c>
      <c r="R75" s="149"/>
      <c r="S75" s="329">
        <f t="shared" si="11"/>
        <v>0</v>
      </c>
      <c r="T75" s="107">
        <f t="shared" si="18"/>
        <v>0</v>
      </c>
      <c r="U75" s="107"/>
      <c r="V75" s="329">
        <f t="shared" si="19"/>
        <v>0</v>
      </c>
      <c r="W75" s="90"/>
    </row>
    <row r="76" spans="1:23" ht="15.75" customHeight="1" x14ac:dyDescent="0.35">
      <c r="A76" s="103"/>
      <c r="B76" s="72"/>
      <c r="C76" s="72"/>
      <c r="D76" s="111">
        <f t="shared" si="16"/>
        <v>1</v>
      </c>
      <c r="E76" s="318">
        <f t="shared" si="20"/>
        <v>0</v>
      </c>
      <c r="F76" s="319"/>
      <c r="G76" s="329">
        <f t="shared" si="17"/>
        <v>0</v>
      </c>
      <c r="H76" s="330"/>
      <c r="I76" s="330"/>
      <c r="J76" s="330"/>
      <c r="K76" s="330"/>
      <c r="L76" s="330"/>
      <c r="M76" s="141">
        <f t="shared" si="21"/>
        <v>0</v>
      </c>
      <c r="N76" s="141" t="e">
        <f t="shared" si="13"/>
        <v>#DIV/0!</v>
      </c>
      <c r="O76" s="77"/>
      <c r="P76" s="138"/>
      <c r="Q76" s="149">
        <f t="shared" si="10"/>
        <v>0</v>
      </c>
      <c r="R76" s="149"/>
      <c r="S76" s="329">
        <f t="shared" si="11"/>
        <v>0</v>
      </c>
      <c r="T76" s="107">
        <f t="shared" si="18"/>
        <v>0</v>
      </c>
      <c r="U76" s="107"/>
      <c r="V76" s="329">
        <f t="shared" si="19"/>
        <v>0</v>
      </c>
      <c r="W76" s="90"/>
    </row>
    <row r="77" spans="1:23" ht="15.5" x14ac:dyDescent="0.35">
      <c r="A77" s="103"/>
      <c r="B77" s="72"/>
      <c r="C77" s="72"/>
      <c r="D77" s="111">
        <f t="shared" si="16"/>
        <v>1</v>
      </c>
      <c r="E77" s="318">
        <f t="shared" si="20"/>
        <v>0</v>
      </c>
      <c r="F77" s="319"/>
      <c r="G77" s="329">
        <f t="shared" si="17"/>
        <v>0</v>
      </c>
      <c r="H77" s="330"/>
      <c r="I77" s="330"/>
      <c r="J77" s="330"/>
      <c r="K77" s="330"/>
      <c r="L77" s="330"/>
      <c r="M77" s="141">
        <f t="shared" si="21"/>
        <v>0</v>
      </c>
      <c r="N77" s="141" t="e">
        <f t="shared" si="13"/>
        <v>#DIV/0!</v>
      </c>
      <c r="O77" s="137"/>
      <c r="P77" s="138"/>
      <c r="Q77" s="149">
        <f t="shared" si="10"/>
        <v>0</v>
      </c>
      <c r="R77" s="149"/>
      <c r="S77" s="329">
        <f t="shared" si="11"/>
        <v>0</v>
      </c>
      <c r="T77" s="107">
        <f t="shared" si="18"/>
        <v>0</v>
      </c>
      <c r="U77" s="107"/>
      <c r="V77" s="329">
        <f t="shared" si="19"/>
        <v>0</v>
      </c>
      <c r="W77" s="90"/>
    </row>
    <row r="78" spans="1:23" s="228" customFormat="1" ht="15.5" x14ac:dyDescent="0.35">
      <c r="A78" s="103"/>
      <c r="B78" s="79"/>
      <c r="C78" s="79"/>
      <c r="D78" s="111">
        <f t="shared" si="16"/>
        <v>1</v>
      </c>
      <c r="E78" s="318">
        <f t="shared" si="20"/>
        <v>0</v>
      </c>
      <c r="F78" s="319"/>
      <c r="G78" s="329">
        <f t="shared" si="17"/>
        <v>0</v>
      </c>
      <c r="H78" s="331"/>
      <c r="I78" s="331"/>
      <c r="J78" s="331"/>
      <c r="K78" s="331"/>
      <c r="L78" s="331"/>
      <c r="M78" s="232">
        <f t="shared" si="21"/>
        <v>0</v>
      </c>
      <c r="N78" s="232" t="e">
        <f t="shared" si="13"/>
        <v>#DIV/0!</v>
      </c>
      <c r="O78" s="109"/>
      <c r="P78" s="245"/>
      <c r="Q78" s="149">
        <f t="shared" si="10"/>
        <v>0</v>
      </c>
      <c r="R78" s="149"/>
      <c r="S78" s="329">
        <f t="shared" si="11"/>
        <v>0</v>
      </c>
      <c r="T78" s="107">
        <f t="shared" si="18"/>
        <v>0</v>
      </c>
      <c r="U78" s="149"/>
      <c r="V78" s="329">
        <f t="shared" si="19"/>
        <v>0</v>
      </c>
      <c r="W78" s="244"/>
    </row>
    <row r="79" spans="1:23" ht="15.5" x14ac:dyDescent="0.35">
      <c r="A79" s="103"/>
      <c r="B79" s="72"/>
      <c r="C79" s="72"/>
      <c r="D79" s="111">
        <f t="shared" si="16"/>
        <v>1</v>
      </c>
      <c r="E79" s="318">
        <f t="shared" si="20"/>
        <v>0</v>
      </c>
      <c r="F79" s="319"/>
      <c r="G79" s="329">
        <f t="shared" si="17"/>
        <v>0</v>
      </c>
      <c r="H79" s="330"/>
      <c r="I79" s="330"/>
      <c r="J79" s="330"/>
      <c r="K79" s="330"/>
      <c r="L79" s="330"/>
      <c r="M79" s="141">
        <f t="shared" si="21"/>
        <v>0</v>
      </c>
      <c r="N79" s="141" t="e">
        <f t="shared" si="13"/>
        <v>#DIV/0!</v>
      </c>
      <c r="O79" s="107"/>
      <c r="P79" s="138"/>
      <c r="Q79" s="149">
        <f t="shared" si="10"/>
        <v>0</v>
      </c>
      <c r="R79" s="149"/>
      <c r="S79" s="329">
        <f t="shared" si="11"/>
        <v>0</v>
      </c>
      <c r="T79" s="107">
        <f t="shared" si="18"/>
        <v>0</v>
      </c>
      <c r="U79" s="107"/>
      <c r="V79" s="329">
        <f t="shared" si="19"/>
        <v>0</v>
      </c>
      <c r="W79" s="90"/>
    </row>
    <row r="80" spans="1:23" ht="15.5" x14ac:dyDescent="0.35">
      <c r="A80" s="103"/>
      <c r="B80" s="72"/>
      <c r="C80" s="72"/>
      <c r="D80" s="111">
        <f t="shared" si="16"/>
        <v>1</v>
      </c>
      <c r="E80" s="318">
        <f t="shared" si="20"/>
        <v>0</v>
      </c>
      <c r="F80" s="319"/>
      <c r="G80" s="329">
        <f t="shared" si="17"/>
        <v>0</v>
      </c>
      <c r="H80" s="330"/>
      <c r="I80" s="330"/>
      <c r="J80" s="330"/>
      <c r="K80" s="330"/>
      <c r="L80" s="330"/>
      <c r="M80" s="141">
        <f t="shared" si="21"/>
        <v>0</v>
      </c>
      <c r="N80" s="141" t="e">
        <f t="shared" si="13"/>
        <v>#DIV/0!</v>
      </c>
      <c r="O80" s="137"/>
      <c r="P80" s="138"/>
      <c r="Q80" s="149">
        <f t="shared" si="10"/>
        <v>0</v>
      </c>
      <c r="R80" s="149"/>
      <c r="S80" s="329">
        <f t="shared" si="11"/>
        <v>0</v>
      </c>
      <c r="T80" s="107">
        <f t="shared" si="18"/>
        <v>0</v>
      </c>
      <c r="U80" s="107"/>
      <c r="V80" s="329">
        <f t="shared" si="19"/>
        <v>0</v>
      </c>
      <c r="W80" s="90"/>
    </row>
    <row r="81" spans="1:33" ht="15.5" x14ac:dyDescent="0.35">
      <c r="A81" s="103"/>
      <c r="B81" s="72"/>
      <c r="C81" s="72"/>
      <c r="D81" s="111">
        <f t="shared" si="16"/>
        <v>1</v>
      </c>
      <c r="E81" s="318">
        <f t="shared" si="20"/>
        <v>0</v>
      </c>
      <c r="F81" s="319"/>
      <c r="G81" s="329">
        <f t="shared" si="17"/>
        <v>0</v>
      </c>
      <c r="H81" s="330"/>
      <c r="I81" s="330"/>
      <c r="J81" s="330"/>
      <c r="K81" s="330"/>
      <c r="L81" s="330"/>
      <c r="M81" s="141">
        <f t="shared" si="21"/>
        <v>0</v>
      </c>
      <c r="N81" s="141" t="e">
        <f t="shared" si="13"/>
        <v>#DIV/0!</v>
      </c>
      <c r="O81" s="137"/>
      <c r="P81" s="138"/>
      <c r="Q81" s="149">
        <f t="shared" si="10"/>
        <v>0</v>
      </c>
      <c r="R81" s="149"/>
      <c r="S81" s="329">
        <f t="shared" si="11"/>
        <v>0</v>
      </c>
      <c r="T81" s="107">
        <f t="shared" si="18"/>
        <v>0</v>
      </c>
      <c r="U81" s="149"/>
      <c r="V81" s="329">
        <f t="shared" si="19"/>
        <v>0</v>
      </c>
      <c r="W81" s="90"/>
    </row>
    <row r="82" spans="1:33" ht="15.5" x14ac:dyDescent="0.35">
      <c r="A82" s="103"/>
      <c r="B82" s="72"/>
      <c r="C82" s="79"/>
      <c r="D82" s="111">
        <f>1+C82-B82</f>
        <v>1</v>
      </c>
      <c r="E82" s="318">
        <f t="shared" si="20"/>
        <v>0</v>
      </c>
      <c r="F82" s="319"/>
      <c r="G82" s="329">
        <f t="shared" si="2"/>
        <v>0</v>
      </c>
      <c r="H82" s="332"/>
      <c r="I82" s="332"/>
      <c r="J82" s="330"/>
      <c r="K82" s="330"/>
      <c r="L82" s="330"/>
      <c r="M82" s="141">
        <f t="shared" si="14"/>
        <v>0</v>
      </c>
      <c r="N82" s="141" t="e">
        <f t="shared" ref="N82:N102" si="22">+M82/G82</f>
        <v>#DIV/0!</v>
      </c>
      <c r="O82" s="107"/>
      <c r="P82" s="138"/>
      <c r="Q82" s="149">
        <f t="shared" si="10"/>
        <v>0</v>
      </c>
      <c r="R82" s="149"/>
      <c r="S82" s="329">
        <f t="shared" si="11"/>
        <v>0</v>
      </c>
      <c r="T82" s="107">
        <f t="shared" si="18"/>
        <v>0</v>
      </c>
      <c r="U82" s="107"/>
      <c r="V82" s="329">
        <f t="shared" si="19"/>
        <v>0</v>
      </c>
      <c r="W82" s="90"/>
    </row>
    <row r="83" spans="1:33" ht="15.5" x14ac:dyDescent="0.35">
      <c r="A83" s="103"/>
      <c r="B83" s="72"/>
      <c r="C83" s="72"/>
      <c r="D83" s="111">
        <f>1+C83-B83</f>
        <v>1</v>
      </c>
      <c r="E83" s="318">
        <f t="shared" ref="E83:E124" si="23">F82</f>
        <v>0</v>
      </c>
      <c r="F83" s="319"/>
      <c r="G83" s="329">
        <f t="shared" si="2"/>
        <v>0</v>
      </c>
      <c r="H83" s="332"/>
      <c r="I83" s="332"/>
      <c r="J83" s="330"/>
      <c r="K83" s="330"/>
      <c r="L83" s="330"/>
      <c r="M83" s="141">
        <f t="shared" si="14"/>
        <v>0</v>
      </c>
      <c r="N83" s="141" t="e">
        <f t="shared" si="22"/>
        <v>#DIV/0!</v>
      </c>
      <c r="O83" s="107"/>
      <c r="P83" s="138"/>
      <c r="Q83" s="149">
        <f t="shared" si="10"/>
        <v>0</v>
      </c>
      <c r="R83" s="149"/>
      <c r="S83" s="329">
        <f t="shared" si="11"/>
        <v>0</v>
      </c>
      <c r="T83" s="107">
        <f t="shared" si="18"/>
        <v>0</v>
      </c>
      <c r="U83" s="107"/>
      <c r="V83" s="329">
        <f t="shared" si="19"/>
        <v>0</v>
      </c>
      <c r="W83" s="90"/>
    </row>
    <row r="84" spans="1:33" ht="15.5" x14ac:dyDescent="0.35">
      <c r="A84" s="103"/>
      <c r="B84" s="72"/>
      <c r="C84" s="72"/>
      <c r="D84" s="111">
        <f>1+C84-B84</f>
        <v>1</v>
      </c>
      <c r="E84" s="318">
        <f t="shared" si="23"/>
        <v>0</v>
      </c>
      <c r="F84" s="319"/>
      <c r="G84" s="329">
        <f t="shared" si="2"/>
        <v>0</v>
      </c>
      <c r="H84" s="332"/>
      <c r="I84" s="332"/>
      <c r="J84" s="330"/>
      <c r="K84" s="330"/>
      <c r="L84" s="330"/>
      <c r="M84" s="141">
        <f t="shared" si="14"/>
        <v>0</v>
      </c>
      <c r="N84" s="141" t="e">
        <f t="shared" si="22"/>
        <v>#DIV/0!</v>
      </c>
      <c r="O84" s="77"/>
      <c r="P84" s="138"/>
      <c r="Q84" s="149">
        <f t="shared" si="10"/>
        <v>0</v>
      </c>
      <c r="R84" s="149"/>
      <c r="S84" s="329">
        <f t="shared" si="11"/>
        <v>0</v>
      </c>
      <c r="T84" s="107">
        <f t="shared" si="18"/>
        <v>0</v>
      </c>
      <c r="U84" s="107"/>
      <c r="V84" s="329">
        <f t="shared" si="19"/>
        <v>0</v>
      </c>
      <c r="W84" s="90"/>
    </row>
    <row r="85" spans="1:33" ht="15.5" x14ac:dyDescent="0.35">
      <c r="A85" s="103"/>
      <c r="B85" s="72"/>
      <c r="C85" s="72"/>
      <c r="D85" s="111">
        <f>1+C85-B85</f>
        <v>1</v>
      </c>
      <c r="E85" s="318">
        <f t="shared" si="23"/>
        <v>0</v>
      </c>
      <c r="F85" s="319"/>
      <c r="G85" s="329">
        <f t="shared" si="2"/>
        <v>0</v>
      </c>
      <c r="H85" s="332"/>
      <c r="I85" s="332"/>
      <c r="J85" s="330"/>
      <c r="K85" s="330"/>
      <c r="L85" s="330"/>
      <c r="M85" s="141">
        <f t="shared" si="14"/>
        <v>0</v>
      </c>
      <c r="N85" s="141" t="e">
        <f t="shared" si="22"/>
        <v>#DIV/0!</v>
      </c>
      <c r="O85" s="137"/>
      <c r="P85" s="138"/>
      <c r="Q85" s="149">
        <f t="shared" ref="Q85:Q104" si="24">R84</f>
        <v>0</v>
      </c>
      <c r="R85" s="149"/>
      <c r="S85" s="329">
        <f t="shared" si="11"/>
        <v>0</v>
      </c>
      <c r="T85" s="107">
        <f t="shared" si="18"/>
        <v>0</v>
      </c>
      <c r="U85" s="107"/>
      <c r="V85" s="329">
        <f t="shared" si="19"/>
        <v>0</v>
      </c>
      <c r="W85" s="90"/>
    </row>
    <row r="86" spans="1:33" ht="15.5" x14ac:dyDescent="0.35">
      <c r="A86" s="103"/>
      <c r="B86" s="72"/>
      <c r="C86" s="72"/>
      <c r="D86" s="111">
        <f t="shared" ref="D86:D124" si="25">1+C86-B86</f>
        <v>1</v>
      </c>
      <c r="E86" s="318">
        <f t="shared" si="23"/>
        <v>0</v>
      </c>
      <c r="F86" s="319"/>
      <c r="G86" s="329">
        <f t="shared" ref="G86:G91" si="26">(F86-E86)/100</f>
        <v>0</v>
      </c>
      <c r="H86" s="332"/>
      <c r="I86" s="332"/>
      <c r="J86" s="330"/>
      <c r="K86" s="330"/>
      <c r="L86" s="330"/>
      <c r="M86" s="141">
        <f t="shared" si="14"/>
        <v>0</v>
      </c>
      <c r="N86" s="141" t="e">
        <f t="shared" si="22"/>
        <v>#DIV/0!</v>
      </c>
      <c r="O86" s="77"/>
      <c r="P86" s="138"/>
      <c r="Q86" s="149">
        <f t="shared" si="24"/>
        <v>0</v>
      </c>
      <c r="R86" s="149"/>
      <c r="S86" s="329">
        <f t="shared" ref="S86:S121" si="27">(R86-Q86)/100</f>
        <v>0</v>
      </c>
      <c r="T86" s="107">
        <f t="shared" si="18"/>
        <v>0</v>
      </c>
      <c r="U86" s="107"/>
      <c r="V86" s="329">
        <f t="shared" si="19"/>
        <v>0</v>
      </c>
      <c r="W86" s="90"/>
    </row>
    <row r="87" spans="1:33" ht="15.5" x14ac:dyDescent="0.35">
      <c r="A87" s="103"/>
      <c r="B87" s="72"/>
      <c r="C87" s="72"/>
      <c r="D87" s="111">
        <f t="shared" si="25"/>
        <v>1</v>
      </c>
      <c r="E87" s="318">
        <f t="shared" si="23"/>
        <v>0</v>
      </c>
      <c r="F87" s="319"/>
      <c r="G87" s="329">
        <f t="shared" si="26"/>
        <v>0</v>
      </c>
      <c r="H87" s="332"/>
      <c r="I87" s="332"/>
      <c r="J87" s="330"/>
      <c r="K87" s="330"/>
      <c r="L87" s="330"/>
      <c r="M87" s="141">
        <f t="shared" si="14"/>
        <v>0</v>
      </c>
      <c r="N87" s="141" t="e">
        <f t="shared" si="22"/>
        <v>#DIV/0!</v>
      </c>
      <c r="O87" s="77"/>
      <c r="P87" s="138"/>
      <c r="Q87" s="149">
        <f t="shared" si="24"/>
        <v>0</v>
      </c>
      <c r="R87" s="149"/>
      <c r="S87" s="329">
        <f t="shared" si="27"/>
        <v>0</v>
      </c>
      <c r="T87" s="107">
        <f t="shared" si="18"/>
        <v>0</v>
      </c>
      <c r="U87" s="107"/>
      <c r="V87" s="329">
        <f t="shared" si="19"/>
        <v>0</v>
      </c>
      <c r="W87" s="90"/>
    </row>
    <row r="88" spans="1:33" ht="15.5" x14ac:dyDescent="0.35">
      <c r="A88" s="103"/>
      <c r="B88" s="72"/>
      <c r="C88" s="72"/>
      <c r="D88" s="111">
        <f t="shared" si="25"/>
        <v>1</v>
      </c>
      <c r="E88" s="318">
        <f t="shared" si="23"/>
        <v>0</v>
      </c>
      <c r="F88" s="319"/>
      <c r="G88" s="329">
        <f t="shared" si="26"/>
        <v>0</v>
      </c>
      <c r="H88" s="332"/>
      <c r="I88" s="332"/>
      <c r="J88" s="330"/>
      <c r="K88" s="330"/>
      <c r="L88" s="330"/>
      <c r="M88" s="141">
        <f t="shared" ref="M88:M125" si="28">+(H88*($H$6))+(J88*($J$6))+(K88*($K$6))+(L88*($L$6))</f>
        <v>0</v>
      </c>
      <c r="N88" s="141" t="e">
        <f t="shared" si="22"/>
        <v>#DIV/0!</v>
      </c>
      <c r="O88" s="137"/>
      <c r="P88" s="138"/>
      <c r="Q88" s="149">
        <f t="shared" si="24"/>
        <v>0</v>
      </c>
      <c r="R88" s="149"/>
      <c r="S88" s="329">
        <f t="shared" si="27"/>
        <v>0</v>
      </c>
      <c r="T88" s="107">
        <f t="shared" si="18"/>
        <v>0</v>
      </c>
      <c r="U88" s="107"/>
      <c r="V88" s="329">
        <f t="shared" si="19"/>
        <v>0</v>
      </c>
      <c r="W88" s="90"/>
      <c r="AG88">
        <v>3</v>
      </c>
    </row>
    <row r="89" spans="1:33" ht="15.5" x14ac:dyDescent="0.35">
      <c r="A89" s="103"/>
      <c r="B89" s="72"/>
      <c r="C89" s="72"/>
      <c r="D89" s="111">
        <f t="shared" si="25"/>
        <v>1</v>
      </c>
      <c r="E89" s="318">
        <f t="shared" si="23"/>
        <v>0</v>
      </c>
      <c r="F89" s="319"/>
      <c r="G89" s="329">
        <f t="shared" si="26"/>
        <v>0</v>
      </c>
      <c r="H89" s="332"/>
      <c r="I89" s="332"/>
      <c r="J89" s="330"/>
      <c r="K89" s="330"/>
      <c r="L89" s="330"/>
      <c r="M89" s="141">
        <f t="shared" si="28"/>
        <v>0</v>
      </c>
      <c r="N89" s="141" t="e">
        <f t="shared" si="22"/>
        <v>#DIV/0!</v>
      </c>
      <c r="O89" s="107"/>
      <c r="P89" s="138"/>
      <c r="Q89" s="149">
        <f t="shared" si="24"/>
        <v>0</v>
      </c>
      <c r="R89" s="149"/>
      <c r="S89" s="329">
        <f t="shared" si="27"/>
        <v>0</v>
      </c>
      <c r="T89" s="107">
        <f t="shared" si="18"/>
        <v>0</v>
      </c>
      <c r="U89" s="107"/>
      <c r="V89" s="329">
        <f t="shared" si="19"/>
        <v>0</v>
      </c>
      <c r="W89" s="90"/>
    </row>
    <row r="90" spans="1:33" ht="15.5" x14ac:dyDescent="0.35">
      <c r="A90" s="103"/>
      <c r="B90" s="72"/>
      <c r="C90" s="72"/>
      <c r="D90" s="111">
        <f t="shared" si="25"/>
        <v>1</v>
      </c>
      <c r="E90" s="318">
        <f t="shared" si="23"/>
        <v>0</v>
      </c>
      <c r="F90" s="318"/>
      <c r="G90" s="329">
        <f t="shared" si="26"/>
        <v>0</v>
      </c>
      <c r="H90" s="332"/>
      <c r="I90" s="332"/>
      <c r="J90" s="330"/>
      <c r="K90" s="330"/>
      <c r="L90" s="330"/>
      <c r="M90" s="141">
        <f t="shared" si="28"/>
        <v>0</v>
      </c>
      <c r="N90" s="141" t="e">
        <f t="shared" si="22"/>
        <v>#DIV/0!</v>
      </c>
      <c r="O90" s="137"/>
      <c r="P90" s="138"/>
      <c r="Q90" s="149">
        <f t="shared" si="24"/>
        <v>0</v>
      </c>
      <c r="R90" s="149"/>
      <c r="S90" s="329">
        <f t="shared" si="27"/>
        <v>0</v>
      </c>
      <c r="T90" s="107">
        <f t="shared" si="18"/>
        <v>0</v>
      </c>
      <c r="U90" s="107"/>
      <c r="V90" s="329">
        <f t="shared" si="19"/>
        <v>0</v>
      </c>
      <c r="W90" s="90"/>
    </row>
    <row r="91" spans="1:33" ht="15.5" x14ac:dyDescent="0.35">
      <c r="A91" s="103"/>
      <c r="B91" s="72"/>
      <c r="C91" s="72"/>
      <c r="D91" s="111">
        <f t="shared" si="25"/>
        <v>1</v>
      </c>
      <c r="E91" s="318">
        <f t="shared" si="23"/>
        <v>0</v>
      </c>
      <c r="F91" s="320"/>
      <c r="G91" s="329">
        <f t="shared" si="26"/>
        <v>0</v>
      </c>
      <c r="H91" s="332"/>
      <c r="I91" s="332"/>
      <c r="J91" s="330"/>
      <c r="K91" s="330"/>
      <c r="L91" s="330"/>
      <c r="M91" s="141">
        <f t="shared" si="28"/>
        <v>0</v>
      </c>
      <c r="N91" s="141" t="e">
        <f t="shared" si="22"/>
        <v>#DIV/0!</v>
      </c>
      <c r="O91" s="77"/>
      <c r="P91" s="138"/>
      <c r="Q91" s="149">
        <f t="shared" si="24"/>
        <v>0</v>
      </c>
      <c r="R91" s="149"/>
      <c r="S91" s="329">
        <f t="shared" si="27"/>
        <v>0</v>
      </c>
      <c r="T91" s="107">
        <f t="shared" si="18"/>
        <v>0</v>
      </c>
      <c r="U91" s="107"/>
      <c r="V91" s="329">
        <f t="shared" si="19"/>
        <v>0</v>
      </c>
      <c r="W91" s="90"/>
    </row>
    <row r="92" spans="1:33" ht="15.5" x14ac:dyDescent="0.35">
      <c r="A92" s="103"/>
      <c r="B92" s="72"/>
      <c r="C92" s="72"/>
      <c r="D92" s="111">
        <f t="shared" si="25"/>
        <v>1</v>
      </c>
      <c r="E92" s="318">
        <f t="shared" si="23"/>
        <v>0</v>
      </c>
      <c r="F92" s="320"/>
      <c r="G92" s="329">
        <f t="shared" ref="G92:G126" si="29">(F92-E92)/100</f>
        <v>0</v>
      </c>
      <c r="H92" s="330"/>
      <c r="I92" s="330"/>
      <c r="J92" s="330"/>
      <c r="K92" s="330"/>
      <c r="L92" s="330"/>
      <c r="M92" s="141">
        <f t="shared" si="28"/>
        <v>0</v>
      </c>
      <c r="N92" s="141" t="e">
        <f t="shared" si="22"/>
        <v>#DIV/0!</v>
      </c>
      <c r="O92" s="137"/>
      <c r="P92" s="138"/>
      <c r="Q92" s="149">
        <f t="shared" si="24"/>
        <v>0</v>
      </c>
      <c r="R92" s="149"/>
      <c r="S92" s="329">
        <f t="shared" si="27"/>
        <v>0</v>
      </c>
      <c r="T92" s="107">
        <f t="shared" si="18"/>
        <v>0</v>
      </c>
      <c r="U92" s="107"/>
      <c r="V92" s="329">
        <f t="shared" si="19"/>
        <v>0</v>
      </c>
      <c r="W92" s="90"/>
    </row>
    <row r="93" spans="1:33" ht="15.5" x14ac:dyDescent="0.35">
      <c r="A93" s="103"/>
      <c r="B93" s="72"/>
      <c r="C93" s="72"/>
      <c r="D93" s="111">
        <f t="shared" si="25"/>
        <v>1</v>
      </c>
      <c r="E93" s="318">
        <f t="shared" si="23"/>
        <v>0</v>
      </c>
      <c r="F93" s="320"/>
      <c r="G93" s="329">
        <f t="shared" si="29"/>
        <v>0</v>
      </c>
      <c r="H93" s="330"/>
      <c r="I93" s="330"/>
      <c r="J93" s="330"/>
      <c r="K93" s="330"/>
      <c r="L93" s="330"/>
      <c r="M93" s="141">
        <f t="shared" si="28"/>
        <v>0</v>
      </c>
      <c r="N93" s="141" t="e">
        <f t="shared" si="22"/>
        <v>#DIV/0!</v>
      </c>
      <c r="O93" s="137"/>
      <c r="P93" s="138"/>
      <c r="Q93" s="149">
        <f t="shared" si="24"/>
        <v>0</v>
      </c>
      <c r="R93" s="149"/>
      <c r="S93" s="329">
        <f t="shared" si="27"/>
        <v>0</v>
      </c>
      <c r="T93" s="107">
        <f t="shared" si="18"/>
        <v>0</v>
      </c>
      <c r="U93" s="107"/>
      <c r="V93" s="329">
        <f t="shared" si="19"/>
        <v>0</v>
      </c>
      <c r="W93" s="90"/>
    </row>
    <row r="94" spans="1:33" ht="15.5" x14ac:dyDescent="0.35">
      <c r="A94" s="103"/>
      <c r="B94" s="72"/>
      <c r="C94" s="72"/>
      <c r="D94" s="111">
        <f t="shared" si="25"/>
        <v>1</v>
      </c>
      <c r="E94" s="318">
        <f t="shared" si="23"/>
        <v>0</v>
      </c>
      <c r="F94" s="320"/>
      <c r="G94" s="329">
        <f t="shared" si="29"/>
        <v>0</v>
      </c>
      <c r="H94" s="330"/>
      <c r="I94" s="330"/>
      <c r="J94" s="330"/>
      <c r="K94" s="330"/>
      <c r="L94" s="330"/>
      <c r="M94" s="141">
        <f t="shared" si="28"/>
        <v>0</v>
      </c>
      <c r="N94" s="141" t="e">
        <f t="shared" si="22"/>
        <v>#DIV/0!</v>
      </c>
      <c r="O94" s="107"/>
      <c r="P94" s="138"/>
      <c r="Q94" s="149">
        <f t="shared" si="24"/>
        <v>0</v>
      </c>
      <c r="R94" s="149"/>
      <c r="S94" s="329">
        <f t="shared" si="27"/>
        <v>0</v>
      </c>
      <c r="T94" s="107">
        <f t="shared" si="18"/>
        <v>0</v>
      </c>
      <c r="U94" s="107"/>
      <c r="V94" s="329">
        <f t="shared" si="19"/>
        <v>0</v>
      </c>
      <c r="W94" s="90"/>
    </row>
    <row r="95" spans="1:33" ht="15.5" x14ac:dyDescent="0.35">
      <c r="A95" s="103"/>
      <c r="B95" s="72"/>
      <c r="C95" s="72"/>
      <c r="D95" s="111">
        <f t="shared" si="25"/>
        <v>1</v>
      </c>
      <c r="E95" s="318">
        <f t="shared" si="23"/>
        <v>0</v>
      </c>
      <c r="F95" s="318"/>
      <c r="G95" s="329">
        <f t="shared" si="29"/>
        <v>0</v>
      </c>
      <c r="H95" s="330"/>
      <c r="I95" s="330"/>
      <c r="J95" s="330"/>
      <c r="K95" s="330"/>
      <c r="L95" s="330"/>
      <c r="M95" s="141">
        <f t="shared" si="28"/>
        <v>0</v>
      </c>
      <c r="N95" s="141" t="e">
        <f t="shared" si="22"/>
        <v>#DIV/0!</v>
      </c>
      <c r="O95" s="137"/>
      <c r="P95" s="138"/>
      <c r="Q95" s="149">
        <f t="shared" si="24"/>
        <v>0</v>
      </c>
      <c r="R95" s="149"/>
      <c r="S95" s="329">
        <f t="shared" si="27"/>
        <v>0</v>
      </c>
      <c r="T95" s="107">
        <f t="shared" si="18"/>
        <v>0</v>
      </c>
      <c r="U95" s="107"/>
      <c r="V95" s="329">
        <f t="shared" si="19"/>
        <v>0</v>
      </c>
      <c r="W95" s="90"/>
    </row>
    <row r="96" spans="1:33" ht="15.5" x14ac:dyDescent="0.35">
      <c r="A96" s="103"/>
      <c r="B96" s="72"/>
      <c r="C96" s="72"/>
      <c r="D96" s="111">
        <f t="shared" si="25"/>
        <v>1</v>
      </c>
      <c r="E96" s="318">
        <f t="shared" si="23"/>
        <v>0</v>
      </c>
      <c r="F96" s="318"/>
      <c r="G96" s="329">
        <f t="shared" si="29"/>
        <v>0</v>
      </c>
      <c r="H96" s="330"/>
      <c r="I96" s="330"/>
      <c r="J96" s="330"/>
      <c r="K96" s="330"/>
      <c r="L96" s="330"/>
      <c r="M96" s="141">
        <f t="shared" si="28"/>
        <v>0</v>
      </c>
      <c r="N96" s="141" t="e">
        <f t="shared" si="22"/>
        <v>#DIV/0!</v>
      </c>
      <c r="O96" s="107"/>
      <c r="P96" s="138"/>
      <c r="Q96" s="149">
        <f t="shared" si="24"/>
        <v>0</v>
      </c>
      <c r="R96" s="149"/>
      <c r="S96" s="329">
        <f t="shared" si="27"/>
        <v>0</v>
      </c>
      <c r="T96" s="107">
        <f t="shared" si="18"/>
        <v>0</v>
      </c>
      <c r="U96" s="107"/>
      <c r="V96" s="329">
        <f t="shared" si="19"/>
        <v>0</v>
      </c>
      <c r="W96" s="90"/>
    </row>
    <row r="97" spans="1:23" ht="15.5" x14ac:dyDescent="0.35">
      <c r="A97" s="103"/>
      <c r="B97" s="72"/>
      <c r="C97" s="72"/>
      <c r="D97" s="111">
        <f t="shared" si="25"/>
        <v>1</v>
      </c>
      <c r="E97" s="318">
        <f t="shared" si="23"/>
        <v>0</v>
      </c>
      <c r="F97" s="318"/>
      <c r="G97" s="329">
        <f t="shared" si="29"/>
        <v>0</v>
      </c>
      <c r="H97" s="330"/>
      <c r="I97" s="330"/>
      <c r="J97" s="330"/>
      <c r="K97" s="330"/>
      <c r="L97" s="330"/>
      <c r="M97" s="141">
        <f t="shared" si="28"/>
        <v>0</v>
      </c>
      <c r="N97" s="141" t="e">
        <f t="shared" si="22"/>
        <v>#DIV/0!</v>
      </c>
      <c r="O97" s="77"/>
      <c r="P97" s="138"/>
      <c r="Q97" s="149">
        <f t="shared" si="24"/>
        <v>0</v>
      </c>
      <c r="R97" s="149"/>
      <c r="S97" s="329">
        <f t="shared" si="27"/>
        <v>0</v>
      </c>
      <c r="T97" s="107">
        <f t="shared" si="18"/>
        <v>0</v>
      </c>
      <c r="U97" s="107"/>
      <c r="V97" s="329">
        <f t="shared" si="19"/>
        <v>0</v>
      </c>
      <c r="W97" s="90"/>
    </row>
    <row r="98" spans="1:23" ht="15.5" x14ac:dyDescent="0.35">
      <c r="A98" s="103"/>
      <c r="B98" s="72"/>
      <c r="C98" s="72"/>
      <c r="D98" s="111">
        <f t="shared" si="25"/>
        <v>1</v>
      </c>
      <c r="E98" s="318">
        <f t="shared" si="23"/>
        <v>0</v>
      </c>
      <c r="F98" s="318"/>
      <c r="G98" s="329">
        <f t="shared" si="29"/>
        <v>0</v>
      </c>
      <c r="H98" s="330"/>
      <c r="I98" s="330"/>
      <c r="J98" s="330"/>
      <c r="K98" s="330"/>
      <c r="L98" s="330"/>
      <c r="M98" s="141">
        <f t="shared" si="28"/>
        <v>0</v>
      </c>
      <c r="N98" s="141" t="e">
        <f t="shared" si="22"/>
        <v>#DIV/0!</v>
      </c>
      <c r="O98" s="137"/>
      <c r="P98" s="138"/>
      <c r="Q98" s="149">
        <f t="shared" si="24"/>
        <v>0</v>
      </c>
      <c r="R98" s="149"/>
      <c r="S98" s="329">
        <f t="shared" si="27"/>
        <v>0</v>
      </c>
      <c r="T98" s="107">
        <f t="shared" si="18"/>
        <v>0</v>
      </c>
      <c r="U98" s="107"/>
      <c r="V98" s="329">
        <f t="shared" si="19"/>
        <v>0</v>
      </c>
      <c r="W98" s="90"/>
    </row>
    <row r="99" spans="1:23" ht="15.5" x14ac:dyDescent="0.35">
      <c r="A99" s="103"/>
      <c r="B99" s="72"/>
      <c r="C99" s="72"/>
      <c r="D99" s="111">
        <f t="shared" si="25"/>
        <v>1</v>
      </c>
      <c r="E99" s="318">
        <f t="shared" si="23"/>
        <v>0</v>
      </c>
      <c r="F99" s="318"/>
      <c r="G99" s="329">
        <f t="shared" si="29"/>
        <v>0</v>
      </c>
      <c r="H99" s="330"/>
      <c r="I99" s="330"/>
      <c r="J99" s="330"/>
      <c r="K99" s="330"/>
      <c r="L99" s="330"/>
      <c r="M99" s="141">
        <f t="shared" si="28"/>
        <v>0</v>
      </c>
      <c r="N99" s="141" t="e">
        <f t="shared" si="22"/>
        <v>#DIV/0!</v>
      </c>
      <c r="O99" s="137"/>
      <c r="P99" s="138"/>
      <c r="Q99" s="149">
        <f t="shared" si="24"/>
        <v>0</v>
      </c>
      <c r="R99" s="149"/>
      <c r="S99" s="329">
        <f t="shared" si="27"/>
        <v>0</v>
      </c>
      <c r="T99" s="107">
        <f t="shared" si="18"/>
        <v>0</v>
      </c>
      <c r="U99" s="107"/>
      <c r="V99" s="329">
        <f t="shared" si="19"/>
        <v>0</v>
      </c>
      <c r="W99" s="90"/>
    </row>
    <row r="100" spans="1:23" ht="15.5" x14ac:dyDescent="0.35">
      <c r="A100" s="103"/>
      <c r="B100" s="72"/>
      <c r="C100" s="72"/>
      <c r="D100" s="111">
        <f t="shared" si="25"/>
        <v>1</v>
      </c>
      <c r="E100" s="318">
        <f t="shared" si="23"/>
        <v>0</v>
      </c>
      <c r="F100" s="318"/>
      <c r="G100" s="329">
        <f t="shared" si="29"/>
        <v>0</v>
      </c>
      <c r="H100" s="330"/>
      <c r="I100" s="330"/>
      <c r="J100" s="330"/>
      <c r="K100" s="330"/>
      <c r="L100" s="330"/>
      <c r="M100" s="141">
        <f t="shared" si="28"/>
        <v>0</v>
      </c>
      <c r="N100" s="141" t="e">
        <f t="shared" si="22"/>
        <v>#DIV/0!</v>
      </c>
      <c r="O100" s="137"/>
      <c r="P100" s="138"/>
      <c r="Q100" s="149">
        <f t="shared" si="24"/>
        <v>0</v>
      </c>
      <c r="R100" s="149"/>
      <c r="S100" s="329">
        <f t="shared" si="27"/>
        <v>0</v>
      </c>
      <c r="T100" s="107">
        <f t="shared" si="18"/>
        <v>0</v>
      </c>
      <c r="U100" s="107"/>
      <c r="V100" s="329">
        <f t="shared" si="19"/>
        <v>0</v>
      </c>
      <c r="W100" s="90"/>
    </row>
    <row r="101" spans="1:23" ht="15.5" x14ac:dyDescent="0.35">
      <c r="A101" s="103"/>
      <c r="B101" s="72"/>
      <c r="C101" s="72"/>
      <c r="D101" s="111">
        <f t="shared" si="25"/>
        <v>1</v>
      </c>
      <c r="E101" s="318">
        <f t="shared" si="23"/>
        <v>0</v>
      </c>
      <c r="F101" s="318"/>
      <c r="G101" s="329">
        <f t="shared" si="29"/>
        <v>0</v>
      </c>
      <c r="H101" s="330"/>
      <c r="I101" s="330"/>
      <c r="J101" s="330"/>
      <c r="K101" s="330"/>
      <c r="L101" s="330"/>
      <c r="M101" s="141">
        <f t="shared" si="28"/>
        <v>0</v>
      </c>
      <c r="N101" s="141" t="e">
        <f t="shared" si="22"/>
        <v>#DIV/0!</v>
      </c>
      <c r="O101" s="107"/>
      <c r="P101" s="138"/>
      <c r="Q101" s="149">
        <f t="shared" si="24"/>
        <v>0</v>
      </c>
      <c r="R101" s="149"/>
      <c r="S101" s="329">
        <f t="shared" si="27"/>
        <v>0</v>
      </c>
      <c r="T101" s="107">
        <f t="shared" si="18"/>
        <v>0</v>
      </c>
      <c r="U101" s="107"/>
      <c r="V101" s="329">
        <f t="shared" si="19"/>
        <v>0</v>
      </c>
      <c r="W101" s="90"/>
    </row>
    <row r="102" spans="1:23" ht="15.5" x14ac:dyDescent="0.35">
      <c r="A102" s="103"/>
      <c r="B102" s="72"/>
      <c r="C102" s="72"/>
      <c r="D102" s="111">
        <f t="shared" si="25"/>
        <v>1</v>
      </c>
      <c r="E102" s="318">
        <f t="shared" si="23"/>
        <v>0</v>
      </c>
      <c r="F102" s="318"/>
      <c r="G102" s="329">
        <f t="shared" si="29"/>
        <v>0</v>
      </c>
      <c r="H102" s="330"/>
      <c r="I102" s="330"/>
      <c r="J102" s="330"/>
      <c r="K102" s="330"/>
      <c r="L102" s="330"/>
      <c r="M102" s="141">
        <f t="shared" si="28"/>
        <v>0</v>
      </c>
      <c r="N102" s="141" t="e">
        <f t="shared" si="22"/>
        <v>#DIV/0!</v>
      </c>
      <c r="O102" s="107"/>
      <c r="P102" s="138"/>
      <c r="Q102" s="149">
        <f t="shared" si="24"/>
        <v>0</v>
      </c>
      <c r="R102" s="149"/>
      <c r="S102" s="329">
        <f t="shared" si="27"/>
        <v>0</v>
      </c>
      <c r="T102" s="107">
        <f t="shared" si="18"/>
        <v>0</v>
      </c>
      <c r="U102" s="107"/>
      <c r="V102" s="329">
        <f t="shared" si="19"/>
        <v>0</v>
      </c>
      <c r="W102" s="90"/>
    </row>
    <row r="103" spans="1:23" ht="15.5" x14ac:dyDescent="0.35">
      <c r="A103" s="103"/>
      <c r="B103" s="72"/>
      <c r="C103" s="72"/>
      <c r="D103" s="111">
        <f t="shared" si="25"/>
        <v>1</v>
      </c>
      <c r="E103" s="318">
        <f t="shared" si="23"/>
        <v>0</v>
      </c>
      <c r="F103" s="318"/>
      <c r="G103" s="329">
        <f t="shared" si="29"/>
        <v>0</v>
      </c>
      <c r="H103" s="330"/>
      <c r="I103" s="330"/>
      <c r="J103" s="330"/>
      <c r="K103" s="330"/>
      <c r="L103" s="330"/>
      <c r="M103" s="141">
        <f t="shared" si="28"/>
        <v>0</v>
      </c>
      <c r="N103" s="141" t="e">
        <f t="shared" ref="N103:N126" si="30">+M103/G103</f>
        <v>#DIV/0!</v>
      </c>
      <c r="O103" s="107"/>
      <c r="P103" s="138"/>
      <c r="Q103" s="149">
        <f t="shared" si="24"/>
        <v>0</v>
      </c>
      <c r="R103" s="149"/>
      <c r="S103" s="329">
        <f t="shared" si="27"/>
        <v>0</v>
      </c>
      <c r="T103" s="107">
        <f t="shared" si="18"/>
        <v>0</v>
      </c>
      <c r="U103" s="107"/>
      <c r="V103" s="329">
        <f t="shared" si="19"/>
        <v>0</v>
      </c>
      <c r="W103" s="90"/>
    </row>
    <row r="104" spans="1:23" ht="15.5" x14ac:dyDescent="0.35">
      <c r="A104" s="103"/>
      <c r="B104" s="72"/>
      <c r="C104" s="72"/>
      <c r="D104" s="111">
        <f t="shared" si="25"/>
        <v>1</v>
      </c>
      <c r="E104" s="318">
        <f t="shared" si="23"/>
        <v>0</v>
      </c>
      <c r="F104" s="320"/>
      <c r="G104" s="329">
        <f t="shared" si="29"/>
        <v>0</v>
      </c>
      <c r="H104" s="330"/>
      <c r="I104" s="330"/>
      <c r="J104" s="330"/>
      <c r="K104" s="330"/>
      <c r="L104" s="330"/>
      <c r="M104" s="141">
        <f t="shared" si="28"/>
        <v>0</v>
      </c>
      <c r="N104" s="141" t="e">
        <f t="shared" si="30"/>
        <v>#DIV/0!</v>
      </c>
      <c r="O104" s="107"/>
      <c r="P104" s="138"/>
      <c r="Q104" s="149">
        <f t="shared" si="24"/>
        <v>0</v>
      </c>
      <c r="R104" s="149"/>
      <c r="S104" s="329">
        <f t="shared" si="27"/>
        <v>0</v>
      </c>
      <c r="T104" s="107">
        <f t="shared" si="18"/>
        <v>0</v>
      </c>
      <c r="U104" s="107"/>
      <c r="V104" s="329">
        <f t="shared" si="19"/>
        <v>0</v>
      </c>
      <c r="W104" s="90"/>
    </row>
    <row r="105" spans="1:23" ht="15.5" x14ac:dyDescent="0.35">
      <c r="A105" s="103"/>
      <c r="B105" s="72"/>
      <c r="C105" s="72"/>
      <c r="D105" s="111">
        <f t="shared" si="25"/>
        <v>1</v>
      </c>
      <c r="E105" s="318">
        <f t="shared" si="23"/>
        <v>0</v>
      </c>
      <c r="F105" s="320"/>
      <c r="G105" s="329">
        <f t="shared" si="29"/>
        <v>0</v>
      </c>
      <c r="H105" s="330"/>
      <c r="I105" s="330"/>
      <c r="J105" s="330"/>
      <c r="K105" s="330"/>
      <c r="L105" s="330"/>
      <c r="M105" s="141">
        <f t="shared" si="28"/>
        <v>0</v>
      </c>
      <c r="N105" s="141" t="e">
        <f t="shared" si="30"/>
        <v>#DIV/0!</v>
      </c>
      <c r="O105" s="107"/>
      <c r="P105" s="138"/>
      <c r="Q105" s="149">
        <f t="shared" ref="Q105:Q123" si="31">R104</f>
        <v>0</v>
      </c>
      <c r="R105" s="149"/>
      <c r="S105" s="329">
        <f t="shared" si="27"/>
        <v>0</v>
      </c>
      <c r="T105" s="107">
        <f t="shared" si="18"/>
        <v>0</v>
      </c>
      <c r="U105" s="107"/>
      <c r="V105" s="329">
        <f t="shared" si="19"/>
        <v>0</v>
      </c>
      <c r="W105" s="90"/>
    </row>
    <row r="106" spans="1:23" ht="15.5" x14ac:dyDescent="0.35">
      <c r="A106" s="103"/>
      <c r="B106" s="79"/>
      <c r="C106" s="79"/>
      <c r="D106" s="111">
        <f t="shared" si="25"/>
        <v>1</v>
      </c>
      <c r="E106" s="318">
        <f t="shared" si="23"/>
        <v>0</v>
      </c>
      <c r="F106" s="320"/>
      <c r="G106" s="329">
        <f t="shared" si="29"/>
        <v>0</v>
      </c>
      <c r="H106" s="330"/>
      <c r="I106" s="330"/>
      <c r="J106" s="330"/>
      <c r="K106" s="330"/>
      <c r="L106" s="330"/>
      <c r="M106" s="141">
        <f t="shared" si="28"/>
        <v>0</v>
      </c>
      <c r="N106" s="141" t="e">
        <f t="shared" si="30"/>
        <v>#DIV/0!</v>
      </c>
      <c r="O106" s="107"/>
      <c r="P106" s="138"/>
      <c r="Q106" s="149">
        <f t="shared" si="31"/>
        <v>0</v>
      </c>
      <c r="R106" s="149"/>
      <c r="S106" s="329">
        <f t="shared" si="27"/>
        <v>0</v>
      </c>
      <c r="T106" s="107">
        <f t="shared" si="18"/>
        <v>0</v>
      </c>
      <c r="U106" s="107"/>
      <c r="V106" s="329">
        <f t="shared" si="19"/>
        <v>0</v>
      </c>
      <c r="W106" s="90"/>
    </row>
    <row r="107" spans="1:23" ht="15.5" x14ac:dyDescent="0.35">
      <c r="A107" s="103"/>
      <c r="B107" s="79"/>
      <c r="C107" s="79"/>
      <c r="D107" s="111">
        <f t="shared" si="25"/>
        <v>1</v>
      </c>
      <c r="E107" s="318">
        <f t="shared" si="23"/>
        <v>0</v>
      </c>
      <c r="F107" s="320"/>
      <c r="G107" s="329">
        <f t="shared" si="29"/>
        <v>0</v>
      </c>
      <c r="H107" s="330"/>
      <c r="I107" s="330"/>
      <c r="J107" s="330"/>
      <c r="K107" s="330"/>
      <c r="L107" s="330"/>
      <c r="M107" s="141">
        <f t="shared" si="28"/>
        <v>0</v>
      </c>
      <c r="N107" s="141" t="e">
        <f t="shared" si="30"/>
        <v>#DIV/0!</v>
      </c>
      <c r="O107" s="107"/>
      <c r="P107" s="138"/>
      <c r="Q107" s="149">
        <f t="shared" si="31"/>
        <v>0</v>
      </c>
      <c r="R107" s="149"/>
      <c r="S107" s="329">
        <f t="shared" si="27"/>
        <v>0</v>
      </c>
      <c r="T107" s="107">
        <f t="shared" si="18"/>
        <v>0</v>
      </c>
      <c r="U107" s="107"/>
      <c r="V107" s="329">
        <f t="shared" si="19"/>
        <v>0</v>
      </c>
      <c r="W107" s="90"/>
    </row>
    <row r="108" spans="1:23" ht="15.5" x14ac:dyDescent="0.35">
      <c r="A108" s="103"/>
      <c r="B108" s="72"/>
      <c r="C108" s="72"/>
      <c r="D108" s="111">
        <f t="shared" si="25"/>
        <v>1</v>
      </c>
      <c r="E108" s="318">
        <f t="shared" si="23"/>
        <v>0</v>
      </c>
      <c r="F108" s="320"/>
      <c r="G108" s="329">
        <f t="shared" si="29"/>
        <v>0</v>
      </c>
      <c r="H108" s="330"/>
      <c r="I108" s="330"/>
      <c r="J108" s="330"/>
      <c r="K108" s="330"/>
      <c r="L108" s="330"/>
      <c r="M108" s="141">
        <f t="shared" si="28"/>
        <v>0</v>
      </c>
      <c r="N108" s="141" t="e">
        <f t="shared" si="30"/>
        <v>#DIV/0!</v>
      </c>
      <c r="O108" s="107"/>
      <c r="P108" s="138"/>
      <c r="Q108" s="149">
        <f t="shared" si="31"/>
        <v>0</v>
      </c>
      <c r="R108" s="149"/>
      <c r="S108" s="329">
        <f t="shared" si="27"/>
        <v>0</v>
      </c>
      <c r="T108" s="107">
        <f t="shared" si="18"/>
        <v>0</v>
      </c>
      <c r="U108" s="107"/>
      <c r="V108" s="329">
        <f t="shared" si="19"/>
        <v>0</v>
      </c>
      <c r="W108" s="90"/>
    </row>
    <row r="109" spans="1:23" ht="15.5" x14ac:dyDescent="0.35">
      <c r="A109" s="103"/>
      <c r="B109" s="72"/>
      <c r="C109" s="72"/>
      <c r="D109" s="111">
        <f t="shared" si="25"/>
        <v>1</v>
      </c>
      <c r="E109" s="318">
        <f t="shared" si="23"/>
        <v>0</v>
      </c>
      <c r="F109" s="321"/>
      <c r="G109" s="329">
        <f t="shared" si="29"/>
        <v>0</v>
      </c>
      <c r="H109" s="330"/>
      <c r="I109" s="330"/>
      <c r="J109" s="330"/>
      <c r="K109" s="330"/>
      <c r="L109" s="330"/>
      <c r="M109" s="141">
        <f t="shared" si="28"/>
        <v>0</v>
      </c>
      <c r="N109" s="141" t="e">
        <f t="shared" si="30"/>
        <v>#DIV/0!</v>
      </c>
      <c r="O109" s="107"/>
      <c r="P109" s="138"/>
      <c r="Q109" s="149">
        <f t="shared" si="31"/>
        <v>0</v>
      </c>
      <c r="R109" s="149"/>
      <c r="S109" s="329">
        <f t="shared" si="27"/>
        <v>0</v>
      </c>
      <c r="T109" s="107">
        <f t="shared" si="18"/>
        <v>0</v>
      </c>
      <c r="U109" s="107"/>
      <c r="V109" s="329">
        <f t="shared" si="19"/>
        <v>0</v>
      </c>
      <c r="W109" s="90"/>
    </row>
    <row r="110" spans="1:23" ht="15.5" x14ac:dyDescent="0.35">
      <c r="A110" s="103"/>
      <c r="B110" s="72"/>
      <c r="C110" s="72"/>
      <c r="D110" s="111">
        <f t="shared" si="25"/>
        <v>1</v>
      </c>
      <c r="E110" s="318">
        <f t="shared" si="23"/>
        <v>0</v>
      </c>
      <c r="F110" s="321"/>
      <c r="G110" s="329">
        <f t="shared" si="29"/>
        <v>0</v>
      </c>
      <c r="H110" s="330"/>
      <c r="I110" s="330"/>
      <c r="J110" s="330"/>
      <c r="K110" s="330"/>
      <c r="L110" s="330"/>
      <c r="M110" s="141">
        <f t="shared" si="28"/>
        <v>0</v>
      </c>
      <c r="N110" s="141" t="e">
        <f t="shared" si="30"/>
        <v>#DIV/0!</v>
      </c>
      <c r="O110" s="107"/>
      <c r="P110" s="138"/>
      <c r="Q110" s="149">
        <f t="shared" si="31"/>
        <v>0</v>
      </c>
      <c r="R110" s="149"/>
      <c r="S110" s="329">
        <f t="shared" si="27"/>
        <v>0</v>
      </c>
      <c r="T110" s="107">
        <f t="shared" si="18"/>
        <v>0</v>
      </c>
      <c r="U110" s="107"/>
      <c r="V110" s="329">
        <f>(U110-T110)/10</f>
        <v>0</v>
      </c>
      <c r="W110" s="90"/>
    </row>
    <row r="111" spans="1:23" ht="15.5" x14ac:dyDescent="0.35">
      <c r="A111" s="103"/>
      <c r="B111" s="72"/>
      <c r="C111" s="72"/>
      <c r="D111" s="111">
        <f t="shared" si="25"/>
        <v>1</v>
      </c>
      <c r="E111" s="318">
        <f t="shared" si="23"/>
        <v>0</v>
      </c>
      <c r="F111" s="321"/>
      <c r="G111" s="329">
        <f t="shared" si="29"/>
        <v>0</v>
      </c>
      <c r="H111" s="330"/>
      <c r="I111" s="330"/>
      <c r="J111" s="330"/>
      <c r="K111" s="330"/>
      <c r="L111" s="330"/>
      <c r="M111" s="141">
        <f t="shared" si="28"/>
        <v>0</v>
      </c>
      <c r="N111" s="141" t="e">
        <f t="shared" si="30"/>
        <v>#DIV/0!</v>
      </c>
      <c r="O111" s="107"/>
      <c r="P111" s="138"/>
      <c r="Q111" s="149">
        <f t="shared" si="31"/>
        <v>0</v>
      </c>
      <c r="R111" s="149"/>
      <c r="S111" s="329">
        <f t="shared" si="27"/>
        <v>0</v>
      </c>
      <c r="T111" s="107">
        <f t="shared" si="18"/>
        <v>0</v>
      </c>
      <c r="U111" s="107"/>
      <c r="V111" s="329">
        <f>(U111-T111)/10</f>
        <v>0</v>
      </c>
      <c r="W111" s="90"/>
    </row>
    <row r="112" spans="1:23" ht="15.5" x14ac:dyDescent="0.35">
      <c r="A112" s="103"/>
      <c r="B112" s="72"/>
      <c r="C112" s="72"/>
      <c r="D112" s="111">
        <f t="shared" si="25"/>
        <v>1</v>
      </c>
      <c r="E112" s="318">
        <f t="shared" si="23"/>
        <v>0</v>
      </c>
      <c r="F112" s="321"/>
      <c r="G112" s="329">
        <f t="shared" si="29"/>
        <v>0</v>
      </c>
      <c r="H112" s="330"/>
      <c r="I112" s="330"/>
      <c r="J112" s="330"/>
      <c r="K112" s="330"/>
      <c r="L112" s="330"/>
      <c r="M112" s="141">
        <f t="shared" si="28"/>
        <v>0</v>
      </c>
      <c r="N112" s="141" t="e">
        <f t="shared" si="30"/>
        <v>#DIV/0!</v>
      </c>
      <c r="O112" s="107"/>
      <c r="P112" s="138"/>
      <c r="Q112" s="149">
        <f t="shared" si="31"/>
        <v>0</v>
      </c>
      <c r="R112" s="149"/>
      <c r="S112" s="329">
        <f t="shared" si="27"/>
        <v>0</v>
      </c>
      <c r="T112" s="107">
        <f t="shared" si="18"/>
        <v>0</v>
      </c>
      <c r="U112" s="107"/>
      <c r="V112" s="329">
        <f>(U112-T112)/10</f>
        <v>0</v>
      </c>
      <c r="W112" s="90"/>
    </row>
    <row r="113" spans="1:23" ht="15.5" x14ac:dyDescent="0.35">
      <c r="A113" s="103"/>
      <c r="B113" s="72"/>
      <c r="C113" s="72"/>
      <c r="D113" s="111">
        <f t="shared" si="25"/>
        <v>1</v>
      </c>
      <c r="E113" s="318">
        <f t="shared" si="23"/>
        <v>0</v>
      </c>
      <c r="F113" s="320"/>
      <c r="G113" s="329">
        <f t="shared" si="29"/>
        <v>0</v>
      </c>
      <c r="H113" s="330"/>
      <c r="I113" s="330"/>
      <c r="J113" s="330"/>
      <c r="K113" s="330"/>
      <c r="L113" s="330"/>
      <c r="M113" s="141">
        <f t="shared" si="28"/>
        <v>0</v>
      </c>
      <c r="N113" s="141" t="e">
        <f t="shared" si="30"/>
        <v>#DIV/0!</v>
      </c>
      <c r="O113" s="107"/>
      <c r="P113" s="138"/>
      <c r="Q113" s="149">
        <f t="shared" si="31"/>
        <v>0</v>
      </c>
      <c r="R113" s="149"/>
      <c r="S113" s="329">
        <f t="shared" si="27"/>
        <v>0</v>
      </c>
      <c r="T113" s="107">
        <f t="shared" si="18"/>
        <v>0</v>
      </c>
      <c r="U113" s="107"/>
      <c r="V113" s="329">
        <f>(U113-T113)/10</f>
        <v>0</v>
      </c>
      <c r="W113" s="90"/>
    </row>
    <row r="114" spans="1:23" ht="15.5" x14ac:dyDescent="0.35">
      <c r="A114" s="103"/>
      <c r="B114" s="72"/>
      <c r="C114" s="72"/>
      <c r="D114" s="111">
        <f t="shared" si="25"/>
        <v>1</v>
      </c>
      <c r="E114" s="318">
        <f t="shared" si="23"/>
        <v>0</v>
      </c>
      <c r="F114" s="320"/>
      <c r="G114" s="329">
        <f t="shared" si="29"/>
        <v>0</v>
      </c>
      <c r="H114" s="330"/>
      <c r="I114" s="330"/>
      <c r="J114" s="330"/>
      <c r="K114" s="330"/>
      <c r="L114" s="330"/>
      <c r="M114" s="141">
        <f t="shared" si="28"/>
        <v>0</v>
      </c>
      <c r="N114" s="141" t="e">
        <f t="shared" si="30"/>
        <v>#DIV/0!</v>
      </c>
      <c r="O114" s="77"/>
      <c r="P114" s="138"/>
      <c r="Q114" s="149">
        <f t="shared" si="31"/>
        <v>0</v>
      </c>
      <c r="R114" s="149"/>
      <c r="S114" s="329">
        <f t="shared" si="27"/>
        <v>0</v>
      </c>
      <c r="T114" s="107">
        <f t="shared" si="18"/>
        <v>0</v>
      </c>
      <c r="U114" s="107"/>
      <c r="V114" s="329">
        <f>(U114-T114)/10</f>
        <v>0</v>
      </c>
      <c r="W114" s="90"/>
    </row>
    <row r="115" spans="1:23" ht="15.5" x14ac:dyDescent="0.35">
      <c r="A115" s="103"/>
      <c r="B115" s="72"/>
      <c r="C115" s="72"/>
      <c r="D115" s="111">
        <f t="shared" si="25"/>
        <v>1</v>
      </c>
      <c r="E115" s="318">
        <f t="shared" si="23"/>
        <v>0</v>
      </c>
      <c r="F115" s="320"/>
      <c r="G115" s="329">
        <f t="shared" si="29"/>
        <v>0</v>
      </c>
      <c r="H115" s="330"/>
      <c r="I115" s="330"/>
      <c r="J115" s="330"/>
      <c r="K115" s="330"/>
      <c r="L115" s="330"/>
      <c r="M115" s="141">
        <f t="shared" si="28"/>
        <v>0</v>
      </c>
      <c r="N115" s="141" t="e">
        <f t="shared" si="30"/>
        <v>#DIV/0!</v>
      </c>
      <c r="O115" s="107"/>
      <c r="P115" s="138"/>
      <c r="Q115" s="149">
        <f t="shared" si="31"/>
        <v>0</v>
      </c>
      <c r="R115" s="107"/>
      <c r="S115" s="329">
        <f t="shared" si="27"/>
        <v>0</v>
      </c>
      <c r="T115" s="107">
        <f t="shared" si="18"/>
        <v>0</v>
      </c>
      <c r="U115" s="107"/>
      <c r="V115" s="329">
        <f t="shared" ref="V115:V126" si="32">(U115-T115)*10</f>
        <v>0</v>
      </c>
      <c r="W115" s="90"/>
    </row>
    <row r="116" spans="1:23" ht="15.5" x14ac:dyDescent="0.35">
      <c r="A116" s="103"/>
      <c r="B116" s="72"/>
      <c r="C116" s="72"/>
      <c r="D116" s="111">
        <f t="shared" si="25"/>
        <v>1</v>
      </c>
      <c r="E116" s="318">
        <f t="shared" si="23"/>
        <v>0</v>
      </c>
      <c r="F116" s="320"/>
      <c r="G116" s="329">
        <f t="shared" si="29"/>
        <v>0</v>
      </c>
      <c r="H116" s="330"/>
      <c r="I116" s="330"/>
      <c r="J116" s="330"/>
      <c r="K116" s="330"/>
      <c r="L116" s="330"/>
      <c r="M116" s="141">
        <f t="shared" si="28"/>
        <v>0</v>
      </c>
      <c r="N116" s="141" t="e">
        <f t="shared" si="30"/>
        <v>#DIV/0!</v>
      </c>
      <c r="O116" s="107"/>
      <c r="P116" s="138"/>
      <c r="Q116" s="149">
        <f t="shared" si="31"/>
        <v>0</v>
      </c>
      <c r="R116" s="107"/>
      <c r="S116" s="329">
        <f t="shared" si="27"/>
        <v>0</v>
      </c>
      <c r="T116" s="107">
        <f t="shared" si="18"/>
        <v>0</v>
      </c>
      <c r="U116" s="107"/>
      <c r="V116" s="329">
        <f t="shared" si="32"/>
        <v>0</v>
      </c>
      <c r="W116" s="90"/>
    </row>
    <row r="117" spans="1:23" ht="15.5" x14ac:dyDescent="0.35">
      <c r="A117" s="103"/>
      <c r="B117" s="72"/>
      <c r="C117" s="72"/>
      <c r="D117" s="111">
        <f t="shared" si="25"/>
        <v>1</v>
      </c>
      <c r="E117" s="318">
        <f t="shared" si="23"/>
        <v>0</v>
      </c>
      <c r="F117" s="320"/>
      <c r="G117" s="329">
        <f t="shared" si="29"/>
        <v>0</v>
      </c>
      <c r="H117" s="330"/>
      <c r="I117" s="330"/>
      <c r="J117" s="330"/>
      <c r="K117" s="330"/>
      <c r="L117" s="330"/>
      <c r="M117" s="141">
        <f t="shared" si="28"/>
        <v>0</v>
      </c>
      <c r="N117" s="141" t="e">
        <f t="shared" si="30"/>
        <v>#DIV/0!</v>
      </c>
      <c r="O117" s="77"/>
      <c r="P117" s="138"/>
      <c r="Q117" s="149">
        <f t="shared" si="31"/>
        <v>0</v>
      </c>
      <c r="R117" s="107"/>
      <c r="S117" s="329">
        <f t="shared" si="27"/>
        <v>0</v>
      </c>
      <c r="T117" s="107">
        <f t="shared" si="18"/>
        <v>0</v>
      </c>
      <c r="U117" s="107"/>
      <c r="V117" s="329">
        <f t="shared" si="32"/>
        <v>0</v>
      </c>
      <c r="W117" s="90"/>
    </row>
    <row r="118" spans="1:23" ht="15.5" x14ac:dyDescent="0.35">
      <c r="A118" s="103"/>
      <c r="B118" s="72"/>
      <c r="C118" s="72"/>
      <c r="D118" s="111">
        <f t="shared" si="25"/>
        <v>1</v>
      </c>
      <c r="E118" s="318">
        <f t="shared" si="23"/>
        <v>0</v>
      </c>
      <c r="F118" s="320"/>
      <c r="G118" s="329">
        <f t="shared" si="29"/>
        <v>0</v>
      </c>
      <c r="H118" s="330"/>
      <c r="I118" s="330"/>
      <c r="J118" s="330"/>
      <c r="K118" s="330"/>
      <c r="L118" s="330"/>
      <c r="M118" s="141">
        <f t="shared" si="28"/>
        <v>0</v>
      </c>
      <c r="N118" s="141" t="e">
        <f t="shared" si="30"/>
        <v>#DIV/0!</v>
      </c>
      <c r="O118" s="107"/>
      <c r="P118" s="138"/>
      <c r="Q118" s="149">
        <f t="shared" si="31"/>
        <v>0</v>
      </c>
      <c r="R118" s="107"/>
      <c r="S118" s="329">
        <f t="shared" si="27"/>
        <v>0</v>
      </c>
      <c r="T118" s="107">
        <f t="shared" si="18"/>
        <v>0</v>
      </c>
      <c r="U118" s="107"/>
      <c r="V118" s="329">
        <f t="shared" si="32"/>
        <v>0</v>
      </c>
      <c r="W118" s="90"/>
    </row>
    <row r="119" spans="1:23" ht="15.5" x14ac:dyDescent="0.35">
      <c r="A119" s="103"/>
      <c r="B119" s="72"/>
      <c r="C119" s="72"/>
      <c r="D119" s="111">
        <f t="shared" si="25"/>
        <v>1</v>
      </c>
      <c r="E119" s="318">
        <f t="shared" si="23"/>
        <v>0</v>
      </c>
      <c r="F119" s="320"/>
      <c r="G119" s="329">
        <f t="shared" si="29"/>
        <v>0</v>
      </c>
      <c r="H119" s="330"/>
      <c r="I119" s="330"/>
      <c r="J119" s="330"/>
      <c r="K119" s="330"/>
      <c r="L119" s="330"/>
      <c r="M119" s="141">
        <f t="shared" si="28"/>
        <v>0</v>
      </c>
      <c r="N119" s="141" t="e">
        <f t="shared" si="30"/>
        <v>#DIV/0!</v>
      </c>
      <c r="O119" s="77"/>
      <c r="P119" s="138"/>
      <c r="Q119" s="149">
        <f t="shared" si="31"/>
        <v>0</v>
      </c>
      <c r="R119" s="107"/>
      <c r="S119" s="329">
        <f t="shared" si="27"/>
        <v>0</v>
      </c>
      <c r="T119" s="107">
        <f t="shared" si="18"/>
        <v>0</v>
      </c>
      <c r="U119" s="107"/>
      <c r="V119" s="329">
        <f t="shared" si="32"/>
        <v>0</v>
      </c>
      <c r="W119" s="90"/>
    </row>
    <row r="120" spans="1:23" ht="15.5" x14ac:dyDescent="0.35">
      <c r="A120" s="103"/>
      <c r="B120" s="72"/>
      <c r="C120" s="72"/>
      <c r="D120" s="111">
        <f t="shared" si="25"/>
        <v>1</v>
      </c>
      <c r="E120" s="318">
        <f t="shared" si="23"/>
        <v>0</v>
      </c>
      <c r="F120" s="320"/>
      <c r="G120" s="329">
        <f t="shared" si="29"/>
        <v>0</v>
      </c>
      <c r="H120" s="330"/>
      <c r="I120" s="330"/>
      <c r="J120" s="330"/>
      <c r="K120" s="330"/>
      <c r="L120" s="330"/>
      <c r="M120" s="141">
        <f t="shared" si="28"/>
        <v>0</v>
      </c>
      <c r="N120" s="141" t="e">
        <f t="shared" si="30"/>
        <v>#DIV/0!</v>
      </c>
      <c r="O120" s="107"/>
      <c r="P120" s="138"/>
      <c r="Q120" s="149">
        <f t="shared" si="31"/>
        <v>0</v>
      </c>
      <c r="R120" s="107"/>
      <c r="S120" s="329">
        <f t="shared" si="27"/>
        <v>0</v>
      </c>
      <c r="T120" s="107">
        <f t="shared" si="18"/>
        <v>0</v>
      </c>
      <c r="U120" s="107"/>
      <c r="V120" s="329">
        <f t="shared" si="32"/>
        <v>0</v>
      </c>
      <c r="W120" s="90"/>
    </row>
    <row r="121" spans="1:23" ht="15.5" x14ac:dyDescent="0.35">
      <c r="A121" s="103"/>
      <c r="B121" s="72"/>
      <c r="C121" s="72"/>
      <c r="D121" s="111">
        <f t="shared" si="25"/>
        <v>1</v>
      </c>
      <c r="E121" s="318">
        <f t="shared" si="23"/>
        <v>0</v>
      </c>
      <c r="F121" s="320"/>
      <c r="G121" s="329">
        <f t="shared" si="29"/>
        <v>0</v>
      </c>
      <c r="H121" s="330"/>
      <c r="I121" s="330"/>
      <c r="J121" s="330"/>
      <c r="K121" s="330"/>
      <c r="L121" s="330"/>
      <c r="M121" s="141">
        <f t="shared" si="28"/>
        <v>0</v>
      </c>
      <c r="N121" s="141" t="e">
        <f t="shared" si="30"/>
        <v>#DIV/0!</v>
      </c>
      <c r="O121" s="107"/>
      <c r="P121" s="138"/>
      <c r="Q121" s="149">
        <f t="shared" si="31"/>
        <v>0</v>
      </c>
      <c r="R121" s="107"/>
      <c r="S121" s="329">
        <f t="shared" si="27"/>
        <v>0</v>
      </c>
      <c r="T121" s="107">
        <f t="shared" si="18"/>
        <v>0</v>
      </c>
      <c r="U121" s="107"/>
      <c r="V121" s="329">
        <f t="shared" si="32"/>
        <v>0</v>
      </c>
      <c r="W121" s="90"/>
    </row>
    <row r="122" spans="1:23" ht="15.5" x14ac:dyDescent="0.35">
      <c r="A122" s="103"/>
      <c r="B122" s="72"/>
      <c r="C122" s="72"/>
      <c r="D122" s="111">
        <f t="shared" si="25"/>
        <v>1</v>
      </c>
      <c r="E122" s="318">
        <f t="shared" si="23"/>
        <v>0</v>
      </c>
      <c r="F122" s="320"/>
      <c r="G122" s="329">
        <f t="shared" si="29"/>
        <v>0</v>
      </c>
      <c r="H122" s="330"/>
      <c r="I122" s="330"/>
      <c r="J122" s="330"/>
      <c r="K122" s="330"/>
      <c r="L122" s="330"/>
      <c r="M122" s="141">
        <f t="shared" si="28"/>
        <v>0</v>
      </c>
      <c r="N122" s="141" t="e">
        <f t="shared" si="30"/>
        <v>#DIV/0!</v>
      </c>
      <c r="O122" s="107"/>
      <c r="P122" s="138"/>
      <c r="Q122" s="149">
        <f t="shared" si="31"/>
        <v>0</v>
      </c>
      <c r="R122" s="107"/>
      <c r="S122" s="329">
        <f>(R122-Q122)/10</f>
        <v>0</v>
      </c>
      <c r="T122" s="107">
        <f t="shared" si="18"/>
        <v>0</v>
      </c>
      <c r="U122" s="107"/>
      <c r="V122" s="329">
        <f t="shared" si="32"/>
        <v>0</v>
      </c>
      <c r="W122" s="90"/>
    </row>
    <row r="123" spans="1:23" ht="15.5" x14ac:dyDescent="0.35">
      <c r="A123" s="103"/>
      <c r="B123" s="72"/>
      <c r="C123" s="72"/>
      <c r="D123" s="111">
        <f t="shared" si="25"/>
        <v>1</v>
      </c>
      <c r="E123" s="318">
        <f t="shared" si="23"/>
        <v>0</v>
      </c>
      <c r="F123" s="320"/>
      <c r="G123" s="329">
        <f t="shared" si="29"/>
        <v>0</v>
      </c>
      <c r="H123" s="330"/>
      <c r="I123" s="330"/>
      <c r="J123" s="330"/>
      <c r="K123" s="330"/>
      <c r="L123" s="330"/>
      <c r="M123" s="141">
        <f t="shared" si="28"/>
        <v>0</v>
      </c>
      <c r="N123" s="141" t="e">
        <f t="shared" si="30"/>
        <v>#DIV/0!</v>
      </c>
      <c r="O123" s="107"/>
      <c r="P123" s="138"/>
      <c r="Q123" s="149">
        <f t="shared" si="31"/>
        <v>0</v>
      </c>
      <c r="R123" s="107"/>
      <c r="S123" s="329">
        <f>(R123-Q123)/10</f>
        <v>0</v>
      </c>
      <c r="T123" s="107">
        <f t="shared" si="18"/>
        <v>0</v>
      </c>
      <c r="U123" s="107"/>
      <c r="V123" s="329">
        <f t="shared" si="32"/>
        <v>0</v>
      </c>
      <c r="W123" s="90"/>
    </row>
    <row r="124" spans="1:23" ht="15.5" x14ac:dyDescent="0.35">
      <c r="A124" s="103"/>
      <c r="B124" s="72"/>
      <c r="C124" s="72"/>
      <c r="D124" s="111">
        <f t="shared" si="25"/>
        <v>1</v>
      </c>
      <c r="E124" s="318">
        <f t="shared" si="23"/>
        <v>0</v>
      </c>
      <c r="F124" s="320"/>
      <c r="G124" s="329">
        <f t="shared" si="29"/>
        <v>0</v>
      </c>
      <c r="H124" s="330"/>
      <c r="I124" s="330"/>
      <c r="J124" s="330"/>
      <c r="K124" s="330"/>
      <c r="L124" s="330"/>
      <c r="M124" s="141">
        <f t="shared" si="28"/>
        <v>0</v>
      </c>
      <c r="N124" s="141" t="e">
        <f t="shared" si="30"/>
        <v>#DIV/0!</v>
      </c>
      <c r="O124" s="107"/>
      <c r="P124" s="138"/>
      <c r="Q124" s="149">
        <f>R123</f>
        <v>0</v>
      </c>
      <c r="R124" s="107"/>
      <c r="S124" s="329">
        <f>(R124-Q124)/10</f>
        <v>0</v>
      </c>
      <c r="T124" s="107">
        <f>U123</f>
        <v>0</v>
      </c>
      <c r="U124" s="107"/>
      <c r="V124" s="329">
        <f t="shared" si="32"/>
        <v>0</v>
      </c>
      <c r="W124" s="90"/>
    </row>
    <row r="125" spans="1:23" ht="15.5" x14ac:dyDescent="0.35">
      <c r="A125" s="136"/>
      <c r="B125" s="72"/>
      <c r="C125" s="72"/>
      <c r="D125" s="111">
        <f>1+C125-B125</f>
        <v>1</v>
      </c>
      <c r="E125" s="322"/>
      <c r="F125" s="320"/>
      <c r="G125" s="329">
        <f t="shared" si="29"/>
        <v>0</v>
      </c>
      <c r="H125" s="330"/>
      <c r="I125" s="330"/>
      <c r="J125" s="330"/>
      <c r="K125" s="330"/>
      <c r="L125" s="330"/>
      <c r="M125" s="141">
        <f t="shared" si="28"/>
        <v>0</v>
      </c>
      <c r="N125" s="141" t="e">
        <f t="shared" si="30"/>
        <v>#DIV/0!</v>
      </c>
      <c r="O125" s="107"/>
      <c r="P125" s="138"/>
      <c r="Q125" s="149">
        <f>R124</f>
        <v>0</v>
      </c>
      <c r="R125" s="107"/>
      <c r="S125" s="329">
        <f>(R125-Q125)/10</f>
        <v>0</v>
      </c>
      <c r="T125" s="107">
        <f>U124</f>
        <v>0</v>
      </c>
      <c r="U125" s="107"/>
      <c r="V125" s="329">
        <f t="shared" si="32"/>
        <v>0</v>
      </c>
      <c r="W125" s="90"/>
    </row>
    <row r="126" spans="1:23" ht="15.5" x14ac:dyDescent="0.35">
      <c r="A126" s="136"/>
      <c r="B126" s="72"/>
      <c r="C126" s="72"/>
      <c r="D126" s="111">
        <f>1+C126-B126</f>
        <v>1</v>
      </c>
      <c r="E126" s="322"/>
      <c r="F126" s="320"/>
      <c r="G126" s="329">
        <f t="shared" si="29"/>
        <v>0</v>
      </c>
      <c r="H126" s="330"/>
      <c r="I126" s="330"/>
      <c r="J126" s="330"/>
      <c r="K126" s="330"/>
      <c r="L126" s="330"/>
      <c r="M126" s="141">
        <f>+(H126*($H$6))+(J126*($J$6))+(K126*($K$6))+(L126*($L$6))</f>
        <v>0</v>
      </c>
      <c r="N126" s="141" t="e">
        <f t="shared" si="30"/>
        <v>#DIV/0!</v>
      </c>
      <c r="O126" s="107"/>
      <c r="P126" s="138"/>
      <c r="Q126" s="107">
        <f>R125</f>
        <v>0</v>
      </c>
      <c r="R126" s="107"/>
      <c r="S126" s="329">
        <f>(R126-Q126)*10</f>
        <v>0</v>
      </c>
      <c r="T126" s="107">
        <f>U125</f>
        <v>0</v>
      </c>
      <c r="U126" s="107"/>
      <c r="V126" s="329">
        <f t="shared" si="32"/>
        <v>0</v>
      </c>
      <c r="W126" s="90"/>
    </row>
    <row r="127" spans="1:23" ht="15.5" x14ac:dyDescent="0.35">
      <c r="B127" s="142"/>
      <c r="C127" s="142"/>
      <c r="D127" s="142"/>
      <c r="E127" s="90"/>
      <c r="F127" s="108" t="s">
        <v>70</v>
      </c>
      <c r="G127" s="301">
        <f>SUM(G7:G126)</f>
        <v>-6934.48</v>
      </c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143" t="s">
        <v>68</v>
      </c>
      <c r="S127" s="303">
        <f>SUM(S7:S126)</f>
        <v>421.15000000000009</v>
      </c>
      <c r="T127" s="143"/>
      <c r="U127" s="143" t="s">
        <v>68</v>
      </c>
      <c r="V127" s="303">
        <f>SUM(V6:V126)</f>
        <v>84.81</v>
      </c>
      <c r="W127" s="90"/>
    </row>
    <row r="128" spans="1:23" ht="15.5" x14ac:dyDescent="0.35">
      <c r="B128" s="142"/>
      <c r="C128" s="142"/>
      <c r="D128" s="142"/>
      <c r="E128" s="90"/>
      <c r="F128" s="143" t="s">
        <v>69</v>
      </c>
      <c r="G128" s="300">
        <f>(G127*30)/720</f>
        <v>-288.93666666666667</v>
      </c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143" t="s">
        <v>69</v>
      </c>
      <c r="S128" s="303">
        <f>(S127*30)/720</f>
        <v>17.547916666666673</v>
      </c>
      <c r="T128" s="143"/>
      <c r="U128" s="143" t="s">
        <v>69</v>
      </c>
      <c r="V128" s="303">
        <f>(V127*30)/720</f>
        <v>3.5337500000000004</v>
      </c>
      <c r="W128" s="90"/>
    </row>
    <row r="129" spans="2:23" ht="15.5" x14ac:dyDescent="0.35">
      <c r="B129" s="142"/>
      <c r="C129" s="142"/>
      <c r="D129" s="142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</row>
    <row r="130" spans="2:23" ht="15.5" x14ac:dyDescent="0.35">
      <c r="B130" s="142"/>
      <c r="C130" s="142"/>
      <c r="D130" s="142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</row>
    <row r="131" spans="2:23" ht="15.5" x14ac:dyDescent="0.35">
      <c r="B131" s="142"/>
      <c r="C131" s="142"/>
      <c r="D131" s="142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</row>
    <row r="132" spans="2:23" ht="15.5" x14ac:dyDescent="0.35">
      <c r="B132" s="142"/>
      <c r="C132" s="142"/>
      <c r="D132" s="142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2:23" ht="15.5" x14ac:dyDescent="0.35">
      <c r="B133" s="142"/>
      <c r="C133" s="142"/>
      <c r="D133" s="142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</row>
    <row r="134" spans="2:23" ht="15.5" x14ac:dyDescent="0.35">
      <c r="B134" s="142"/>
      <c r="C134" s="142"/>
      <c r="D134" s="142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2:23" ht="15.5" x14ac:dyDescent="0.35">
      <c r="B135" s="142"/>
      <c r="C135" s="142"/>
      <c r="D135" s="142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</row>
    <row r="136" spans="2:23" ht="15.5" x14ac:dyDescent="0.35">
      <c r="B136" s="142"/>
      <c r="C136" s="142"/>
      <c r="D136" s="142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</row>
    <row r="137" spans="2:23" ht="15.5" x14ac:dyDescent="0.35">
      <c r="B137" s="142"/>
      <c r="C137" s="142"/>
      <c r="D137" s="142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</row>
    <row r="138" spans="2:23" ht="15.5" x14ac:dyDescent="0.35">
      <c r="B138" s="142"/>
      <c r="C138" s="142"/>
      <c r="D138" s="142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</row>
    <row r="139" spans="2:23" x14ac:dyDescent="0.35"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</row>
    <row r="140" spans="2:23" x14ac:dyDescent="0.35"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</row>
    <row r="1048576" spans="1:1" ht="15.5" x14ac:dyDescent="0.35">
      <c r="A1048576" s="103">
        <v>44910</v>
      </c>
    </row>
  </sheetData>
  <mergeCells count="6">
    <mergeCell ref="Q1:U3"/>
    <mergeCell ref="O4:P4"/>
    <mergeCell ref="B4:D4"/>
    <mergeCell ref="E4:G4"/>
    <mergeCell ref="H4:N4"/>
    <mergeCell ref="E1:I3"/>
  </mergeCells>
  <phoneticPr fontId="16" type="noConversion"/>
  <pageMargins left="0.7" right="0.7" top="0.75" bottom="0.75" header="0.3" footer="0.3"/>
  <pageSetup paperSize="9" orientation="portrait" horizontalDpi="120" verticalDpi="72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D99A-4190-4A6B-BF3E-03EC460309BC}">
  <dimension ref="B1:AT76"/>
  <sheetViews>
    <sheetView topLeftCell="B1" zoomScale="70" zoomScaleNormal="70" workbookViewId="0">
      <selection activeCell="B6" sqref="B6"/>
    </sheetView>
  </sheetViews>
  <sheetFormatPr baseColWidth="10" defaultRowHeight="14.5" x14ac:dyDescent="0.35"/>
  <cols>
    <col min="3" max="3" width="2.81640625" customWidth="1"/>
    <col min="4" max="4" width="11.453125" hidden="1" customWidth="1"/>
    <col min="5" max="5" width="27.26953125" customWidth="1"/>
    <col min="6" max="6" width="46.26953125" customWidth="1"/>
    <col min="12" max="12" width="29.453125" customWidth="1"/>
    <col min="13" max="13" width="29.26953125" customWidth="1"/>
    <col min="14" max="14" width="29" customWidth="1"/>
    <col min="15" max="15" width="25.81640625" customWidth="1"/>
    <col min="16" max="16" width="39.26953125" customWidth="1"/>
    <col min="17" max="17" width="23.453125" customWidth="1"/>
    <col min="27" max="27" width="30.54296875" customWidth="1"/>
    <col min="28" max="28" width="33.453125" customWidth="1"/>
    <col min="34" max="34" width="30.26953125" customWidth="1"/>
    <col min="35" max="35" width="24.1796875" customWidth="1"/>
    <col min="36" max="36" width="28.54296875" customWidth="1"/>
    <col min="37" max="37" width="30.54296875" customWidth="1"/>
    <col min="38" max="38" width="38.26953125" customWidth="1"/>
    <col min="39" max="39" width="26.26953125" customWidth="1"/>
  </cols>
  <sheetData>
    <row r="1" spans="2:46" x14ac:dyDescent="0.35">
      <c r="F1" s="15"/>
    </row>
    <row r="2" spans="2:46" ht="15.5" x14ac:dyDescent="0.35">
      <c r="E2" s="259"/>
      <c r="F2" s="260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</row>
    <row r="3" spans="2:46" ht="16" thickBot="1" x14ac:dyDescent="0.4">
      <c r="E3" s="67"/>
      <c r="F3" s="68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AA3" s="67"/>
      <c r="AB3" s="68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</row>
    <row r="4" spans="2:46" ht="16" thickBot="1" x14ac:dyDescent="0.4">
      <c r="E4" s="261" t="s">
        <v>1</v>
      </c>
      <c r="F4" s="262" t="s">
        <v>99</v>
      </c>
      <c r="G4" s="404" t="s">
        <v>100</v>
      </c>
      <c r="H4" s="404"/>
      <c r="I4" s="404"/>
      <c r="J4" s="404"/>
      <c r="K4" s="404"/>
      <c r="L4" s="262" t="s">
        <v>101</v>
      </c>
      <c r="M4" s="262" t="s">
        <v>116</v>
      </c>
      <c r="N4" s="262" t="s">
        <v>117</v>
      </c>
      <c r="O4" s="262" t="s">
        <v>102</v>
      </c>
      <c r="P4" s="262" t="s">
        <v>103</v>
      </c>
      <c r="Q4" s="263" t="s">
        <v>104</v>
      </c>
      <c r="R4" s="405" t="s">
        <v>21</v>
      </c>
      <c r="S4" s="406"/>
      <c r="T4" s="406"/>
      <c r="U4" s="406"/>
      <c r="V4" s="406"/>
      <c r="W4" s="407"/>
      <c r="X4" s="67"/>
      <c r="AA4" s="261" t="s">
        <v>1</v>
      </c>
      <c r="AB4" s="262" t="s">
        <v>99</v>
      </c>
      <c r="AC4" s="404" t="s">
        <v>100</v>
      </c>
      <c r="AD4" s="404"/>
      <c r="AE4" s="404"/>
      <c r="AF4" s="404"/>
      <c r="AG4" s="404"/>
      <c r="AH4" s="262" t="s">
        <v>101</v>
      </c>
      <c r="AI4" s="262" t="s">
        <v>116</v>
      </c>
      <c r="AJ4" s="262" t="s">
        <v>117</v>
      </c>
      <c r="AK4" s="262" t="s">
        <v>102</v>
      </c>
      <c r="AL4" s="262" t="s">
        <v>103</v>
      </c>
      <c r="AM4" s="263" t="s">
        <v>104</v>
      </c>
      <c r="AN4" s="405" t="s">
        <v>21</v>
      </c>
      <c r="AO4" s="406"/>
      <c r="AP4" s="406"/>
      <c r="AQ4" s="406"/>
      <c r="AR4" s="406"/>
      <c r="AS4" s="407"/>
      <c r="AT4" s="67"/>
    </row>
    <row r="5" spans="2:46" ht="15.5" x14ac:dyDescent="0.35">
      <c r="E5" s="266"/>
      <c r="F5" s="266"/>
      <c r="G5" s="267" t="s">
        <v>105</v>
      </c>
      <c r="H5" s="268" t="s">
        <v>106</v>
      </c>
      <c r="I5" s="268" t="s">
        <v>107</v>
      </c>
      <c r="J5" s="268" t="s">
        <v>108</v>
      </c>
      <c r="K5" s="268" t="s">
        <v>109</v>
      </c>
      <c r="L5" s="269"/>
      <c r="M5" s="269"/>
      <c r="N5" s="269"/>
      <c r="O5" s="269"/>
      <c r="P5" s="269"/>
      <c r="Q5" s="270"/>
      <c r="R5" s="408"/>
      <c r="S5" s="409"/>
      <c r="T5" s="409"/>
      <c r="U5" s="409"/>
      <c r="V5" s="409"/>
      <c r="W5" s="410"/>
      <c r="X5" s="67"/>
      <c r="AA5" s="266"/>
      <c r="AB5" s="266"/>
      <c r="AC5" s="267" t="s">
        <v>105</v>
      </c>
      <c r="AD5" s="268" t="s">
        <v>106</v>
      </c>
      <c r="AE5" s="268" t="s">
        <v>107</v>
      </c>
      <c r="AF5" s="268" t="s">
        <v>108</v>
      </c>
      <c r="AG5" s="268" t="s">
        <v>109</v>
      </c>
      <c r="AH5" s="269"/>
      <c r="AI5" s="269"/>
      <c r="AJ5" s="269"/>
      <c r="AK5" s="269"/>
      <c r="AL5" s="269"/>
      <c r="AM5" s="270"/>
      <c r="AN5" s="408"/>
      <c r="AO5" s="409"/>
      <c r="AP5" s="409"/>
      <c r="AQ5" s="409"/>
      <c r="AR5" s="409"/>
      <c r="AS5" s="410"/>
      <c r="AT5" s="67"/>
    </row>
    <row r="6" spans="2:46" ht="15.5" x14ac:dyDescent="0.35">
      <c r="B6" t="s">
        <v>187</v>
      </c>
      <c r="E6" s="411" t="s">
        <v>125</v>
      </c>
      <c r="F6" s="200" t="s">
        <v>119</v>
      </c>
      <c r="G6" s="41"/>
      <c r="H6" s="41" t="s">
        <v>110</v>
      </c>
      <c r="I6" s="41"/>
      <c r="J6" s="41"/>
      <c r="K6" s="41"/>
      <c r="L6" s="273">
        <f>'TUBULAR VERDE'!G35</f>
        <v>5.69</v>
      </c>
      <c r="M6" s="273">
        <v>168</v>
      </c>
      <c r="N6" s="273">
        <f>M6-L6</f>
        <v>162.31</v>
      </c>
      <c r="O6" s="41">
        <f>'TUBULAR VERDE'!M35</f>
        <v>864</v>
      </c>
      <c r="P6" s="41">
        <v>31500</v>
      </c>
      <c r="Q6" s="274">
        <f>O6/P6</f>
        <v>2.7428571428571427E-2</v>
      </c>
      <c r="R6" s="408" t="s">
        <v>132</v>
      </c>
      <c r="S6" s="409"/>
      <c r="T6" s="409"/>
      <c r="U6" s="409"/>
      <c r="V6" s="409"/>
      <c r="W6" s="410"/>
      <c r="X6" s="67"/>
      <c r="AA6" s="411" t="s">
        <v>143</v>
      </c>
      <c r="AB6" s="200" t="s">
        <v>119</v>
      </c>
      <c r="AC6" s="41"/>
      <c r="AD6" s="41" t="s">
        <v>110</v>
      </c>
      <c r="AE6" s="41"/>
      <c r="AF6" s="41"/>
      <c r="AG6" s="41"/>
      <c r="AH6" s="273">
        <v>126</v>
      </c>
      <c r="AI6" s="273">
        <v>168</v>
      </c>
      <c r="AJ6" s="273">
        <f>AI6-AH6</f>
        <v>42</v>
      </c>
      <c r="AK6" s="41">
        <v>22565</v>
      </c>
      <c r="AL6" s="41">
        <v>28000</v>
      </c>
      <c r="AM6" s="274">
        <f>AK6/AL6</f>
        <v>0.80589285714285719</v>
      </c>
      <c r="AN6" s="408" t="s">
        <v>145</v>
      </c>
      <c r="AO6" s="409"/>
      <c r="AP6" s="409"/>
      <c r="AQ6" s="409"/>
      <c r="AR6" s="409"/>
      <c r="AS6" s="410"/>
      <c r="AT6" s="67"/>
    </row>
    <row r="7" spans="2:46" ht="15.5" x14ac:dyDescent="0.35">
      <c r="E7" s="411"/>
      <c r="F7" s="275" t="s">
        <v>86</v>
      </c>
      <c r="G7" s="41"/>
      <c r="H7" s="41"/>
      <c r="I7" s="41"/>
      <c r="J7" s="41"/>
      <c r="K7" s="41"/>
      <c r="L7" s="273">
        <f>'MAQUINA DE ESCARCHA GRUESA'!G37</f>
        <v>3.71</v>
      </c>
      <c r="M7" s="273">
        <v>168</v>
      </c>
      <c r="N7" s="273">
        <f>M7-L7</f>
        <v>164.29</v>
      </c>
      <c r="O7" s="41">
        <f>'MAQUINA DE ESCARCHA GRUESA'!O37</f>
        <v>1850</v>
      </c>
      <c r="P7" s="41">
        <v>105000</v>
      </c>
      <c r="Q7" s="274">
        <f>O7/P7</f>
        <v>1.7619047619047618E-2</v>
      </c>
      <c r="R7" s="408" t="s">
        <v>132</v>
      </c>
      <c r="S7" s="409"/>
      <c r="T7" s="409"/>
      <c r="U7" s="409"/>
      <c r="V7" s="409"/>
      <c r="W7" s="410"/>
      <c r="X7" s="67"/>
      <c r="AA7" s="411"/>
      <c r="AB7" s="275" t="s">
        <v>86</v>
      </c>
      <c r="AC7" s="41"/>
      <c r="AD7" s="41" t="s">
        <v>110</v>
      </c>
      <c r="AE7" s="41"/>
      <c r="AF7" s="41"/>
      <c r="AG7" s="41"/>
      <c r="AH7" s="273">
        <v>129</v>
      </c>
      <c r="AI7" s="273">
        <v>168</v>
      </c>
      <c r="AJ7" s="273">
        <f>AI7-AH7</f>
        <v>39</v>
      </c>
      <c r="AK7" s="41">
        <v>70186</v>
      </c>
      <c r="AL7" s="41">
        <v>101500</v>
      </c>
      <c r="AM7" s="274">
        <f>AK7/AL7</f>
        <v>0.69148768472906408</v>
      </c>
      <c r="AN7" s="408" t="s">
        <v>146</v>
      </c>
      <c r="AO7" s="409"/>
      <c r="AP7" s="409"/>
      <c r="AQ7" s="409"/>
      <c r="AR7" s="409"/>
      <c r="AS7" s="410"/>
      <c r="AT7" s="67"/>
    </row>
    <row r="8" spans="2:46" ht="15.5" x14ac:dyDescent="0.35">
      <c r="E8" s="411"/>
      <c r="F8" s="105"/>
      <c r="G8" s="405" t="s">
        <v>111</v>
      </c>
      <c r="H8" s="407"/>
      <c r="I8" s="125" t="s">
        <v>112</v>
      </c>
      <c r="J8" s="405" t="s">
        <v>113</v>
      </c>
      <c r="K8" s="407"/>
      <c r="L8" s="67"/>
      <c r="M8" s="282"/>
      <c r="N8" s="273"/>
      <c r="O8" s="67"/>
      <c r="P8" s="67"/>
      <c r="Q8" s="274"/>
      <c r="R8" s="408"/>
      <c r="S8" s="409"/>
      <c r="T8" s="409"/>
      <c r="U8" s="409"/>
      <c r="V8" s="409"/>
      <c r="W8" s="410"/>
      <c r="X8" s="67"/>
      <c r="AA8" s="411"/>
      <c r="AB8" s="105"/>
      <c r="AC8" s="405" t="s">
        <v>111</v>
      </c>
      <c r="AD8" s="407"/>
      <c r="AE8" s="125" t="s">
        <v>112</v>
      </c>
      <c r="AF8" s="405" t="s">
        <v>113</v>
      </c>
      <c r="AG8" s="407"/>
      <c r="AH8" s="67"/>
      <c r="AI8" s="282"/>
      <c r="AJ8" s="273"/>
      <c r="AK8" s="67"/>
      <c r="AL8" s="67"/>
      <c r="AM8" s="274"/>
      <c r="AN8" s="408"/>
      <c r="AO8" s="409"/>
      <c r="AP8" s="409"/>
      <c r="AQ8" s="409"/>
      <c r="AR8" s="409"/>
      <c r="AS8" s="410"/>
      <c r="AT8" s="67"/>
    </row>
    <row r="9" spans="2:46" ht="15.5" x14ac:dyDescent="0.35">
      <c r="E9" s="411"/>
      <c r="F9" s="276" t="s">
        <v>120</v>
      </c>
      <c r="G9" s="408"/>
      <c r="H9" s="410"/>
      <c r="I9" s="41"/>
      <c r="J9" s="408"/>
      <c r="K9" s="410"/>
      <c r="L9" s="273">
        <f>GRIS!G35</f>
        <v>7.68</v>
      </c>
      <c r="M9" s="273">
        <v>168</v>
      </c>
      <c r="N9" s="273">
        <f>M9-L9</f>
        <v>160.32</v>
      </c>
      <c r="O9" s="41">
        <f>GRIS!N35</f>
        <v>2900</v>
      </c>
      <c r="P9" s="41">
        <v>70000</v>
      </c>
      <c r="Q9" s="274">
        <f>O9/P9</f>
        <v>4.1428571428571426E-2</v>
      </c>
      <c r="R9" s="408" t="s">
        <v>132</v>
      </c>
      <c r="S9" s="409"/>
      <c r="T9" s="409"/>
      <c r="U9" s="409"/>
      <c r="V9" s="409"/>
      <c r="W9" s="410"/>
      <c r="X9" s="67"/>
      <c r="AA9" s="411"/>
      <c r="AB9" s="276" t="s">
        <v>120</v>
      </c>
      <c r="AC9" s="408"/>
      <c r="AD9" s="410"/>
      <c r="AE9" s="41"/>
      <c r="AF9" s="408"/>
      <c r="AG9" s="410"/>
      <c r="AH9" s="273">
        <v>138</v>
      </c>
      <c r="AI9" s="273">
        <v>168</v>
      </c>
      <c r="AJ9" s="273">
        <f>AI9-AH9</f>
        <v>30</v>
      </c>
      <c r="AK9" s="41">
        <v>53523</v>
      </c>
      <c r="AL9" s="41">
        <v>70000</v>
      </c>
      <c r="AM9" s="274">
        <f>AK9/AL9</f>
        <v>0.76461428571428569</v>
      </c>
      <c r="AN9" s="408" t="s">
        <v>147</v>
      </c>
      <c r="AO9" s="409"/>
      <c r="AP9" s="409"/>
      <c r="AQ9" s="409"/>
      <c r="AR9" s="409"/>
      <c r="AS9" s="410"/>
      <c r="AT9" s="67"/>
    </row>
    <row r="10" spans="2:46" ht="15.5" x14ac:dyDescent="0.35">
      <c r="E10" s="411"/>
      <c r="F10" s="199" t="s">
        <v>121</v>
      </c>
      <c r="G10" s="408"/>
      <c r="H10" s="410"/>
      <c r="I10" s="41"/>
      <c r="J10" s="408"/>
      <c r="K10" s="410"/>
      <c r="L10" s="273">
        <f>'TUBULAR AZUL'!G23</f>
        <v>8.1199999999999992</v>
      </c>
      <c r="M10" s="273">
        <v>168</v>
      </c>
      <c r="N10" s="273">
        <f>M10-L10</f>
        <v>159.88</v>
      </c>
      <c r="O10" s="273">
        <f>'TUBULAR AZUL'!M23</f>
        <v>612</v>
      </c>
      <c r="P10" s="41">
        <v>17500</v>
      </c>
      <c r="Q10" s="274">
        <f>O10/P10</f>
        <v>3.497142857142857E-2</v>
      </c>
      <c r="R10" s="408" t="s">
        <v>131</v>
      </c>
      <c r="S10" s="409"/>
      <c r="T10" s="409"/>
      <c r="U10" s="409"/>
      <c r="V10" s="409"/>
      <c r="W10" s="410"/>
      <c r="X10" s="67"/>
      <c r="AA10" s="411"/>
      <c r="AB10" s="199" t="s">
        <v>121</v>
      </c>
      <c r="AC10" s="408"/>
      <c r="AD10" s="410"/>
      <c r="AE10" s="41"/>
      <c r="AF10" s="408"/>
      <c r="AG10" s="410"/>
      <c r="AH10" s="273">
        <v>95.39</v>
      </c>
      <c r="AI10" s="273">
        <v>168</v>
      </c>
      <c r="AJ10" s="273">
        <f>AI10-AH10</f>
        <v>72.61</v>
      </c>
      <c r="AK10" s="273">
        <v>10259</v>
      </c>
      <c r="AL10" s="41">
        <v>14000</v>
      </c>
      <c r="AM10" s="274">
        <f>AK10/AL10</f>
        <v>0.73278571428571426</v>
      </c>
      <c r="AN10" s="408" t="s">
        <v>148</v>
      </c>
      <c r="AO10" s="409"/>
      <c r="AP10" s="409"/>
      <c r="AQ10" s="409"/>
      <c r="AR10" s="409"/>
      <c r="AS10" s="410"/>
      <c r="AT10" s="67"/>
    </row>
    <row r="11" spans="2:46" ht="15.5" x14ac:dyDescent="0.35">
      <c r="E11" s="411"/>
      <c r="F11" s="277" t="s">
        <v>122</v>
      </c>
      <c r="G11" s="408"/>
      <c r="H11" s="410"/>
      <c r="I11" s="41"/>
      <c r="J11" s="408"/>
      <c r="K11" s="410"/>
      <c r="L11" s="273">
        <f>'MAQUINA FINA'!G20</f>
        <v>0</v>
      </c>
      <c r="M11" s="273">
        <v>168</v>
      </c>
      <c r="N11" s="273">
        <f>M11-L11</f>
        <v>168</v>
      </c>
      <c r="O11" s="41">
        <f>'MAQUINA FINA'!I20</f>
        <v>0</v>
      </c>
      <c r="P11" s="41">
        <v>42000</v>
      </c>
      <c r="Q11" s="274">
        <f>O11/P11</f>
        <v>0</v>
      </c>
      <c r="R11" s="408" t="s">
        <v>130</v>
      </c>
      <c r="S11" s="409"/>
      <c r="T11" s="409"/>
      <c r="U11" s="409"/>
      <c r="V11" s="409"/>
      <c r="W11" s="410"/>
      <c r="X11" s="67"/>
      <c r="AA11" s="411"/>
      <c r="AB11" s="277" t="s">
        <v>122</v>
      </c>
      <c r="AC11" s="408"/>
      <c r="AD11" s="410"/>
      <c r="AE11" s="41"/>
      <c r="AF11" s="408"/>
      <c r="AG11" s="410"/>
      <c r="AH11" s="273">
        <f>'MAQUINA FINA'!AC20</f>
        <v>0</v>
      </c>
      <c r="AI11" s="273">
        <v>168</v>
      </c>
      <c r="AJ11" s="273">
        <f>AI11-AH11</f>
        <v>168</v>
      </c>
      <c r="AK11" s="41">
        <f>'MAQUINA FINA'!AE20</f>
        <v>0</v>
      </c>
      <c r="AL11" s="41">
        <v>42000</v>
      </c>
      <c r="AM11" s="274">
        <f>AK11/AL11</f>
        <v>0</v>
      </c>
      <c r="AN11" s="408"/>
      <c r="AO11" s="409"/>
      <c r="AP11" s="409"/>
      <c r="AQ11" s="409"/>
      <c r="AR11" s="409"/>
      <c r="AS11" s="410"/>
      <c r="AT11" s="67"/>
    </row>
    <row r="12" spans="2:46" ht="16" thickBot="1" x14ac:dyDescent="0.4">
      <c r="E12" s="68"/>
      <c r="F12" s="159" t="s">
        <v>114</v>
      </c>
      <c r="G12" s="67"/>
      <c r="H12" s="67"/>
      <c r="I12" s="67"/>
      <c r="J12" s="67"/>
      <c r="K12" s="67"/>
      <c r="L12" s="278">
        <f>SUM(L6:L11)/5</f>
        <v>5.0399999999999991</v>
      </c>
      <c r="M12" s="278"/>
      <c r="N12" s="278"/>
      <c r="O12" s="67">
        <f>SUM(O6:O11)</f>
        <v>6226</v>
      </c>
      <c r="P12" s="67">
        <f>SUM(P6:P11)</f>
        <v>266000</v>
      </c>
      <c r="Q12" s="67"/>
      <c r="R12" s="67"/>
      <c r="S12" s="67"/>
      <c r="T12" s="67"/>
      <c r="U12" s="67"/>
      <c r="V12" s="67"/>
      <c r="W12" s="67"/>
      <c r="X12" s="67"/>
      <c r="AA12" s="68"/>
      <c r="AB12" s="159" t="s">
        <v>114</v>
      </c>
      <c r="AC12" s="67"/>
      <c r="AD12" s="67"/>
      <c r="AE12" s="67"/>
      <c r="AF12" s="67"/>
      <c r="AG12" s="67"/>
      <c r="AH12" s="278">
        <f>SUM(AH6:AH11)/5</f>
        <v>97.677999999999997</v>
      </c>
      <c r="AI12" s="278"/>
      <c r="AJ12" s="278"/>
      <c r="AK12" s="67">
        <f>SUM(AK6:AK11)</f>
        <v>156533</v>
      </c>
      <c r="AL12" s="67">
        <f>SUM(AL6:AL11)</f>
        <v>255500</v>
      </c>
      <c r="AM12" s="67"/>
      <c r="AN12" s="67"/>
      <c r="AO12" s="67"/>
      <c r="AP12" s="67"/>
      <c r="AQ12" s="67"/>
      <c r="AR12" s="67"/>
      <c r="AS12" s="67"/>
      <c r="AT12" s="67"/>
    </row>
    <row r="13" spans="2:46" ht="16" thickBot="1" x14ac:dyDescent="0.4">
      <c r="E13" s="261" t="s">
        <v>1</v>
      </c>
      <c r="F13" s="262" t="s">
        <v>99</v>
      </c>
      <c r="G13" s="404" t="s">
        <v>100</v>
      </c>
      <c r="H13" s="404"/>
      <c r="I13" s="404"/>
      <c r="J13" s="404"/>
      <c r="K13" s="404"/>
      <c r="L13" s="262" t="s">
        <v>101</v>
      </c>
      <c r="M13" s="262" t="s">
        <v>116</v>
      </c>
      <c r="N13" s="262" t="s">
        <v>117</v>
      </c>
      <c r="O13" s="262" t="s">
        <v>102</v>
      </c>
      <c r="P13" s="262" t="s">
        <v>103</v>
      </c>
      <c r="Q13" s="279" t="s">
        <v>104</v>
      </c>
      <c r="R13" s="405" t="s">
        <v>21</v>
      </c>
      <c r="S13" s="406"/>
      <c r="T13" s="406"/>
      <c r="U13" s="406"/>
      <c r="V13" s="406"/>
      <c r="W13" s="407"/>
      <c r="X13" s="67"/>
      <c r="AA13" s="261" t="s">
        <v>1</v>
      </c>
      <c r="AB13" s="262" t="s">
        <v>99</v>
      </c>
      <c r="AC13" s="404" t="s">
        <v>100</v>
      </c>
      <c r="AD13" s="404"/>
      <c r="AE13" s="404"/>
      <c r="AF13" s="404"/>
      <c r="AG13" s="404"/>
      <c r="AH13" s="262" t="s">
        <v>101</v>
      </c>
      <c r="AI13" s="262" t="s">
        <v>116</v>
      </c>
      <c r="AJ13" s="262" t="s">
        <v>117</v>
      </c>
      <c r="AK13" s="262" t="s">
        <v>102</v>
      </c>
      <c r="AL13" s="262" t="s">
        <v>103</v>
      </c>
      <c r="AM13" s="279" t="s">
        <v>104</v>
      </c>
      <c r="AN13" s="405" t="s">
        <v>21</v>
      </c>
      <c r="AO13" s="406"/>
      <c r="AP13" s="406"/>
      <c r="AQ13" s="406"/>
      <c r="AR13" s="406"/>
      <c r="AS13" s="407"/>
      <c r="AT13" s="67"/>
    </row>
    <row r="14" spans="2:46" ht="15.5" x14ac:dyDescent="0.35">
      <c r="E14" s="266"/>
      <c r="F14" s="266"/>
      <c r="G14" s="267" t="s">
        <v>105</v>
      </c>
      <c r="H14" s="268" t="s">
        <v>106</v>
      </c>
      <c r="I14" s="268" t="s">
        <v>107</v>
      </c>
      <c r="J14" s="268" t="s">
        <v>108</v>
      </c>
      <c r="K14" s="268" t="s">
        <v>109</v>
      </c>
      <c r="L14" s="269"/>
      <c r="M14" s="269"/>
      <c r="N14" s="269"/>
      <c r="O14" s="269"/>
      <c r="P14" s="269"/>
      <c r="Q14" s="280"/>
      <c r="R14" s="408"/>
      <c r="S14" s="409"/>
      <c r="T14" s="409"/>
      <c r="U14" s="409"/>
      <c r="V14" s="409"/>
      <c r="W14" s="410"/>
      <c r="X14" s="67"/>
      <c r="AA14" s="266"/>
      <c r="AB14" s="266"/>
      <c r="AC14" s="267" t="s">
        <v>105</v>
      </c>
      <c r="AD14" s="268" t="s">
        <v>106</v>
      </c>
      <c r="AE14" s="268" t="s">
        <v>107</v>
      </c>
      <c r="AF14" s="268" t="s">
        <v>108</v>
      </c>
      <c r="AG14" s="268" t="s">
        <v>109</v>
      </c>
      <c r="AH14" s="269"/>
      <c r="AI14" s="269"/>
      <c r="AJ14" s="269"/>
      <c r="AK14" s="269"/>
      <c r="AL14" s="269"/>
      <c r="AM14" s="280"/>
      <c r="AN14" s="408" t="s">
        <v>149</v>
      </c>
      <c r="AO14" s="409"/>
      <c r="AP14" s="409"/>
      <c r="AQ14" s="409"/>
      <c r="AR14" s="409"/>
      <c r="AS14" s="410"/>
      <c r="AT14" s="67"/>
    </row>
    <row r="15" spans="2:46" ht="15.5" x14ac:dyDescent="0.35">
      <c r="E15" s="411" t="s">
        <v>126</v>
      </c>
      <c r="F15" s="200" t="s">
        <v>119</v>
      </c>
      <c r="G15" s="41" t="s">
        <v>115</v>
      </c>
      <c r="H15" s="41" t="s">
        <v>115</v>
      </c>
      <c r="I15" s="41"/>
      <c r="J15" s="41"/>
      <c r="K15" s="41"/>
      <c r="L15" s="273">
        <f>'TUBULAR VERDE'!G62</f>
        <v>0</v>
      </c>
      <c r="M15" s="273">
        <v>168</v>
      </c>
      <c r="N15" s="273">
        <f>M15-L15</f>
        <v>168</v>
      </c>
      <c r="O15" s="41">
        <f>'TUBULAR VERDE'!M62</f>
        <v>0</v>
      </c>
      <c r="P15" s="41">
        <v>31500</v>
      </c>
      <c r="Q15" s="280">
        <f>O15/P15</f>
        <v>0</v>
      </c>
      <c r="R15" s="408" t="s">
        <v>137</v>
      </c>
      <c r="S15" s="409"/>
      <c r="T15" s="409"/>
      <c r="U15" s="409"/>
      <c r="V15" s="409"/>
      <c r="W15" s="410"/>
      <c r="X15" s="67"/>
      <c r="AA15" s="411" t="s">
        <v>144</v>
      </c>
      <c r="AB15" s="200" t="s">
        <v>119</v>
      </c>
      <c r="AC15" s="41" t="s">
        <v>110</v>
      </c>
      <c r="AD15" s="41"/>
      <c r="AE15" s="41"/>
      <c r="AF15" s="41"/>
      <c r="AG15" s="41"/>
      <c r="AH15" s="273">
        <v>165.67</v>
      </c>
      <c r="AI15" s="273">
        <v>168</v>
      </c>
      <c r="AJ15" s="273">
        <f>AI15-AH15</f>
        <v>2.3300000000000125</v>
      </c>
      <c r="AK15" s="41">
        <v>26639</v>
      </c>
      <c r="AL15" s="41">
        <v>28000</v>
      </c>
      <c r="AM15" s="280">
        <f>AK15/AL15</f>
        <v>0.95139285714285715</v>
      </c>
      <c r="AN15" s="408" t="s">
        <v>150</v>
      </c>
      <c r="AO15" s="409"/>
      <c r="AP15" s="409"/>
      <c r="AQ15" s="409"/>
      <c r="AR15" s="409"/>
      <c r="AS15" s="410"/>
      <c r="AT15" s="67"/>
    </row>
    <row r="16" spans="2:46" ht="15.5" x14ac:dyDescent="0.35">
      <c r="E16" s="411"/>
      <c r="F16" s="275" t="s">
        <v>86</v>
      </c>
      <c r="G16" s="41"/>
      <c r="H16" s="41"/>
      <c r="I16" s="41"/>
      <c r="J16" s="41"/>
      <c r="K16" s="41"/>
      <c r="L16" s="273">
        <f>'MAQUINA DE ESCARCHA GRUESA'!G62</f>
        <v>0</v>
      </c>
      <c r="M16" s="273">
        <v>168</v>
      </c>
      <c r="N16" s="273">
        <f>M16-L16</f>
        <v>168</v>
      </c>
      <c r="O16" s="41">
        <f>'MAQUINA DE ESCARCHA GRUESA'!O62</f>
        <v>0</v>
      </c>
      <c r="P16" s="41">
        <v>105000</v>
      </c>
      <c r="Q16" s="280">
        <f>O16/P16</f>
        <v>0</v>
      </c>
      <c r="R16" s="408" t="s">
        <v>137</v>
      </c>
      <c r="S16" s="409"/>
      <c r="T16" s="409"/>
      <c r="U16" s="409"/>
      <c r="V16" s="409"/>
      <c r="W16" s="410"/>
      <c r="X16" s="67"/>
      <c r="AA16" s="411"/>
      <c r="AB16" s="275" t="s">
        <v>86</v>
      </c>
      <c r="AC16" s="41" t="s">
        <v>110</v>
      </c>
      <c r="AD16" s="41"/>
      <c r="AE16" s="41"/>
      <c r="AF16" s="41"/>
      <c r="AG16" s="41"/>
      <c r="AH16" s="273">
        <v>163</v>
      </c>
      <c r="AI16" s="273">
        <v>168</v>
      </c>
      <c r="AJ16" s="273">
        <f>AI16-AH16</f>
        <v>5</v>
      </c>
      <c r="AK16" s="41">
        <v>92975</v>
      </c>
      <c r="AL16" s="41">
        <v>101500</v>
      </c>
      <c r="AM16" s="280">
        <f>AK16/AL16</f>
        <v>0.9160098522167488</v>
      </c>
      <c r="AN16" s="408" t="s">
        <v>151</v>
      </c>
      <c r="AO16" s="409"/>
      <c r="AP16" s="409"/>
      <c r="AQ16" s="409"/>
      <c r="AR16" s="409"/>
      <c r="AS16" s="410"/>
      <c r="AT16" s="67"/>
    </row>
    <row r="17" spans="5:46" ht="15.5" x14ac:dyDescent="0.35">
      <c r="E17" s="411"/>
      <c r="F17" s="105"/>
      <c r="G17" s="405" t="s">
        <v>111</v>
      </c>
      <c r="H17" s="407"/>
      <c r="I17" s="125" t="s">
        <v>112</v>
      </c>
      <c r="J17" s="405" t="s">
        <v>113</v>
      </c>
      <c r="K17" s="407"/>
      <c r="L17" s="67"/>
      <c r="M17" s="282"/>
      <c r="N17" s="273"/>
      <c r="O17" s="282"/>
      <c r="P17" s="67"/>
      <c r="Q17" s="280"/>
      <c r="R17" s="408"/>
      <c r="S17" s="409"/>
      <c r="T17" s="409"/>
      <c r="U17" s="409"/>
      <c r="V17" s="409"/>
      <c r="W17" s="410"/>
      <c r="X17" s="67"/>
      <c r="AA17" s="411"/>
      <c r="AB17" s="105"/>
      <c r="AC17" s="405" t="s">
        <v>111</v>
      </c>
      <c r="AD17" s="407"/>
      <c r="AE17" s="125" t="s">
        <v>112</v>
      </c>
      <c r="AF17" s="405" t="s">
        <v>113</v>
      </c>
      <c r="AG17" s="407"/>
      <c r="AH17" s="67"/>
      <c r="AI17" s="282"/>
      <c r="AJ17" s="273"/>
      <c r="AK17" s="282"/>
      <c r="AL17" s="67"/>
      <c r="AM17" s="280"/>
      <c r="AN17" s="408"/>
      <c r="AO17" s="409"/>
      <c r="AP17" s="409"/>
      <c r="AQ17" s="409"/>
      <c r="AR17" s="409"/>
      <c r="AS17" s="410"/>
      <c r="AT17" s="67"/>
    </row>
    <row r="18" spans="5:46" ht="15.5" x14ac:dyDescent="0.35">
      <c r="E18" s="411"/>
      <c r="F18" s="276" t="s">
        <v>120</v>
      </c>
      <c r="G18" s="408"/>
      <c r="H18" s="410"/>
      <c r="I18" s="41"/>
      <c r="J18" s="408"/>
      <c r="K18" s="410"/>
      <c r="L18" s="273">
        <f>GRIS!G61</f>
        <v>0</v>
      </c>
      <c r="M18" s="273">
        <v>168</v>
      </c>
      <c r="N18" s="273">
        <f>M18-L18</f>
        <v>168</v>
      </c>
      <c r="O18" s="41">
        <f>GRIS!N61</f>
        <v>0</v>
      </c>
      <c r="P18" s="41">
        <v>70000</v>
      </c>
      <c r="Q18" s="280">
        <f>O18/P18</f>
        <v>0</v>
      </c>
      <c r="R18" s="408"/>
      <c r="S18" s="409"/>
      <c r="T18" s="409"/>
      <c r="U18" s="409"/>
      <c r="V18" s="409"/>
      <c r="W18" s="410"/>
      <c r="X18" s="67"/>
      <c r="AA18" s="411"/>
      <c r="AB18" s="276" t="s">
        <v>120</v>
      </c>
      <c r="AC18" s="408"/>
      <c r="AD18" s="410"/>
      <c r="AE18" s="41"/>
      <c r="AF18" s="408"/>
      <c r="AG18" s="410"/>
      <c r="AH18" s="273">
        <v>158</v>
      </c>
      <c r="AI18" s="273">
        <v>168</v>
      </c>
      <c r="AJ18" s="273">
        <f>AI18-AH18</f>
        <v>10</v>
      </c>
      <c r="AK18" s="41">
        <v>63940</v>
      </c>
      <c r="AL18" s="41">
        <v>70000</v>
      </c>
      <c r="AM18" s="280">
        <f>AK18/AL18</f>
        <v>0.91342857142857148</v>
      </c>
      <c r="AN18" s="408" t="s">
        <v>150</v>
      </c>
      <c r="AO18" s="409"/>
      <c r="AP18" s="409"/>
      <c r="AQ18" s="409"/>
      <c r="AR18" s="409"/>
      <c r="AS18" s="410"/>
      <c r="AT18" s="67"/>
    </row>
    <row r="19" spans="5:46" ht="15.5" x14ac:dyDescent="0.35">
      <c r="E19" s="411"/>
      <c r="F19" s="199" t="s">
        <v>121</v>
      </c>
      <c r="G19" s="408"/>
      <c r="H19" s="410"/>
      <c r="I19" s="41"/>
      <c r="J19" s="408"/>
      <c r="K19" s="410"/>
      <c r="L19" s="273">
        <f>'TUBULAR AZUL'!G39</f>
        <v>7.89</v>
      </c>
      <c r="M19" s="273">
        <v>168</v>
      </c>
      <c r="N19" s="273">
        <f>M19-L19</f>
        <v>160.11000000000001</v>
      </c>
      <c r="O19" s="273">
        <f>'TUBULAR AZUL'!M39</f>
        <v>837</v>
      </c>
      <c r="P19" s="41">
        <v>17500</v>
      </c>
      <c r="Q19" s="280">
        <f>O19/P19</f>
        <v>4.7828571428571429E-2</v>
      </c>
      <c r="R19" s="408" t="s">
        <v>131</v>
      </c>
      <c r="S19" s="409"/>
      <c r="T19" s="409"/>
      <c r="U19" s="409"/>
      <c r="V19" s="409"/>
      <c r="W19" s="410"/>
      <c r="X19" s="67"/>
      <c r="AA19" s="411"/>
      <c r="AB19" s="199" t="s">
        <v>121</v>
      </c>
      <c r="AC19" s="408"/>
      <c r="AD19" s="410"/>
      <c r="AE19" s="41"/>
      <c r="AF19" s="408"/>
      <c r="AG19" s="410"/>
      <c r="AH19" s="273">
        <v>66.099999999999994</v>
      </c>
      <c r="AI19" s="273">
        <v>168</v>
      </c>
      <c r="AJ19" s="273">
        <f>AI19-AH19</f>
        <v>101.9</v>
      </c>
      <c r="AK19" s="273">
        <v>6690</v>
      </c>
      <c r="AL19" s="41">
        <v>14000</v>
      </c>
      <c r="AM19" s="280">
        <f>AK19/AL19</f>
        <v>0.47785714285714287</v>
      </c>
      <c r="AN19" s="408" t="s">
        <v>152</v>
      </c>
      <c r="AO19" s="409"/>
      <c r="AP19" s="409"/>
      <c r="AQ19" s="409"/>
      <c r="AR19" s="409"/>
      <c r="AS19" s="410"/>
      <c r="AT19" s="67"/>
    </row>
    <row r="20" spans="5:46" ht="15.5" x14ac:dyDescent="0.35">
      <c r="E20" s="411"/>
      <c r="F20" s="277" t="s">
        <v>122</v>
      </c>
      <c r="G20" s="408"/>
      <c r="H20" s="410"/>
      <c r="I20" s="41"/>
      <c r="J20" s="408"/>
      <c r="K20" s="410"/>
      <c r="L20" s="273">
        <v>0</v>
      </c>
      <c r="M20" s="273">
        <v>168</v>
      </c>
      <c r="N20" s="273">
        <f>M20-L20</f>
        <v>168</v>
      </c>
      <c r="O20" s="41">
        <v>0</v>
      </c>
      <c r="P20" s="41">
        <v>42000</v>
      </c>
      <c r="Q20" s="280">
        <f>O20/P20</f>
        <v>0</v>
      </c>
      <c r="R20" s="408" t="s">
        <v>133</v>
      </c>
      <c r="S20" s="409"/>
      <c r="T20" s="409"/>
      <c r="U20" s="409"/>
      <c r="V20" s="409"/>
      <c r="W20" s="410"/>
      <c r="X20" s="67"/>
      <c r="AA20" s="411"/>
      <c r="AB20" s="277" t="s">
        <v>122</v>
      </c>
      <c r="AC20" s="408"/>
      <c r="AD20" s="410"/>
      <c r="AE20" s="41"/>
      <c r="AF20" s="408"/>
      <c r="AG20" s="410"/>
      <c r="AH20" s="273">
        <v>0</v>
      </c>
      <c r="AI20" s="273">
        <v>168</v>
      </c>
      <c r="AJ20" s="273">
        <f>AI20-AH20</f>
        <v>168</v>
      </c>
      <c r="AK20" s="41">
        <v>0</v>
      </c>
      <c r="AL20" s="41">
        <v>42000</v>
      </c>
      <c r="AM20" s="280">
        <f>AK20/AL20</f>
        <v>0</v>
      </c>
      <c r="AN20" s="408" t="s">
        <v>153</v>
      </c>
      <c r="AO20" s="409"/>
      <c r="AP20" s="409"/>
      <c r="AQ20" s="409"/>
      <c r="AR20" s="409"/>
      <c r="AS20" s="410"/>
      <c r="AT20" s="67"/>
    </row>
    <row r="21" spans="5:46" ht="16" thickBot="1" x14ac:dyDescent="0.4">
      <c r="E21" s="68"/>
      <c r="F21" s="159" t="s">
        <v>114</v>
      </c>
      <c r="G21" s="67"/>
      <c r="H21" s="67"/>
      <c r="I21" s="67"/>
      <c r="J21" s="67"/>
      <c r="K21" s="67"/>
      <c r="L21" s="278">
        <f>SUM(L15:L20)/5</f>
        <v>1.5779999999999998</v>
      </c>
      <c r="M21" s="278"/>
      <c r="N21" s="278"/>
      <c r="O21" s="278">
        <f>SUM(O15:O20)</f>
        <v>837</v>
      </c>
      <c r="P21" s="67"/>
      <c r="Q21" s="67"/>
      <c r="R21" s="67"/>
      <c r="S21" s="67"/>
      <c r="T21" s="67"/>
      <c r="U21" s="67"/>
      <c r="V21" s="67"/>
      <c r="W21" s="67"/>
      <c r="X21" s="67"/>
      <c r="AA21" s="68"/>
      <c r="AB21" s="159" t="s">
        <v>114</v>
      </c>
      <c r="AC21" s="67"/>
      <c r="AD21" s="67"/>
      <c r="AE21" s="67"/>
      <c r="AF21" s="67"/>
      <c r="AG21" s="67"/>
      <c r="AH21" s="278">
        <f>SUM(AH15:AH20)/5</f>
        <v>110.554</v>
      </c>
      <c r="AI21" s="278"/>
      <c r="AJ21" s="278"/>
      <c r="AK21" s="278">
        <f>SUM(AK15:AK20)</f>
        <v>190244</v>
      </c>
      <c r="AL21" s="67"/>
      <c r="AM21" s="67"/>
      <c r="AN21" s="67"/>
      <c r="AO21" s="67"/>
      <c r="AP21" s="67"/>
      <c r="AQ21" s="67"/>
      <c r="AR21" s="67"/>
      <c r="AS21" s="67"/>
      <c r="AT21" s="67"/>
    </row>
    <row r="22" spans="5:46" ht="16" thickBot="1" x14ac:dyDescent="0.4">
      <c r="E22" s="261" t="s">
        <v>1</v>
      </c>
      <c r="F22" s="262" t="s">
        <v>99</v>
      </c>
      <c r="G22" s="404" t="s">
        <v>100</v>
      </c>
      <c r="H22" s="404"/>
      <c r="I22" s="404"/>
      <c r="J22" s="404"/>
      <c r="K22" s="404"/>
      <c r="L22" s="262" t="s">
        <v>101</v>
      </c>
      <c r="M22" s="262" t="s">
        <v>116</v>
      </c>
      <c r="N22" s="262" t="s">
        <v>117</v>
      </c>
      <c r="O22" s="262" t="s">
        <v>102</v>
      </c>
      <c r="P22" s="262" t="s">
        <v>103</v>
      </c>
      <c r="Q22" s="263" t="s">
        <v>104</v>
      </c>
      <c r="R22" s="412" t="s">
        <v>21</v>
      </c>
      <c r="S22" s="413"/>
      <c r="T22" s="413"/>
      <c r="U22" s="413"/>
      <c r="V22" s="413"/>
      <c r="W22" s="414"/>
      <c r="X22" s="67"/>
      <c r="AA22" s="261" t="s">
        <v>1</v>
      </c>
      <c r="AB22" s="262" t="s">
        <v>99</v>
      </c>
      <c r="AC22" s="404" t="s">
        <v>100</v>
      </c>
      <c r="AD22" s="404"/>
      <c r="AE22" s="404"/>
      <c r="AF22" s="404"/>
      <c r="AG22" s="404"/>
      <c r="AH22" s="262" t="s">
        <v>101</v>
      </c>
      <c r="AI22" s="262" t="s">
        <v>116</v>
      </c>
      <c r="AJ22" s="262" t="s">
        <v>117</v>
      </c>
      <c r="AK22" s="262" t="s">
        <v>102</v>
      </c>
      <c r="AL22" s="262" t="s">
        <v>103</v>
      </c>
      <c r="AM22" s="263" t="s">
        <v>104</v>
      </c>
      <c r="AN22" s="412" t="s">
        <v>21</v>
      </c>
      <c r="AO22" s="413"/>
      <c r="AP22" s="413"/>
      <c r="AQ22" s="413"/>
      <c r="AR22" s="413"/>
      <c r="AS22" s="414"/>
      <c r="AT22" s="67"/>
    </row>
    <row r="23" spans="5:46" ht="15.5" x14ac:dyDescent="0.35">
      <c r="E23" s="266"/>
      <c r="F23" s="266"/>
      <c r="G23" s="267" t="s">
        <v>105</v>
      </c>
      <c r="H23" s="268" t="s">
        <v>106</v>
      </c>
      <c r="I23" s="268" t="s">
        <v>107</v>
      </c>
      <c r="J23" s="268" t="s">
        <v>108</v>
      </c>
      <c r="K23" s="268" t="s">
        <v>109</v>
      </c>
      <c r="L23" s="269"/>
      <c r="M23" s="269"/>
      <c r="N23" s="269"/>
      <c r="O23" s="269"/>
      <c r="P23" s="269"/>
      <c r="Q23" s="283"/>
      <c r="R23" s="415"/>
      <c r="S23" s="416"/>
      <c r="T23" s="416"/>
      <c r="U23" s="416"/>
      <c r="V23" s="416"/>
      <c r="W23" s="417"/>
      <c r="X23" s="67"/>
      <c r="AA23" s="266"/>
      <c r="AB23" s="266"/>
      <c r="AC23" s="267" t="s">
        <v>105</v>
      </c>
      <c r="AD23" s="268" t="s">
        <v>106</v>
      </c>
      <c r="AE23" s="268" t="s">
        <v>107</v>
      </c>
      <c r="AF23" s="268" t="s">
        <v>108</v>
      </c>
      <c r="AG23" s="268" t="s">
        <v>109</v>
      </c>
      <c r="AH23" s="269"/>
      <c r="AI23" s="269"/>
      <c r="AJ23" s="269"/>
      <c r="AK23" s="269"/>
      <c r="AL23" s="269"/>
      <c r="AM23" s="283"/>
      <c r="AN23" s="415"/>
      <c r="AO23" s="416"/>
      <c r="AP23" s="416"/>
      <c r="AQ23" s="416"/>
      <c r="AR23" s="416"/>
      <c r="AS23" s="417"/>
      <c r="AT23" s="67"/>
    </row>
    <row r="24" spans="5:46" ht="15.5" x14ac:dyDescent="0.35">
      <c r="E24" s="411" t="s">
        <v>127</v>
      </c>
      <c r="F24" s="200" t="s">
        <v>119</v>
      </c>
      <c r="G24" s="41"/>
      <c r="H24" s="41" t="s">
        <v>115</v>
      </c>
      <c r="I24" s="41"/>
      <c r="J24" s="41"/>
      <c r="K24" s="41"/>
      <c r="L24" s="273">
        <f>'TUBULAR VERDE'!G87</f>
        <v>0</v>
      </c>
      <c r="M24" s="273">
        <v>168</v>
      </c>
      <c r="N24" s="273">
        <f>M24-L24</f>
        <v>168</v>
      </c>
      <c r="O24" s="41">
        <f>'TUBULAR VERDE'!M87</f>
        <v>0</v>
      </c>
      <c r="P24" s="41">
        <v>31500</v>
      </c>
      <c r="Q24" s="280">
        <f>O24/P24</f>
        <v>0</v>
      </c>
      <c r="R24" s="408" t="s">
        <v>134</v>
      </c>
      <c r="S24" s="409"/>
      <c r="T24" s="409"/>
      <c r="U24" s="409"/>
      <c r="V24" s="409"/>
      <c r="W24" s="410"/>
      <c r="X24" s="67"/>
      <c r="AA24" s="411" t="s">
        <v>138</v>
      </c>
      <c r="AB24" s="200" t="s">
        <v>119</v>
      </c>
      <c r="AC24" s="41"/>
      <c r="AD24" s="41" t="s">
        <v>115</v>
      </c>
      <c r="AE24" s="41"/>
      <c r="AF24" s="41"/>
      <c r="AG24" s="41"/>
      <c r="AH24" s="273">
        <f>'TUBULAR VERDE'!AC87</f>
        <v>0</v>
      </c>
      <c r="AI24" s="273">
        <v>168</v>
      </c>
      <c r="AJ24" s="273">
        <f>AI24-AH24</f>
        <v>168</v>
      </c>
      <c r="AK24" s="41">
        <f>'TUBULAR VERDE'!AI87</f>
        <v>0</v>
      </c>
      <c r="AL24" s="41">
        <v>31500</v>
      </c>
      <c r="AM24" s="280">
        <f>AK24/AL24</f>
        <v>0</v>
      </c>
      <c r="AN24" s="408" t="s">
        <v>134</v>
      </c>
      <c r="AO24" s="409"/>
      <c r="AP24" s="409"/>
      <c r="AQ24" s="409"/>
      <c r="AR24" s="409"/>
      <c r="AS24" s="410"/>
      <c r="AT24" s="67"/>
    </row>
    <row r="25" spans="5:46" ht="15.5" x14ac:dyDescent="0.35">
      <c r="E25" s="411"/>
      <c r="F25" s="275" t="s">
        <v>86</v>
      </c>
      <c r="G25" s="41"/>
      <c r="H25" s="41"/>
      <c r="I25" s="41"/>
      <c r="J25" s="41"/>
      <c r="K25" s="41"/>
      <c r="L25" s="273">
        <f>'MAQUINA DE ESCARCHA GRUESA'!G87</f>
        <v>0</v>
      </c>
      <c r="M25" s="273">
        <v>168</v>
      </c>
      <c r="N25" s="273">
        <f>M25-L25</f>
        <v>168</v>
      </c>
      <c r="O25" s="41">
        <f>'MAQUINA DE ESCARCHA GRUESA'!O87</f>
        <v>0</v>
      </c>
      <c r="P25" s="41">
        <v>105000</v>
      </c>
      <c r="Q25" s="280">
        <f>O25/P25</f>
        <v>0</v>
      </c>
      <c r="R25" s="408" t="s">
        <v>134</v>
      </c>
      <c r="S25" s="409"/>
      <c r="T25" s="409"/>
      <c r="U25" s="409"/>
      <c r="V25" s="409"/>
      <c r="W25" s="410"/>
      <c r="X25" s="67"/>
      <c r="AA25" s="411"/>
      <c r="AB25" s="275" t="s">
        <v>86</v>
      </c>
      <c r="AC25" s="41"/>
      <c r="AD25" s="41"/>
      <c r="AE25" s="41"/>
      <c r="AF25" s="41"/>
      <c r="AG25" s="41"/>
      <c r="AH25" s="273">
        <f>'MAQUINA DE ESCARCHA GRUESA'!AC87</f>
        <v>0</v>
      </c>
      <c r="AI25" s="273">
        <v>168</v>
      </c>
      <c r="AJ25" s="273">
        <f>AI25-AH25</f>
        <v>168</v>
      </c>
      <c r="AK25" s="41">
        <f>'MAQUINA DE ESCARCHA GRUESA'!AK87</f>
        <v>0</v>
      </c>
      <c r="AL25" s="41">
        <v>105000</v>
      </c>
      <c r="AM25" s="280">
        <f>AK25/AL25</f>
        <v>0</v>
      </c>
      <c r="AN25" s="408" t="s">
        <v>134</v>
      </c>
      <c r="AO25" s="409"/>
      <c r="AP25" s="409"/>
      <c r="AQ25" s="409"/>
      <c r="AR25" s="409"/>
      <c r="AS25" s="410"/>
      <c r="AT25" s="67"/>
    </row>
    <row r="26" spans="5:46" ht="15.5" x14ac:dyDescent="0.35">
      <c r="E26" s="411"/>
      <c r="F26" s="105"/>
      <c r="G26" s="405" t="s">
        <v>111</v>
      </c>
      <c r="H26" s="407"/>
      <c r="I26" s="125" t="s">
        <v>112</v>
      </c>
      <c r="J26" s="405" t="s">
        <v>113</v>
      </c>
      <c r="K26" s="407"/>
      <c r="L26" s="281"/>
      <c r="M26" s="282"/>
      <c r="N26" s="273"/>
      <c r="O26" s="282"/>
      <c r="P26" s="67"/>
      <c r="Q26" s="280"/>
      <c r="R26" s="408"/>
      <c r="S26" s="409"/>
      <c r="T26" s="409"/>
      <c r="U26" s="409"/>
      <c r="V26" s="409"/>
      <c r="W26" s="410"/>
      <c r="X26" s="67"/>
      <c r="AA26" s="411"/>
      <c r="AB26" s="105"/>
      <c r="AC26" s="405" t="s">
        <v>111</v>
      </c>
      <c r="AD26" s="407"/>
      <c r="AE26" s="125" t="s">
        <v>112</v>
      </c>
      <c r="AF26" s="405" t="s">
        <v>113</v>
      </c>
      <c r="AG26" s="407"/>
      <c r="AH26" s="281"/>
      <c r="AI26" s="282"/>
      <c r="AJ26" s="273"/>
      <c r="AK26" s="282"/>
      <c r="AL26" s="67"/>
      <c r="AM26" s="280"/>
      <c r="AN26" s="408"/>
      <c r="AO26" s="409"/>
      <c r="AP26" s="409"/>
      <c r="AQ26" s="409"/>
      <c r="AR26" s="409"/>
      <c r="AS26" s="410"/>
      <c r="AT26" s="67"/>
    </row>
    <row r="27" spans="5:46" ht="15.5" x14ac:dyDescent="0.35">
      <c r="E27" s="411"/>
      <c r="F27" s="276" t="s">
        <v>120</v>
      </c>
      <c r="G27" s="408"/>
      <c r="H27" s="410"/>
      <c r="I27" s="41"/>
      <c r="J27" s="408"/>
      <c r="K27" s="410"/>
      <c r="L27" s="273">
        <f>GRIS!G80</f>
        <v>0</v>
      </c>
      <c r="M27" s="273">
        <v>168</v>
      </c>
      <c r="N27" s="273">
        <f>M27-L27</f>
        <v>168</v>
      </c>
      <c r="O27" s="41">
        <f>GRIS!N80</f>
        <v>0</v>
      </c>
      <c r="P27" s="41">
        <v>70000</v>
      </c>
      <c r="Q27" s="280">
        <f>O27/P27</f>
        <v>0</v>
      </c>
      <c r="R27" s="408" t="s">
        <v>135</v>
      </c>
      <c r="S27" s="409"/>
      <c r="T27" s="409"/>
      <c r="U27" s="409"/>
      <c r="V27" s="409"/>
      <c r="W27" s="410"/>
      <c r="X27" s="67"/>
      <c r="AA27" s="411"/>
      <c r="AB27" s="276" t="s">
        <v>120</v>
      </c>
      <c r="AC27" s="408"/>
      <c r="AD27" s="410"/>
      <c r="AE27" s="41"/>
      <c r="AF27" s="408"/>
      <c r="AG27" s="410"/>
      <c r="AH27" s="273">
        <f>GRIS!AC80</f>
        <v>0</v>
      </c>
      <c r="AI27" s="273">
        <v>168</v>
      </c>
      <c r="AJ27" s="273">
        <f>AI27-AH27</f>
        <v>168</v>
      </c>
      <c r="AK27" s="41">
        <f>GRIS!AJ80</f>
        <v>0</v>
      </c>
      <c r="AL27" s="41">
        <v>70000</v>
      </c>
      <c r="AM27" s="280">
        <f>AK27/AL27</f>
        <v>0</v>
      </c>
      <c r="AN27" s="408" t="s">
        <v>135</v>
      </c>
      <c r="AO27" s="409"/>
      <c r="AP27" s="409"/>
      <c r="AQ27" s="409"/>
      <c r="AR27" s="409"/>
      <c r="AS27" s="410"/>
      <c r="AT27" s="67"/>
    </row>
    <row r="28" spans="5:46" ht="15.5" x14ac:dyDescent="0.35">
      <c r="E28" s="411"/>
      <c r="F28" s="199" t="s">
        <v>121</v>
      </c>
      <c r="G28" s="408"/>
      <c r="H28" s="410"/>
      <c r="I28" s="41"/>
      <c r="J28" s="408"/>
      <c r="K28" s="410"/>
      <c r="L28" s="273">
        <f>'TUBULAR AZUL'!G61</f>
        <v>0</v>
      </c>
      <c r="M28" s="273">
        <v>168</v>
      </c>
      <c r="N28" s="273">
        <f>M28-L28</f>
        <v>168</v>
      </c>
      <c r="O28" s="41">
        <f>'TUBULAR AZUL'!M61</f>
        <v>0</v>
      </c>
      <c r="P28" s="41">
        <v>17500</v>
      </c>
      <c r="Q28" s="280">
        <f>O28/P28</f>
        <v>0</v>
      </c>
      <c r="R28" s="408" t="s">
        <v>136</v>
      </c>
      <c r="S28" s="409"/>
      <c r="T28" s="409"/>
      <c r="U28" s="409"/>
      <c r="V28" s="409"/>
      <c r="W28" s="410"/>
      <c r="X28" s="67"/>
      <c r="AA28" s="411"/>
      <c r="AB28" s="199" t="s">
        <v>121</v>
      </c>
      <c r="AC28" s="408"/>
      <c r="AD28" s="410"/>
      <c r="AE28" s="41"/>
      <c r="AF28" s="408"/>
      <c r="AG28" s="410"/>
      <c r="AH28" s="273">
        <f>'TUBULAR AZUL'!AC61</f>
        <v>0</v>
      </c>
      <c r="AI28" s="273">
        <v>168</v>
      </c>
      <c r="AJ28" s="273">
        <f>AI28-AH28</f>
        <v>168</v>
      </c>
      <c r="AK28" s="41">
        <f>'TUBULAR AZUL'!AI61</f>
        <v>0</v>
      </c>
      <c r="AL28" s="41">
        <v>17500</v>
      </c>
      <c r="AM28" s="280">
        <f>AK28/AL28</f>
        <v>0</v>
      </c>
      <c r="AN28" s="408" t="s">
        <v>136</v>
      </c>
      <c r="AO28" s="409"/>
      <c r="AP28" s="409"/>
      <c r="AQ28" s="409"/>
      <c r="AR28" s="409"/>
      <c r="AS28" s="410"/>
      <c r="AT28" s="67"/>
    </row>
    <row r="29" spans="5:46" ht="15.5" x14ac:dyDescent="0.35">
      <c r="E29" s="411"/>
      <c r="F29" s="277" t="s">
        <v>122</v>
      </c>
      <c r="G29" s="408"/>
      <c r="H29" s="410"/>
      <c r="I29" s="41"/>
      <c r="J29" s="408"/>
      <c r="K29" s="410"/>
      <c r="L29" s="273">
        <v>0</v>
      </c>
      <c r="M29" s="273">
        <v>168</v>
      </c>
      <c r="N29" s="273">
        <f>M29-L29</f>
        <v>168</v>
      </c>
      <c r="O29" s="41">
        <v>0</v>
      </c>
      <c r="P29" s="41">
        <v>42000</v>
      </c>
      <c r="Q29" s="280">
        <f>O29/P29</f>
        <v>0</v>
      </c>
      <c r="R29" s="408" t="s">
        <v>133</v>
      </c>
      <c r="S29" s="409"/>
      <c r="T29" s="409"/>
      <c r="U29" s="409"/>
      <c r="V29" s="409"/>
      <c r="W29" s="410"/>
      <c r="X29" s="67"/>
      <c r="AA29" s="411"/>
      <c r="AB29" s="277" t="s">
        <v>122</v>
      </c>
      <c r="AC29" s="408"/>
      <c r="AD29" s="410"/>
      <c r="AE29" s="41"/>
      <c r="AF29" s="408"/>
      <c r="AG29" s="410"/>
      <c r="AH29" s="273">
        <v>0</v>
      </c>
      <c r="AI29" s="273">
        <v>168</v>
      </c>
      <c r="AJ29" s="273">
        <f>AI29-AH29</f>
        <v>168</v>
      </c>
      <c r="AK29" s="41">
        <v>0</v>
      </c>
      <c r="AL29" s="41">
        <v>42000</v>
      </c>
      <c r="AM29" s="280">
        <f>AK29/AL29</f>
        <v>0</v>
      </c>
      <c r="AN29" s="408" t="s">
        <v>133</v>
      </c>
      <c r="AO29" s="409"/>
      <c r="AP29" s="409"/>
      <c r="AQ29" s="409"/>
      <c r="AR29" s="409"/>
      <c r="AS29" s="410"/>
      <c r="AT29" s="67"/>
    </row>
    <row r="30" spans="5:46" ht="16" thickBot="1" x14ac:dyDescent="0.4">
      <c r="E30" s="68"/>
      <c r="F30" s="68"/>
      <c r="G30" s="67"/>
      <c r="H30" s="67"/>
      <c r="I30" s="67"/>
      <c r="J30" s="67"/>
      <c r="K30" s="67"/>
      <c r="L30" s="278">
        <f>SUM(L24:L29)/5</f>
        <v>0</v>
      </c>
      <c r="M30" s="278"/>
      <c r="N30" s="278"/>
      <c r="O30" s="67">
        <f>SUM(O24:O29)</f>
        <v>0</v>
      </c>
      <c r="P30" s="67"/>
      <c r="Q30" s="67"/>
      <c r="R30" s="67"/>
      <c r="S30" s="67"/>
      <c r="T30" s="67"/>
      <c r="U30" s="67"/>
      <c r="V30" s="67"/>
      <c r="W30" s="67"/>
      <c r="X30" s="67"/>
      <c r="AA30" s="68"/>
      <c r="AB30" s="68"/>
      <c r="AC30" s="67"/>
      <c r="AD30" s="67"/>
      <c r="AE30" s="67"/>
      <c r="AF30" s="67"/>
      <c r="AG30" s="67"/>
      <c r="AH30" s="278">
        <f>SUM(AH24:AH29)/5</f>
        <v>0</v>
      </c>
      <c r="AI30" s="278"/>
      <c r="AJ30" s="278"/>
      <c r="AK30" s="67">
        <f>SUM(AK24:AK29)</f>
        <v>0</v>
      </c>
      <c r="AL30" s="67"/>
      <c r="AM30" s="67"/>
      <c r="AN30" s="67"/>
      <c r="AO30" s="67"/>
      <c r="AP30" s="67"/>
      <c r="AQ30" s="67"/>
      <c r="AR30" s="67"/>
      <c r="AS30" s="67"/>
      <c r="AT30" s="67"/>
    </row>
    <row r="31" spans="5:46" ht="16" thickBot="1" x14ac:dyDescent="0.4">
      <c r="E31" s="261" t="s">
        <v>1</v>
      </c>
      <c r="F31" s="262" t="s">
        <v>99</v>
      </c>
      <c r="G31" s="404" t="s">
        <v>100</v>
      </c>
      <c r="H31" s="404"/>
      <c r="I31" s="404"/>
      <c r="J31" s="404"/>
      <c r="K31" s="404"/>
      <c r="L31" s="262" t="s">
        <v>101</v>
      </c>
      <c r="M31" s="262" t="s">
        <v>116</v>
      </c>
      <c r="N31" s="262" t="s">
        <v>117</v>
      </c>
      <c r="O31" s="262" t="s">
        <v>102</v>
      </c>
      <c r="P31" s="262" t="s">
        <v>103</v>
      </c>
      <c r="Q31" s="263" t="s">
        <v>104</v>
      </c>
      <c r="R31" s="412" t="s">
        <v>21</v>
      </c>
      <c r="S31" s="413"/>
      <c r="T31" s="413"/>
      <c r="U31" s="413"/>
      <c r="V31" s="413"/>
      <c r="W31" s="414"/>
      <c r="X31" s="67"/>
      <c r="AA31" s="261" t="s">
        <v>1</v>
      </c>
      <c r="AB31" s="262" t="s">
        <v>99</v>
      </c>
      <c r="AC31" s="404" t="s">
        <v>100</v>
      </c>
      <c r="AD31" s="404"/>
      <c r="AE31" s="404"/>
      <c r="AF31" s="404"/>
      <c r="AG31" s="404"/>
      <c r="AH31" s="262" t="s">
        <v>101</v>
      </c>
      <c r="AI31" s="262" t="s">
        <v>116</v>
      </c>
      <c r="AJ31" s="262" t="s">
        <v>117</v>
      </c>
      <c r="AK31" s="262" t="s">
        <v>102</v>
      </c>
      <c r="AL31" s="262" t="s">
        <v>103</v>
      </c>
      <c r="AM31" s="263" t="s">
        <v>104</v>
      </c>
      <c r="AN31" s="412" t="s">
        <v>21</v>
      </c>
      <c r="AO31" s="413"/>
      <c r="AP31" s="413"/>
      <c r="AQ31" s="413"/>
      <c r="AR31" s="413"/>
      <c r="AS31" s="414"/>
      <c r="AT31" s="67"/>
    </row>
    <row r="32" spans="5:46" ht="15.5" x14ac:dyDescent="0.35">
      <c r="E32" s="266"/>
      <c r="F32" s="266"/>
      <c r="G32" s="267" t="s">
        <v>105</v>
      </c>
      <c r="H32" s="268" t="s">
        <v>106</v>
      </c>
      <c r="I32" s="268" t="s">
        <v>107</v>
      </c>
      <c r="J32" s="268" t="s">
        <v>108</v>
      </c>
      <c r="K32" s="268" t="s">
        <v>109</v>
      </c>
      <c r="L32" s="269"/>
      <c r="M32" s="269"/>
      <c r="N32" s="269"/>
      <c r="O32" s="269"/>
      <c r="P32" s="269"/>
      <c r="Q32" s="283"/>
      <c r="R32" s="415"/>
      <c r="S32" s="416"/>
      <c r="T32" s="416"/>
      <c r="U32" s="416"/>
      <c r="V32" s="416"/>
      <c r="W32" s="417"/>
      <c r="X32" s="67"/>
      <c r="AA32" s="266"/>
      <c r="AB32" s="266"/>
      <c r="AC32" s="267" t="s">
        <v>105</v>
      </c>
      <c r="AD32" s="268" t="s">
        <v>106</v>
      </c>
      <c r="AE32" s="268" t="s">
        <v>107</v>
      </c>
      <c r="AF32" s="268" t="s">
        <v>108</v>
      </c>
      <c r="AG32" s="268" t="s">
        <v>109</v>
      </c>
      <c r="AH32" s="269"/>
      <c r="AI32" s="269"/>
      <c r="AJ32" s="269"/>
      <c r="AK32" s="269"/>
      <c r="AL32" s="269"/>
      <c r="AM32" s="283"/>
      <c r="AN32" s="415"/>
      <c r="AO32" s="416"/>
      <c r="AP32" s="416"/>
      <c r="AQ32" s="416"/>
      <c r="AR32" s="416"/>
      <c r="AS32" s="417"/>
      <c r="AT32" s="67"/>
    </row>
    <row r="33" spans="5:46" ht="15.5" x14ac:dyDescent="0.35">
      <c r="E33" s="411" t="s">
        <v>128</v>
      </c>
      <c r="F33" s="200" t="s">
        <v>119</v>
      </c>
      <c r="G33" s="41" t="s">
        <v>115</v>
      </c>
      <c r="H33" s="41"/>
      <c r="I33" s="41"/>
      <c r="J33" s="41"/>
      <c r="K33" s="41"/>
      <c r="L33" s="273">
        <f>'TUBULAR VERDE'!G94</f>
        <v>0</v>
      </c>
      <c r="M33" s="273">
        <v>168</v>
      </c>
      <c r="N33" s="273">
        <f>M33-L33</f>
        <v>168</v>
      </c>
      <c r="O33" s="41">
        <f>'TUBULAR VERDE'!M94</f>
        <v>0</v>
      </c>
      <c r="P33" s="41">
        <v>31500</v>
      </c>
      <c r="Q33" s="280">
        <f>O33/P33</f>
        <v>0</v>
      </c>
      <c r="R33" s="408"/>
      <c r="S33" s="409"/>
      <c r="T33" s="409"/>
      <c r="U33" s="409"/>
      <c r="V33" s="409"/>
      <c r="W33" s="410"/>
      <c r="X33" s="67"/>
      <c r="AA33" s="411" t="s">
        <v>139</v>
      </c>
      <c r="AB33" s="200" t="s">
        <v>119</v>
      </c>
      <c r="AC33" s="41" t="s">
        <v>115</v>
      </c>
      <c r="AD33" s="41"/>
      <c r="AE33" s="41"/>
      <c r="AF33" s="41"/>
      <c r="AG33" s="41"/>
      <c r="AH33" s="273">
        <f>'TUBULAR VERDE'!AC94</f>
        <v>0</v>
      </c>
      <c r="AI33" s="273">
        <v>168</v>
      </c>
      <c r="AJ33" s="273">
        <f>AI33-AH33</f>
        <v>168</v>
      </c>
      <c r="AK33" s="41">
        <f>'TUBULAR VERDE'!AI94</f>
        <v>0</v>
      </c>
      <c r="AL33" s="41">
        <v>31500</v>
      </c>
      <c r="AM33" s="280">
        <f>AK33/AL33</f>
        <v>0</v>
      </c>
      <c r="AN33" s="408"/>
      <c r="AO33" s="409"/>
      <c r="AP33" s="409"/>
      <c r="AQ33" s="409"/>
      <c r="AR33" s="409"/>
      <c r="AS33" s="410"/>
      <c r="AT33" s="67"/>
    </row>
    <row r="34" spans="5:46" ht="15.5" x14ac:dyDescent="0.35">
      <c r="E34" s="411"/>
      <c r="F34" s="275" t="s">
        <v>86</v>
      </c>
      <c r="G34" s="41"/>
      <c r="H34" s="41"/>
      <c r="I34" s="41"/>
      <c r="J34" s="41"/>
      <c r="K34" s="41"/>
      <c r="L34" s="273">
        <f>'MAQUINA DE ESCARCHA GRUESA'!G95</f>
        <v>0</v>
      </c>
      <c r="M34" s="273">
        <v>168</v>
      </c>
      <c r="N34" s="273">
        <f>M34-L34</f>
        <v>168</v>
      </c>
      <c r="O34" s="41">
        <f>'MAQUINA DE ESCARCHA GRUESA'!O95</f>
        <v>0</v>
      </c>
      <c r="P34" s="41">
        <v>105000</v>
      </c>
      <c r="Q34" s="280">
        <f>O34/P34</f>
        <v>0</v>
      </c>
      <c r="R34" s="408"/>
      <c r="S34" s="409"/>
      <c r="T34" s="409"/>
      <c r="U34" s="409"/>
      <c r="V34" s="409"/>
      <c r="W34" s="410"/>
      <c r="X34" s="67"/>
      <c r="AA34" s="411"/>
      <c r="AB34" s="275" t="s">
        <v>86</v>
      </c>
      <c r="AC34" s="41"/>
      <c r="AD34" s="41"/>
      <c r="AE34" s="41"/>
      <c r="AF34" s="41"/>
      <c r="AG34" s="41"/>
      <c r="AH34" s="273">
        <f>'MAQUINA DE ESCARCHA GRUESA'!AC95</f>
        <v>0</v>
      </c>
      <c r="AI34" s="273">
        <v>168</v>
      </c>
      <c r="AJ34" s="273">
        <f>AI34-AH34</f>
        <v>168</v>
      </c>
      <c r="AK34" s="41">
        <f>'MAQUINA DE ESCARCHA GRUESA'!AK95</f>
        <v>0</v>
      </c>
      <c r="AL34" s="41">
        <v>105000</v>
      </c>
      <c r="AM34" s="280">
        <f>AK34/AL34</f>
        <v>0</v>
      </c>
      <c r="AN34" s="408"/>
      <c r="AO34" s="409"/>
      <c r="AP34" s="409"/>
      <c r="AQ34" s="409"/>
      <c r="AR34" s="409"/>
      <c r="AS34" s="410"/>
      <c r="AT34" s="67"/>
    </row>
    <row r="35" spans="5:46" ht="15.5" x14ac:dyDescent="0.35">
      <c r="E35" s="411"/>
      <c r="F35" s="105"/>
      <c r="G35" s="405" t="s">
        <v>111</v>
      </c>
      <c r="H35" s="407"/>
      <c r="I35" s="125" t="s">
        <v>112</v>
      </c>
      <c r="J35" s="405" t="s">
        <v>113</v>
      </c>
      <c r="K35" s="407"/>
      <c r="L35" s="284"/>
      <c r="M35" s="282"/>
      <c r="N35" s="273"/>
      <c r="O35" s="282"/>
      <c r="P35" s="67"/>
      <c r="Q35" s="280"/>
      <c r="R35" s="408"/>
      <c r="S35" s="409"/>
      <c r="T35" s="409"/>
      <c r="U35" s="409"/>
      <c r="V35" s="409"/>
      <c r="W35" s="410"/>
      <c r="X35" s="67"/>
      <c r="AA35" s="411"/>
      <c r="AB35" s="105"/>
      <c r="AC35" s="405" t="s">
        <v>111</v>
      </c>
      <c r="AD35" s="407"/>
      <c r="AE35" s="125" t="s">
        <v>112</v>
      </c>
      <c r="AF35" s="405" t="s">
        <v>113</v>
      </c>
      <c r="AG35" s="407"/>
      <c r="AH35" s="284"/>
      <c r="AI35" s="282"/>
      <c r="AJ35" s="273"/>
      <c r="AK35" s="282"/>
      <c r="AL35" s="67"/>
      <c r="AM35" s="280"/>
      <c r="AN35" s="408"/>
      <c r="AO35" s="409"/>
      <c r="AP35" s="409"/>
      <c r="AQ35" s="409"/>
      <c r="AR35" s="409"/>
      <c r="AS35" s="410"/>
      <c r="AT35" s="67"/>
    </row>
    <row r="36" spans="5:46" ht="15.5" x14ac:dyDescent="0.35">
      <c r="E36" s="411"/>
      <c r="F36" s="276" t="s">
        <v>120</v>
      </c>
      <c r="G36" s="408"/>
      <c r="H36" s="410"/>
      <c r="I36" s="41"/>
      <c r="J36" s="408"/>
      <c r="K36" s="410"/>
      <c r="L36" s="273">
        <f>GRIS!G94</f>
        <v>0</v>
      </c>
      <c r="M36" s="273">
        <v>168</v>
      </c>
      <c r="N36" s="273">
        <f>M36-L36</f>
        <v>168</v>
      </c>
      <c r="O36" s="41">
        <f>GRIS!N94</f>
        <v>0</v>
      </c>
      <c r="P36" s="41">
        <v>70000</v>
      </c>
      <c r="Q36" s="280">
        <f>O36/P36</f>
        <v>0</v>
      </c>
      <c r="R36" s="408"/>
      <c r="S36" s="409"/>
      <c r="T36" s="409"/>
      <c r="U36" s="409"/>
      <c r="V36" s="409"/>
      <c r="W36" s="410"/>
      <c r="X36" s="67"/>
      <c r="AA36" s="411"/>
      <c r="AB36" s="276" t="s">
        <v>120</v>
      </c>
      <c r="AC36" s="408"/>
      <c r="AD36" s="410"/>
      <c r="AE36" s="41"/>
      <c r="AF36" s="408"/>
      <c r="AG36" s="410"/>
      <c r="AH36" s="273">
        <f>GRIS!AC94</f>
        <v>0</v>
      </c>
      <c r="AI36" s="273">
        <v>168</v>
      </c>
      <c r="AJ36" s="273">
        <f>AI36-AH36</f>
        <v>168</v>
      </c>
      <c r="AK36" s="41">
        <f>GRIS!AJ94</f>
        <v>0</v>
      </c>
      <c r="AL36" s="41">
        <v>70000</v>
      </c>
      <c r="AM36" s="280">
        <f>AK36/AL36</f>
        <v>0</v>
      </c>
      <c r="AN36" s="408"/>
      <c r="AO36" s="409"/>
      <c r="AP36" s="409"/>
      <c r="AQ36" s="409"/>
      <c r="AR36" s="409"/>
      <c r="AS36" s="410"/>
      <c r="AT36" s="67"/>
    </row>
    <row r="37" spans="5:46" ht="15.5" x14ac:dyDescent="0.35">
      <c r="E37" s="411"/>
      <c r="F37" s="199" t="s">
        <v>121</v>
      </c>
      <c r="G37" s="408"/>
      <c r="H37" s="410"/>
      <c r="I37" s="41"/>
      <c r="J37" s="408"/>
      <c r="K37" s="410"/>
      <c r="L37" s="273"/>
      <c r="M37" s="273">
        <v>168</v>
      </c>
      <c r="N37" s="273">
        <f>M37-L37</f>
        <v>168</v>
      </c>
      <c r="O37" s="41"/>
      <c r="P37" s="41">
        <v>17500</v>
      </c>
      <c r="Q37" s="280">
        <f>O37/P37</f>
        <v>0</v>
      </c>
      <c r="R37" s="408"/>
      <c r="S37" s="409"/>
      <c r="T37" s="409"/>
      <c r="U37" s="409"/>
      <c r="V37" s="409"/>
      <c r="W37" s="410"/>
      <c r="X37" s="67"/>
      <c r="AA37" s="411"/>
      <c r="AB37" s="199" t="s">
        <v>121</v>
      </c>
      <c r="AC37" s="408"/>
      <c r="AD37" s="410"/>
      <c r="AE37" s="41"/>
      <c r="AF37" s="408"/>
      <c r="AG37" s="410"/>
      <c r="AH37" s="273"/>
      <c r="AI37" s="273">
        <v>168</v>
      </c>
      <c r="AJ37" s="273">
        <f>AI37-AH37</f>
        <v>168</v>
      </c>
      <c r="AK37" s="41"/>
      <c r="AL37" s="41">
        <v>17500</v>
      </c>
      <c r="AM37" s="280">
        <f>AK37/AL37</f>
        <v>0</v>
      </c>
      <c r="AN37" s="408"/>
      <c r="AO37" s="409"/>
      <c r="AP37" s="409"/>
      <c r="AQ37" s="409"/>
      <c r="AR37" s="409"/>
      <c r="AS37" s="410"/>
      <c r="AT37" s="67"/>
    </row>
    <row r="38" spans="5:46" ht="15.5" x14ac:dyDescent="0.35">
      <c r="E38" s="411"/>
      <c r="F38" s="277" t="s">
        <v>122</v>
      </c>
      <c r="G38" s="408"/>
      <c r="H38" s="410"/>
      <c r="I38" s="41"/>
      <c r="J38" s="408"/>
      <c r="K38" s="410"/>
      <c r="L38" s="273"/>
      <c r="M38" s="273">
        <v>168</v>
      </c>
      <c r="N38" s="273">
        <f>M38-L38</f>
        <v>168</v>
      </c>
      <c r="O38" s="41"/>
      <c r="P38" s="41">
        <v>42000</v>
      </c>
      <c r="Q38" s="280">
        <f>O38/P38</f>
        <v>0</v>
      </c>
      <c r="R38" s="408"/>
      <c r="S38" s="409"/>
      <c r="T38" s="409"/>
      <c r="U38" s="409"/>
      <c r="V38" s="409"/>
      <c r="W38" s="410"/>
      <c r="X38" s="67"/>
      <c r="AA38" s="411"/>
      <c r="AB38" s="277" t="s">
        <v>122</v>
      </c>
      <c r="AC38" s="408"/>
      <c r="AD38" s="410"/>
      <c r="AE38" s="41"/>
      <c r="AF38" s="408"/>
      <c r="AG38" s="410"/>
      <c r="AH38" s="273"/>
      <c r="AI38" s="273">
        <v>168</v>
      </c>
      <c r="AJ38" s="273">
        <f>AI38-AH38</f>
        <v>168</v>
      </c>
      <c r="AK38" s="41"/>
      <c r="AL38" s="41">
        <v>42000</v>
      </c>
      <c r="AM38" s="280">
        <f>AK38/AL38</f>
        <v>0</v>
      </c>
      <c r="AN38" s="408"/>
      <c r="AO38" s="409"/>
      <c r="AP38" s="409"/>
      <c r="AQ38" s="409"/>
      <c r="AR38" s="409"/>
      <c r="AS38" s="410"/>
      <c r="AT38" s="67"/>
    </row>
    <row r="39" spans="5:46" ht="16" thickBot="1" x14ac:dyDescent="0.4">
      <c r="E39" s="68"/>
      <c r="F39" s="159" t="s">
        <v>114</v>
      </c>
      <c r="G39" s="67"/>
      <c r="H39" s="67"/>
      <c r="I39" s="67"/>
      <c r="J39" s="67"/>
      <c r="K39" s="67"/>
      <c r="L39" s="278">
        <f>SUM(L33:L38)/5</f>
        <v>0</v>
      </c>
      <c r="M39" s="278"/>
      <c r="N39" s="278"/>
      <c r="O39" s="67">
        <f>SUM(O33:O38)</f>
        <v>0</v>
      </c>
      <c r="P39" s="67"/>
      <c r="Q39" s="67"/>
      <c r="R39" s="67"/>
      <c r="S39" s="67"/>
      <c r="T39" s="67"/>
      <c r="U39" s="67"/>
      <c r="V39" s="67"/>
      <c r="W39" s="67"/>
      <c r="X39" s="67"/>
      <c r="AA39" s="68"/>
      <c r="AB39" s="159" t="s">
        <v>114</v>
      </c>
      <c r="AC39" s="67"/>
      <c r="AD39" s="67"/>
      <c r="AE39" s="67"/>
      <c r="AF39" s="67"/>
      <c r="AG39" s="67"/>
      <c r="AH39" s="278">
        <f>SUM(AH33:AH38)/5</f>
        <v>0</v>
      </c>
      <c r="AI39" s="278"/>
      <c r="AJ39" s="278"/>
      <c r="AK39" s="67">
        <f>SUM(AK33:AK38)</f>
        <v>0</v>
      </c>
      <c r="AL39" s="67"/>
      <c r="AM39" s="67"/>
      <c r="AN39" s="67"/>
      <c r="AO39" s="67"/>
      <c r="AP39" s="67"/>
      <c r="AQ39" s="67"/>
      <c r="AR39" s="67"/>
      <c r="AS39" s="67"/>
      <c r="AT39" s="67"/>
    </row>
    <row r="40" spans="5:46" ht="16" thickBot="1" x14ac:dyDescent="0.4">
      <c r="E40" s="261" t="s">
        <v>1</v>
      </c>
      <c r="F40" s="262" t="s">
        <v>99</v>
      </c>
      <c r="G40" s="404" t="s">
        <v>100</v>
      </c>
      <c r="H40" s="404"/>
      <c r="I40" s="404"/>
      <c r="J40" s="404"/>
      <c r="K40" s="404"/>
      <c r="L40" s="262" t="s">
        <v>101</v>
      </c>
      <c r="M40" s="262" t="s">
        <v>116</v>
      </c>
      <c r="N40" s="262" t="s">
        <v>117</v>
      </c>
      <c r="O40" s="262" t="s">
        <v>102</v>
      </c>
      <c r="P40" s="262" t="s">
        <v>103</v>
      </c>
      <c r="Q40" s="263" t="s">
        <v>104</v>
      </c>
      <c r="R40" s="412" t="s">
        <v>21</v>
      </c>
      <c r="S40" s="413"/>
      <c r="T40" s="413"/>
      <c r="U40" s="413"/>
      <c r="V40" s="413"/>
      <c r="W40" s="414"/>
      <c r="X40" s="67"/>
      <c r="AA40" s="261" t="s">
        <v>1</v>
      </c>
      <c r="AB40" s="262" t="s">
        <v>99</v>
      </c>
      <c r="AC40" s="404" t="s">
        <v>100</v>
      </c>
      <c r="AD40" s="404"/>
      <c r="AE40" s="404"/>
      <c r="AF40" s="404"/>
      <c r="AG40" s="404"/>
      <c r="AH40" s="262" t="s">
        <v>101</v>
      </c>
      <c r="AI40" s="262" t="s">
        <v>116</v>
      </c>
      <c r="AJ40" s="262" t="s">
        <v>117</v>
      </c>
      <c r="AK40" s="262" t="s">
        <v>102</v>
      </c>
      <c r="AL40" s="262" t="s">
        <v>103</v>
      </c>
      <c r="AM40" s="263" t="s">
        <v>104</v>
      </c>
      <c r="AN40" s="412" t="s">
        <v>21</v>
      </c>
      <c r="AO40" s="413"/>
      <c r="AP40" s="413"/>
      <c r="AQ40" s="413"/>
      <c r="AR40" s="413"/>
      <c r="AS40" s="414"/>
      <c r="AT40" s="67"/>
    </row>
    <row r="41" spans="5:46" ht="15.5" x14ac:dyDescent="0.35">
      <c r="E41" s="266"/>
      <c r="F41" s="266"/>
      <c r="G41" s="267" t="s">
        <v>105</v>
      </c>
      <c r="H41" s="268" t="s">
        <v>106</v>
      </c>
      <c r="I41" s="268" t="s">
        <v>107</v>
      </c>
      <c r="J41" s="268" t="s">
        <v>108</v>
      </c>
      <c r="K41" s="268" t="s">
        <v>109</v>
      </c>
      <c r="L41" s="269"/>
      <c r="M41" s="269"/>
      <c r="N41" s="269"/>
      <c r="O41" s="269"/>
      <c r="P41" s="269"/>
      <c r="Q41" s="283"/>
      <c r="R41" s="415"/>
      <c r="S41" s="416"/>
      <c r="T41" s="416"/>
      <c r="U41" s="416"/>
      <c r="V41" s="416"/>
      <c r="W41" s="417"/>
      <c r="X41" s="67"/>
      <c r="AA41" s="266"/>
      <c r="AB41" s="266"/>
      <c r="AC41" s="267" t="s">
        <v>105</v>
      </c>
      <c r="AD41" s="268" t="s">
        <v>106</v>
      </c>
      <c r="AE41" s="268" t="s">
        <v>107</v>
      </c>
      <c r="AF41" s="268" t="s">
        <v>108</v>
      </c>
      <c r="AG41" s="268" t="s">
        <v>109</v>
      </c>
      <c r="AH41" s="269"/>
      <c r="AI41" s="269"/>
      <c r="AJ41" s="269"/>
      <c r="AK41" s="269"/>
      <c r="AL41" s="269"/>
      <c r="AM41" s="283"/>
      <c r="AN41" s="415"/>
      <c r="AO41" s="416"/>
      <c r="AP41" s="416"/>
      <c r="AQ41" s="416"/>
      <c r="AR41" s="416"/>
      <c r="AS41" s="417"/>
      <c r="AT41" s="67"/>
    </row>
    <row r="42" spans="5:46" ht="15.5" x14ac:dyDescent="0.35">
      <c r="E42" s="411" t="s">
        <v>129</v>
      </c>
      <c r="F42" s="200" t="s">
        <v>119</v>
      </c>
      <c r="G42" s="41" t="s">
        <v>115</v>
      </c>
      <c r="H42" s="41"/>
      <c r="I42" s="41"/>
      <c r="J42" s="41"/>
      <c r="K42" s="41"/>
      <c r="L42" s="273">
        <f>'TUBULAR VERDE'!G121</f>
        <v>0</v>
      </c>
      <c r="M42" s="273">
        <v>168</v>
      </c>
      <c r="N42" s="273">
        <f>M42-L42</f>
        <v>168</v>
      </c>
      <c r="O42" s="41">
        <f>'TUBULAR VERDE'!M121</f>
        <v>0</v>
      </c>
      <c r="P42" s="41">
        <v>31500</v>
      </c>
      <c r="Q42" s="280">
        <f>O42/P42</f>
        <v>0</v>
      </c>
      <c r="R42" s="408"/>
      <c r="S42" s="409"/>
      <c r="T42" s="409"/>
      <c r="U42" s="409"/>
      <c r="V42" s="409"/>
      <c r="W42" s="410"/>
      <c r="X42" s="67"/>
      <c r="AA42" s="411" t="s">
        <v>140</v>
      </c>
      <c r="AB42" s="200" t="s">
        <v>119</v>
      </c>
      <c r="AC42" s="41" t="s">
        <v>115</v>
      </c>
      <c r="AD42" s="41"/>
      <c r="AE42" s="41"/>
      <c r="AF42" s="41"/>
      <c r="AG42" s="41"/>
      <c r="AH42" s="273">
        <f>'TUBULAR VERDE'!AC121</f>
        <v>0</v>
      </c>
      <c r="AI42" s="273">
        <v>168</v>
      </c>
      <c r="AJ42" s="273">
        <f>AI42-AH42</f>
        <v>168</v>
      </c>
      <c r="AK42" s="41">
        <f>'TUBULAR VERDE'!AI121</f>
        <v>0</v>
      </c>
      <c r="AL42" s="41">
        <v>31500</v>
      </c>
      <c r="AM42" s="280">
        <f>AK42/AL42</f>
        <v>0</v>
      </c>
      <c r="AN42" s="408"/>
      <c r="AO42" s="409"/>
      <c r="AP42" s="409"/>
      <c r="AQ42" s="409"/>
      <c r="AR42" s="409"/>
      <c r="AS42" s="410"/>
      <c r="AT42" s="67"/>
    </row>
    <row r="43" spans="5:46" ht="15.5" x14ac:dyDescent="0.35">
      <c r="E43" s="411"/>
      <c r="F43" s="275" t="s">
        <v>86</v>
      </c>
      <c r="G43" s="41"/>
      <c r="H43" s="41"/>
      <c r="I43" s="41"/>
      <c r="J43" s="41"/>
      <c r="K43" s="41"/>
      <c r="L43" s="273">
        <f>'MAQUINA DE ESCARCHA GRUESA'!G122</f>
        <v>0</v>
      </c>
      <c r="M43" s="273">
        <v>168</v>
      </c>
      <c r="N43" s="273">
        <f>M43-L43</f>
        <v>168</v>
      </c>
      <c r="O43" s="41">
        <f>'MAQUINA DE ESCARCHA GRUESA'!M122</f>
        <v>0</v>
      </c>
      <c r="P43" s="41">
        <v>105000</v>
      </c>
      <c r="Q43" s="280">
        <f>O43/P43</f>
        <v>0</v>
      </c>
      <c r="R43" s="408"/>
      <c r="S43" s="409"/>
      <c r="T43" s="409"/>
      <c r="U43" s="409"/>
      <c r="V43" s="409"/>
      <c r="W43" s="410"/>
      <c r="X43" s="67"/>
      <c r="AA43" s="411"/>
      <c r="AB43" s="275" t="s">
        <v>86</v>
      </c>
      <c r="AC43" s="41"/>
      <c r="AD43" s="41"/>
      <c r="AE43" s="41"/>
      <c r="AF43" s="41"/>
      <c r="AG43" s="41"/>
      <c r="AH43" s="273">
        <f>'MAQUINA DE ESCARCHA GRUESA'!AC122</f>
        <v>0</v>
      </c>
      <c r="AI43" s="273">
        <v>168</v>
      </c>
      <c r="AJ43" s="273">
        <f>AI43-AH43</f>
        <v>168</v>
      </c>
      <c r="AK43" s="41">
        <f>'MAQUINA DE ESCARCHA GRUESA'!AI122</f>
        <v>0</v>
      </c>
      <c r="AL43" s="41">
        <v>105000</v>
      </c>
      <c r="AM43" s="280">
        <f>AK43/AL43</f>
        <v>0</v>
      </c>
      <c r="AN43" s="408"/>
      <c r="AO43" s="409"/>
      <c r="AP43" s="409"/>
      <c r="AQ43" s="409"/>
      <c r="AR43" s="409"/>
      <c r="AS43" s="410"/>
      <c r="AT43" s="67"/>
    </row>
    <row r="44" spans="5:46" ht="15.5" x14ac:dyDescent="0.35">
      <c r="E44" s="411"/>
      <c r="F44" s="105"/>
      <c r="G44" s="405" t="s">
        <v>111</v>
      </c>
      <c r="H44" s="407"/>
      <c r="I44" s="125" t="s">
        <v>112</v>
      </c>
      <c r="J44" s="405" t="s">
        <v>113</v>
      </c>
      <c r="K44" s="407"/>
      <c r="L44" s="284"/>
      <c r="M44" s="282"/>
      <c r="N44" s="273"/>
      <c r="O44" s="282"/>
      <c r="P44" s="67"/>
      <c r="Q44" s="280"/>
      <c r="R44" s="408"/>
      <c r="S44" s="409"/>
      <c r="T44" s="409"/>
      <c r="U44" s="409"/>
      <c r="V44" s="409"/>
      <c r="W44" s="410"/>
      <c r="X44" s="67"/>
      <c r="AA44" s="411"/>
      <c r="AB44" s="105"/>
      <c r="AC44" s="405" t="s">
        <v>111</v>
      </c>
      <c r="AD44" s="407"/>
      <c r="AE44" s="125" t="s">
        <v>112</v>
      </c>
      <c r="AF44" s="405" t="s">
        <v>113</v>
      </c>
      <c r="AG44" s="407"/>
      <c r="AH44" s="284"/>
      <c r="AI44" s="282"/>
      <c r="AJ44" s="273"/>
      <c r="AK44" s="282"/>
      <c r="AL44" s="67"/>
      <c r="AM44" s="280"/>
      <c r="AN44" s="408"/>
      <c r="AO44" s="409"/>
      <c r="AP44" s="409"/>
      <c r="AQ44" s="409"/>
      <c r="AR44" s="409"/>
      <c r="AS44" s="410"/>
      <c r="AT44" s="67"/>
    </row>
    <row r="45" spans="5:46" ht="15.5" x14ac:dyDescent="0.35">
      <c r="E45" s="411"/>
      <c r="F45" s="276" t="s">
        <v>120</v>
      </c>
      <c r="G45" s="408"/>
      <c r="H45" s="410"/>
      <c r="I45" s="41"/>
      <c r="J45" s="408"/>
      <c r="K45" s="410"/>
      <c r="L45" s="273">
        <f>GRIS!G120</f>
        <v>0</v>
      </c>
      <c r="M45" s="273">
        <v>168</v>
      </c>
      <c r="N45" s="273">
        <f>M45-L45</f>
        <v>168</v>
      </c>
      <c r="O45" s="41">
        <f>GRIS!N120</f>
        <v>0</v>
      </c>
      <c r="P45" s="41">
        <v>70000</v>
      </c>
      <c r="Q45" s="280">
        <f>O45/P45</f>
        <v>0</v>
      </c>
      <c r="R45" s="408"/>
      <c r="S45" s="409"/>
      <c r="T45" s="409"/>
      <c r="U45" s="409"/>
      <c r="V45" s="409"/>
      <c r="W45" s="410"/>
      <c r="X45" s="67"/>
      <c r="AA45" s="411"/>
      <c r="AB45" s="276" t="s">
        <v>120</v>
      </c>
      <c r="AC45" s="408"/>
      <c r="AD45" s="410"/>
      <c r="AE45" s="41"/>
      <c r="AF45" s="408"/>
      <c r="AG45" s="410"/>
      <c r="AH45" s="273">
        <f>GRIS!AC120</f>
        <v>0</v>
      </c>
      <c r="AI45" s="273">
        <v>168</v>
      </c>
      <c r="AJ45" s="273">
        <f>AI45-AH45</f>
        <v>168</v>
      </c>
      <c r="AK45" s="41">
        <f>GRIS!AJ120</f>
        <v>0</v>
      </c>
      <c r="AL45" s="41">
        <v>70000</v>
      </c>
      <c r="AM45" s="280">
        <f>AK45/AL45</f>
        <v>0</v>
      </c>
      <c r="AN45" s="408"/>
      <c r="AO45" s="409"/>
      <c r="AP45" s="409"/>
      <c r="AQ45" s="409"/>
      <c r="AR45" s="409"/>
      <c r="AS45" s="410"/>
      <c r="AT45" s="67"/>
    </row>
    <row r="46" spans="5:46" ht="15.5" x14ac:dyDescent="0.35">
      <c r="E46" s="411"/>
      <c r="F46" s="199" t="s">
        <v>121</v>
      </c>
      <c r="G46" s="408"/>
      <c r="H46" s="410"/>
      <c r="I46" s="41"/>
      <c r="J46" s="408"/>
      <c r="K46" s="410"/>
      <c r="L46" s="273"/>
      <c r="M46" s="273">
        <v>168</v>
      </c>
      <c r="N46" s="273">
        <f>M46-L46</f>
        <v>168</v>
      </c>
      <c r="O46" s="41"/>
      <c r="P46" s="41">
        <v>17500</v>
      </c>
      <c r="Q46" s="280">
        <f>O46/P46</f>
        <v>0</v>
      </c>
      <c r="R46" s="408"/>
      <c r="S46" s="409"/>
      <c r="T46" s="409"/>
      <c r="U46" s="409"/>
      <c r="V46" s="409"/>
      <c r="W46" s="410"/>
      <c r="X46" s="67"/>
      <c r="AA46" s="411"/>
      <c r="AB46" s="199" t="s">
        <v>121</v>
      </c>
      <c r="AC46" s="408"/>
      <c r="AD46" s="410"/>
      <c r="AE46" s="41"/>
      <c r="AF46" s="408"/>
      <c r="AG46" s="410"/>
      <c r="AH46" s="273"/>
      <c r="AI46" s="273">
        <v>168</v>
      </c>
      <c r="AJ46" s="273">
        <f>AI46-AH46</f>
        <v>168</v>
      </c>
      <c r="AK46" s="41"/>
      <c r="AL46" s="41">
        <v>17500</v>
      </c>
      <c r="AM46" s="280">
        <f>AK46/AL46</f>
        <v>0</v>
      </c>
      <c r="AN46" s="408"/>
      <c r="AO46" s="409"/>
      <c r="AP46" s="409"/>
      <c r="AQ46" s="409"/>
      <c r="AR46" s="409"/>
      <c r="AS46" s="410"/>
      <c r="AT46" s="67"/>
    </row>
    <row r="47" spans="5:46" ht="15.5" x14ac:dyDescent="0.35">
      <c r="E47" s="411"/>
      <c r="F47" s="277" t="s">
        <v>122</v>
      </c>
      <c r="G47" s="408"/>
      <c r="H47" s="410"/>
      <c r="I47" s="41"/>
      <c r="J47" s="408"/>
      <c r="K47" s="410"/>
      <c r="L47" s="273">
        <f>'MAQUINA FINA'!G35</f>
        <v>0</v>
      </c>
      <c r="M47" s="273">
        <v>168</v>
      </c>
      <c r="N47" s="273">
        <f>M47-L47</f>
        <v>168</v>
      </c>
      <c r="O47" s="41">
        <f>'MAQUINA FINA'!I35</f>
        <v>0</v>
      </c>
      <c r="P47" s="41">
        <v>42000</v>
      </c>
      <c r="Q47" s="280">
        <f>O47/P47</f>
        <v>0</v>
      </c>
      <c r="R47" s="408"/>
      <c r="S47" s="409"/>
      <c r="T47" s="409"/>
      <c r="U47" s="409"/>
      <c r="V47" s="409"/>
      <c r="W47" s="410"/>
      <c r="X47" s="67"/>
      <c r="AA47" s="411"/>
      <c r="AB47" s="277" t="s">
        <v>122</v>
      </c>
      <c r="AC47" s="408"/>
      <c r="AD47" s="410"/>
      <c r="AE47" s="41"/>
      <c r="AF47" s="408"/>
      <c r="AG47" s="410"/>
      <c r="AH47" s="273">
        <f>'MAQUINA FINA'!AC35</f>
        <v>0</v>
      </c>
      <c r="AI47" s="273">
        <v>168</v>
      </c>
      <c r="AJ47" s="273">
        <f>AI47-AH47</f>
        <v>168</v>
      </c>
      <c r="AK47" s="41">
        <f>'MAQUINA FINA'!AE35</f>
        <v>0</v>
      </c>
      <c r="AL47" s="41">
        <v>42000</v>
      </c>
      <c r="AM47" s="280">
        <f>AK47/AL47</f>
        <v>0</v>
      </c>
      <c r="AN47" s="408"/>
      <c r="AO47" s="409"/>
      <c r="AP47" s="409"/>
      <c r="AQ47" s="409"/>
      <c r="AR47" s="409"/>
      <c r="AS47" s="410"/>
      <c r="AT47" s="67"/>
    </row>
    <row r="48" spans="5:46" ht="16" thickBot="1" x14ac:dyDescent="0.4">
      <c r="E48" s="68"/>
      <c r="F48" s="159" t="s">
        <v>114</v>
      </c>
      <c r="G48" s="67"/>
      <c r="H48" s="67"/>
      <c r="I48" s="67"/>
      <c r="J48" s="67"/>
      <c r="K48" s="67"/>
      <c r="L48" s="278">
        <f>SUM(L42:L47)/5</f>
        <v>0</v>
      </c>
      <c r="M48" s="278"/>
      <c r="N48" s="278"/>
      <c r="O48" s="67">
        <f>SUM(O42:O47)</f>
        <v>0</v>
      </c>
      <c r="P48" s="67"/>
      <c r="Q48" s="67"/>
      <c r="R48" s="67"/>
      <c r="S48" s="67"/>
      <c r="T48" s="67"/>
      <c r="U48" s="67"/>
      <c r="V48" s="67"/>
      <c r="W48" s="67"/>
      <c r="X48" s="67"/>
      <c r="AA48" s="68"/>
      <c r="AB48" s="159" t="s">
        <v>114</v>
      </c>
      <c r="AC48" s="67"/>
      <c r="AD48" s="67"/>
      <c r="AE48" s="67"/>
      <c r="AF48" s="67"/>
      <c r="AG48" s="67"/>
      <c r="AH48" s="278">
        <f>SUM(AH42:AH47)/5</f>
        <v>0</v>
      </c>
      <c r="AI48" s="278"/>
      <c r="AJ48" s="278"/>
      <c r="AK48" s="67">
        <f>SUM(AK42:AK47)</f>
        <v>0</v>
      </c>
      <c r="AL48" s="67"/>
      <c r="AM48" s="67"/>
      <c r="AN48" s="67"/>
      <c r="AO48" s="67"/>
      <c r="AP48" s="67"/>
      <c r="AQ48" s="67"/>
      <c r="AR48" s="67"/>
      <c r="AS48" s="67"/>
      <c r="AT48" s="67"/>
    </row>
    <row r="49" spans="5:46" ht="16" thickBot="1" x14ac:dyDescent="0.4">
      <c r="E49" s="261" t="s">
        <v>1</v>
      </c>
      <c r="F49" s="285" t="s">
        <v>99</v>
      </c>
      <c r="G49" s="285" t="s">
        <v>100</v>
      </c>
      <c r="H49" s="285"/>
      <c r="I49" s="285"/>
      <c r="J49" s="285"/>
      <c r="K49" s="285"/>
      <c r="L49" s="285" t="s">
        <v>101</v>
      </c>
      <c r="M49" s="262" t="s">
        <v>116</v>
      </c>
      <c r="N49" s="262" t="s">
        <v>117</v>
      </c>
      <c r="O49" s="285" t="s">
        <v>102</v>
      </c>
      <c r="P49" s="285" t="s">
        <v>103</v>
      </c>
      <c r="Q49" s="286" t="s">
        <v>104</v>
      </c>
      <c r="R49" s="412" t="s">
        <v>21</v>
      </c>
      <c r="S49" s="413"/>
      <c r="T49" s="413"/>
      <c r="U49" s="413"/>
      <c r="V49" s="413"/>
      <c r="W49" s="414"/>
      <c r="X49" s="67"/>
      <c r="AA49" s="261" t="s">
        <v>1</v>
      </c>
      <c r="AB49" s="285" t="s">
        <v>99</v>
      </c>
      <c r="AC49" s="285" t="s">
        <v>100</v>
      </c>
      <c r="AD49" s="285"/>
      <c r="AE49" s="285"/>
      <c r="AF49" s="285"/>
      <c r="AG49" s="285"/>
      <c r="AH49" s="285" t="s">
        <v>101</v>
      </c>
      <c r="AI49" s="262" t="s">
        <v>116</v>
      </c>
      <c r="AJ49" s="262" t="s">
        <v>117</v>
      </c>
      <c r="AK49" s="285" t="s">
        <v>102</v>
      </c>
      <c r="AL49" s="285" t="s">
        <v>103</v>
      </c>
      <c r="AM49" s="286" t="s">
        <v>104</v>
      </c>
      <c r="AN49" s="412" t="s">
        <v>21</v>
      </c>
      <c r="AO49" s="413"/>
      <c r="AP49" s="413"/>
      <c r="AQ49" s="413"/>
      <c r="AR49" s="413"/>
      <c r="AS49" s="414"/>
      <c r="AT49" s="67"/>
    </row>
    <row r="50" spans="5:46" ht="15.5" x14ac:dyDescent="0.35">
      <c r="E50" s="266"/>
      <c r="F50" s="266"/>
      <c r="G50" s="267" t="s">
        <v>105</v>
      </c>
      <c r="H50" s="268" t="s">
        <v>106</v>
      </c>
      <c r="I50" s="268" t="s">
        <v>107</v>
      </c>
      <c r="J50" s="268" t="s">
        <v>108</v>
      </c>
      <c r="K50" s="268" t="s">
        <v>109</v>
      </c>
      <c r="L50" s="269"/>
      <c r="M50" s="269"/>
      <c r="N50" s="269"/>
      <c r="O50" s="269"/>
      <c r="P50" s="269"/>
      <c r="Q50" s="283"/>
      <c r="R50" s="415"/>
      <c r="S50" s="416"/>
      <c r="T50" s="416"/>
      <c r="U50" s="416"/>
      <c r="V50" s="416"/>
      <c r="W50" s="417"/>
      <c r="X50" s="67"/>
      <c r="AA50" s="266"/>
      <c r="AB50" s="266"/>
      <c r="AC50" s="267" t="s">
        <v>105</v>
      </c>
      <c r="AD50" s="268" t="s">
        <v>106</v>
      </c>
      <c r="AE50" s="268" t="s">
        <v>107</v>
      </c>
      <c r="AF50" s="268" t="s">
        <v>108</v>
      </c>
      <c r="AG50" s="268" t="s">
        <v>109</v>
      </c>
      <c r="AH50" s="269"/>
      <c r="AI50" s="269"/>
      <c r="AJ50" s="269"/>
      <c r="AK50" s="269"/>
      <c r="AL50" s="269"/>
      <c r="AM50" s="283"/>
      <c r="AN50" s="415"/>
      <c r="AO50" s="416"/>
      <c r="AP50" s="416"/>
      <c r="AQ50" s="416"/>
      <c r="AR50" s="416"/>
      <c r="AS50" s="417"/>
      <c r="AT50" s="67"/>
    </row>
    <row r="51" spans="5:46" ht="15.5" x14ac:dyDescent="0.35">
      <c r="E51" s="411" t="s">
        <v>118</v>
      </c>
      <c r="F51" s="200" t="s">
        <v>119</v>
      </c>
      <c r="G51" s="41" t="s">
        <v>123</v>
      </c>
      <c r="H51" s="41" t="s">
        <v>123</v>
      </c>
      <c r="I51" s="41"/>
      <c r="J51" s="41"/>
      <c r="K51" s="41"/>
      <c r="L51" s="273">
        <f>L6+L15+L24+L33+L42</f>
        <v>5.69</v>
      </c>
      <c r="M51" s="273">
        <v>720</v>
      </c>
      <c r="N51" s="273">
        <f>M51-L51</f>
        <v>714.31</v>
      </c>
      <c r="O51" s="273">
        <f>O6+O15+O24+O33+O42</f>
        <v>864</v>
      </c>
      <c r="P51" s="41">
        <v>120000</v>
      </c>
      <c r="Q51" s="280">
        <f>O51/P51</f>
        <v>7.1999999999999998E-3</v>
      </c>
      <c r="R51" s="408"/>
      <c r="S51" s="409"/>
      <c r="T51" s="409"/>
      <c r="U51" s="409"/>
      <c r="V51" s="409"/>
      <c r="W51" s="410"/>
      <c r="X51" s="67"/>
      <c r="AA51" s="411" t="s">
        <v>118</v>
      </c>
      <c r="AB51" s="200" t="s">
        <v>119</v>
      </c>
      <c r="AC51" s="41" t="s">
        <v>123</v>
      </c>
      <c r="AD51" s="41" t="s">
        <v>123</v>
      </c>
      <c r="AE51" s="41"/>
      <c r="AF51" s="41"/>
      <c r="AG51" s="41"/>
      <c r="AH51" s="273">
        <f>AH6+AH15+AH24+AH33+AH42</f>
        <v>291.66999999999996</v>
      </c>
      <c r="AI51" s="273">
        <v>720</v>
      </c>
      <c r="AJ51" s="273">
        <f>AI51-AH51</f>
        <v>428.33000000000004</v>
      </c>
      <c r="AK51" s="273">
        <f>AK6+AK15+AK24+AK33+AK42</f>
        <v>49204</v>
      </c>
      <c r="AL51" s="41">
        <v>120000</v>
      </c>
      <c r="AM51" s="280">
        <f>AK51/AL51</f>
        <v>0.41003333333333336</v>
      </c>
      <c r="AN51" s="408"/>
      <c r="AO51" s="409"/>
      <c r="AP51" s="409"/>
      <c r="AQ51" s="409"/>
      <c r="AR51" s="409"/>
      <c r="AS51" s="410"/>
      <c r="AT51" s="67"/>
    </row>
    <row r="52" spans="5:46" ht="15.5" x14ac:dyDescent="0.35">
      <c r="E52" s="411"/>
      <c r="F52" s="275" t="s">
        <v>86</v>
      </c>
      <c r="G52" s="41"/>
      <c r="H52" s="41"/>
      <c r="I52" s="41"/>
      <c r="J52" s="41"/>
      <c r="K52" s="41"/>
      <c r="L52" s="273">
        <f>L7+L16+L25+L34+L43</f>
        <v>3.71</v>
      </c>
      <c r="M52" s="273">
        <v>720</v>
      </c>
      <c r="N52" s="273">
        <f>M52-L52</f>
        <v>716.29</v>
      </c>
      <c r="O52" s="273">
        <f>O7+O16+O25+O34+O43</f>
        <v>1850</v>
      </c>
      <c r="P52" s="41">
        <v>450000</v>
      </c>
      <c r="Q52" s="280">
        <f>O52/P52</f>
        <v>4.1111111111111114E-3</v>
      </c>
      <c r="R52" s="408"/>
      <c r="S52" s="409"/>
      <c r="T52" s="409"/>
      <c r="U52" s="409"/>
      <c r="V52" s="409"/>
      <c r="W52" s="410"/>
      <c r="X52" s="67"/>
      <c r="AA52" s="411"/>
      <c r="AB52" s="275" t="s">
        <v>86</v>
      </c>
      <c r="AC52" s="41"/>
      <c r="AD52" s="41"/>
      <c r="AE52" s="41"/>
      <c r="AF52" s="41"/>
      <c r="AG52" s="41"/>
      <c r="AH52" s="273">
        <f>AH7+AH16+AH25+AH34+AH43</f>
        <v>292</v>
      </c>
      <c r="AI52" s="273">
        <v>720</v>
      </c>
      <c r="AJ52" s="273">
        <f>AI52-AH52</f>
        <v>428</v>
      </c>
      <c r="AK52" s="273">
        <f>AK7+AK16+AK25+AK34+AK43</f>
        <v>163161</v>
      </c>
      <c r="AL52" s="41">
        <v>450000</v>
      </c>
      <c r="AM52" s="280">
        <f>AK52/AL52</f>
        <v>0.36258000000000001</v>
      </c>
      <c r="AN52" s="408"/>
      <c r="AO52" s="409"/>
      <c r="AP52" s="409"/>
      <c r="AQ52" s="409"/>
      <c r="AR52" s="409"/>
      <c r="AS52" s="410"/>
      <c r="AT52" s="67"/>
    </row>
    <row r="53" spans="5:46" ht="15.5" x14ac:dyDescent="0.35">
      <c r="E53" s="411"/>
      <c r="F53" s="105"/>
      <c r="G53" s="264" t="s">
        <v>111</v>
      </c>
      <c r="H53" s="265"/>
      <c r="I53" s="125" t="s">
        <v>112</v>
      </c>
      <c r="J53" s="264" t="s">
        <v>113</v>
      </c>
      <c r="K53" s="265"/>
      <c r="L53" s="281"/>
      <c r="M53" s="282"/>
      <c r="N53" s="273"/>
      <c r="O53" s="282"/>
      <c r="P53" s="67"/>
      <c r="Q53" s="280"/>
      <c r="R53" s="408"/>
      <c r="S53" s="409"/>
      <c r="T53" s="409"/>
      <c r="U53" s="409"/>
      <c r="V53" s="409"/>
      <c r="W53" s="410"/>
      <c r="X53" s="67"/>
      <c r="AA53" s="411"/>
      <c r="AB53" s="105"/>
      <c r="AC53" s="264" t="s">
        <v>111</v>
      </c>
      <c r="AD53" s="265"/>
      <c r="AE53" s="125" t="s">
        <v>112</v>
      </c>
      <c r="AF53" s="264" t="s">
        <v>113</v>
      </c>
      <c r="AG53" s="265"/>
      <c r="AH53" s="281"/>
      <c r="AI53" s="282"/>
      <c r="AJ53" s="273"/>
      <c r="AK53" s="282"/>
      <c r="AL53" s="67"/>
      <c r="AM53" s="280"/>
      <c r="AN53" s="408"/>
      <c r="AO53" s="409"/>
      <c r="AP53" s="409"/>
      <c r="AQ53" s="409"/>
      <c r="AR53" s="409"/>
      <c r="AS53" s="410"/>
      <c r="AT53" s="67"/>
    </row>
    <row r="54" spans="5:46" ht="15.5" x14ac:dyDescent="0.35">
      <c r="E54" s="411"/>
      <c r="F54" s="276" t="s">
        <v>120</v>
      </c>
      <c r="G54" s="271"/>
      <c r="H54" s="272"/>
      <c r="I54" s="41"/>
      <c r="J54" s="271"/>
      <c r="K54" s="272"/>
      <c r="L54" s="273">
        <f>L9+L18+L27+L36+L45</f>
        <v>7.68</v>
      </c>
      <c r="M54" s="273">
        <v>720</v>
      </c>
      <c r="N54" s="273">
        <f>M54-L54</f>
        <v>712.32</v>
      </c>
      <c r="O54" s="273">
        <f>O45+O36+O27+O18+O9</f>
        <v>2900</v>
      </c>
      <c r="P54" s="41">
        <v>300000</v>
      </c>
      <c r="Q54" s="280">
        <f>O54/P54</f>
        <v>9.6666666666666672E-3</v>
      </c>
      <c r="R54" s="408"/>
      <c r="S54" s="409"/>
      <c r="T54" s="409"/>
      <c r="U54" s="409"/>
      <c r="V54" s="409"/>
      <c r="W54" s="410"/>
      <c r="X54" s="67"/>
      <c r="AA54" s="411"/>
      <c r="AB54" s="276" t="s">
        <v>120</v>
      </c>
      <c r="AC54" s="271"/>
      <c r="AD54" s="272"/>
      <c r="AE54" s="41"/>
      <c r="AF54" s="271"/>
      <c r="AG54" s="272"/>
      <c r="AH54" s="273">
        <f>AH9+AH18+AH27+AH36+AH45</f>
        <v>296</v>
      </c>
      <c r="AI54" s="273">
        <v>720</v>
      </c>
      <c r="AJ54" s="273">
        <f>AI54-AH54</f>
        <v>424</v>
      </c>
      <c r="AK54" s="273">
        <f>AK45+AK36+AK27+AK18+AK9</f>
        <v>117463</v>
      </c>
      <c r="AL54" s="41">
        <v>300000</v>
      </c>
      <c r="AM54" s="280">
        <f>AK54/AL54</f>
        <v>0.39154333333333335</v>
      </c>
      <c r="AN54" s="408"/>
      <c r="AO54" s="409"/>
      <c r="AP54" s="409"/>
      <c r="AQ54" s="409"/>
      <c r="AR54" s="409"/>
      <c r="AS54" s="410"/>
      <c r="AT54" s="67"/>
    </row>
    <row r="55" spans="5:46" ht="15.5" x14ac:dyDescent="0.35">
      <c r="E55" s="411"/>
      <c r="F55" s="199" t="s">
        <v>121</v>
      </c>
      <c r="G55" s="271"/>
      <c r="H55" s="272"/>
      <c r="I55" s="41"/>
      <c r="J55" s="271"/>
      <c r="K55" s="272"/>
      <c r="L55" s="273">
        <f>L10+L19+L28+L37+L46</f>
        <v>16.009999999999998</v>
      </c>
      <c r="M55" s="273">
        <v>720</v>
      </c>
      <c r="N55" s="273">
        <f>M55-L55</f>
        <v>703.99</v>
      </c>
      <c r="O55" s="273">
        <f>O46+O37+O28+O19+O10</f>
        <v>1449</v>
      </c>
      <c r="P55" s="41">
        <v>75000</v>
      </c>
      <c r="Q55" s="280">
        <f>O55/P55</f>
        <v>1.932E-2</v>
      </c>
      <c r="R55" s="408"/>
      <c r="S55" s="409"/>
      <c r="T55" s="409"/>
      <c r="U55" s="409"/>
      <c r="V55" s="409"/>
      <c r="W55" s="410"/>
      <c r="X55" s="67"/>
      <c r="AA55" s="411"/>
      <c r="AB55" s="199" t="s">
        <v>121</v>
      </c>
      <c r="AC55" s="271"/>
      <c r="AD55" s="272"/>
      <c r="AE55" s="41"/>
      <c r="AF55" s="271"/>
      <c r="AG55" s="272"/>
      <c r="AH55" s="273">
        <f>AH10+AH19+AH28+AH37+AH46</f>
        <v>161.49</v>
      </c>
      <c r="AI55" s="273">
        <v>720</v>
      </c>
      <c r="AJ55" s="273">
        <f>AI55-AH55</f>
        <v>558.51</v>
      </c>
      <c r="AK55" s="273">
        <f>AK46+AK37+AK28+AK19+AK10</f>
        <v>16949</v>
      </c>
      <c r="AL55" s="41">
        <v>75000</v>
      </c>
      <c r="AM55" s="280">
        <f>AK55/AL55</f>
        <v>0.22598666666666667</v>
      </c>
      <c r="AN55" s="408"/>
      <c r="AO55" s="409"/>
      <c r="AP55" s="409"/>
      <c r="AQ55" s="409"/>
      <c r="AR55" s="409"/>
      <c r="AS55" s="410"/>
      <c r="AT55" s="67"/>
    </row>
    <row r="56" spans="5:46" ht="15.5" x14ac:dyDescent="0.35">
      <c r="E56" s="411"/>
      <c r="F56" s="277" t="s">
        <v>122</v>
      </c>
      <c r="G56" s="271"/>
      <c r="H56" s="272"/>
      <c r="I56" s="41"/>
      <c r="J56" s="271"/>
      <c r="K56" s="272"/>
      <c r="L56" s="273">
        <f>L47+L38+L29+L20+L11</f>
        <v>0</v>
      </c>
      <c r="M56" s="273">
        <v>720</v>
      </c>
      <c r="N56" s="273">
        <f>M56-L56</f>
        <v>720</v>
      </c>
      <c r="O56" s="273">
        <f>O47+O38+O29+O20+O11</f>
        <v>0</v>
      </c>
      <c r="P56" s="41">
        <v>180000</v>
      </c>
      <c r="Q56" s="280">
        <f>O56/P56</f>
        <v>0</v>
      </c>
      <c r="R56" s="408"/>
      <c r="S56" s="409"/>
      <c r="T56" s="409"/>
      <c r="U56" s="409"/>
      <c r="V56" s="409"/>
      <c r="W56" s="410"/>
      <c r="X56" s="67"/>
      <c r="AA56" s="411"/>
      <c r="AB56" s="277" t="s">
        <v>122</v>
      </c>
      <c r="AC56" s="271"/>
      <c r="AD56" s="272"/>
      <c r="AE56" s="41"/>
      <c r="AF56" s="271"/>
      <c r="AG56" s="272"/>
      <c r="AH56" s="273">
        <f>AH47+AH38+AH29+AH20+AH11</f>
        <v>0</v>
      </c>
      <c r="AI56" s="273">
        <v>720</v>
      </c>
      <c r="AJ56" s="273">
        <f>AI56-AH56</f>
        <v>720</v>
      </c>
      <c r="AK56" s="273">
        <f>AK47+AK38+AK29+AK20+AK11</f>
        <v>0</v>
      </c>
      <c r="AL56" s="41">
        <v>180000</v>
      </c>
      <c r="AM56" s="280">
        <f>AK56/AL56</f>
        <v>0</v>
      </c>
      <c r="AN56" s="408"/>
      <c r="AO56" s="409"/>
      <c r="AP56" s="409"/>
      <c r="AQ56" s="409"/>
      <c r="AR56" s="409"/>
      <c r="AS56" s="410"/>
      <c r="AT56" s="67"/>
    </row>
    <row r="57" spans="5:46" ht="15.5" x14ac:dyDescent="0.35">
      <c r="E57" s="68"/>
      <c r="F57" s="158" t="s">
        <v>114</v>
      </c>
      <c r="G57" s="67"/>
      <c r="H57" s="67"/>
      <c r="I57" s="67"/>
      <c r="J57" s="67"/>
      <c r="K57" s="67"/>
      <c r="L57" s="278">
        <f>SUM(L51:L56)/5</f>
        <v>6.6179999999999994</v>
      </c>
      <c r="M57" s="278"/>
      <c r="N57" s="278"/>
      <c r="O57" s="67">
        <f>SUM(O51:O56)</f>
        <v>7063</v>
      </c>
      <c r="P57" s="67"/>
      <c r="Q57" s="67"/>
      <c r="R57" s="67"/>
      <c r="S57" s="67"/>
      <c r="T57" s="67"/>
      <c r="U57" s="67"/>
      <c r="V57" s="67"/>
      <c r="W57" s="67"/>
      <c r="X57" s="67"/>
      <c r="AA57" s="68"/>
      <c r="AB57" s="158" t="s">
        <v>114</v>
      </c>
      <c r="AC57" s="67"/>
      <c r="AD57" s="67"/>
      <c r="AE57" s="67"/>
      <c r="AF57" s="67"/>
      <c r="AG57" s="67"/>
      <c r="AH57" s="278">
        <f>SUM(AH51:AH56)/5</f>
        <v>208.23199999999997</v>
      </c>
      <c r="AI57" s="278"/>
      <c r="AJ57" s="278"/>
      <c r="AK57" s="67">
        <f>SUM(AK51:AK56)</f>
        <v>346777</v>
      </c>
      <c r="AL57" s="67"/>
      <c r="AM57" s="67"/>
      <c r="AN57" s="67"/>
      <c r="AO57" s="67"/>
      <c r="AP57" s="67"/>
      <c r="AQ57" s="67"/>
      <c r="AR57" s="67"/>
      <c r="AS57" s="67"/>
      <c r="AT57" s="67"/>
    </row>
    <row r="58" spans="5:46" ht="15.5" x14ac:dyDescent="0.35">
      <c r="E58" s="287"/>
      <c r="F58" s="288"/>
      <c r="G58" s="418"/>
      <c r="H58" s="418"/>
      <c r="I58" s="418"/>
      <c r="J58" s="418"/>
      <c r="K58" s="418"/>
      <c r="L58" s="287"/>
      <c r="M58" s="287"/>
      <c r="N58" s="287"/>
      <c r="O58" s="287"/>
      <c r="P58" s="287"/>
      <c r="Q58" s="289"/>
      <c r="R58" s="287"/>
      <c r="S58" s="259"/>
      <c r="T58" s="259"/>
      <c r="U58" s="67"/>
      <c r="V58" s="67"/>
      <c r="W58" s="67"/>
      <c r="X58" s="67"/>
      <c r="AA58" s="287"/>
      <c r="AB58" s="288"/>
      <c r="AC58" s="418"/>
      <c r="AD58" s="418"/>
      <c r="AE58" s="418"/>
      <c r="AF58" s="418"/>
      <c r="AG58" s="418"/>
      <c r="AH58" s="287"/>
      <c r="AI58" s="287"/>
      <c r="AJ58" s="287"/>
      <c r="AK58" s="287"/>
      <c r="AL58" s="287"/>
      <c r="AM58" s="289"/>
      <c r="AN58" s="287"/>
      <c r="AO58" s="259"/>
      <c r="AP58" s="259"/>
      <c r="AQ58" s="67"/>
      <c r="AR58" s="67"/>
      <c r="AS58" s="67"/>
      <c r="AT58" s="67"/>
    </row>
    <row r="59" spans="5:46" ht="15.5" x14ac:dyDescent="0.35">
      <c r="E59" s="260"/>
      <c r="F59" s="259"/>
      <c r="G59" s="287"/>
      <c r="H59" s="288"/>
      <c r="I59" s="288"/>
      <c r="J59" s="288"/>
      <c r="K59" s="288"/>
      <c r="L59" s="259"/>
      <c r="M59" s="259"/>
      <c r="N59" s="259"/>
      <c r="O59" s="259"/>
      <c r="P59" s="259"/>
      <c r="Q59" s="290"/>
      <c r="R59" s="259"/>
      <c r="S59" s="259"/>
      <c r="T59" s="259"/>
      <c r="U59" s="67"/>
      <c r="V59" s="67"/>
      <c r="W59" s="67"/>
      <c r="X59" s="67"/>
    </row>
    <row r="60" spans="5:46" ht="15.5" x14ac:dyDescent="0.35">
      <c r="E60" s="291"/>
      <c r="F60" s="292"/>
      <c r="G60" s="260"/>
      <c r="H60" s="260"/>
      <c r="I60" s="260"/>
      <c r="J60" s="260"/>
      <c r="K60" s="260"/>
      <c r="L60" s="293"/>
      <c r="M60" s="260"/>
      <c r="N60" s="260"/>
      <c r="O60" s="294"/>
      <c r="P60" s="403"/>
      <c r="Q60" s="403"/>
      <c r="R60" s="403"/>
      <c r="S60" s="403"/>
      <c r="T60" s="259"/>
      <c r="U60" s="259"/>
      <c r="V60" s="259"/>
      <c r="W60" s="259"/>
      <c r="X60" s="259"/>
    </row>
    <row r="61" spans="5:46" ht="15.5" x14ac:dyDescent="0.35">
      <c r="E61" s="291"/>
      <c r="F61" s="292"/>
      <c r="G61" s="292"/>
      <c r="H61" s="292"/>
      <c r="I61" s="292"/>
      <c r="J61" s="292"/>
      <c r="K61" s="292"/>
      <c r="L61" s="293"/>
      <c r="M61" s="260"/>
      <c r="N61" s="260"/>
      <c r="O61" s="294"/>
      <c r="P61" s="403"/>
      <c r="Q61" s="403"/>
      <c r="R61" s="403"/>
      <c r="S61" s="403"/>
      <c r="T61" s="259"/>
      <c r="U61" s="259"/>
      <c r="V61" s="259"/>
      <c r="W61" s="259"/>
      <c r="X61" s="259"/>
    </row>
    <row r="62" spans="5:46" ht="15.5" x14ac:dyDescent="0.35">
      <c r="E62" s="291"/>
      <c r="F62" s="292"/>
      <c r="G62" s="260"/>
      <c r="H62" s="260"/>
      <c r="I62" s="260"/>
      <c r="J62" s="260"/>
      <c r="K62" s="260"/>
      <c r="L62" s="293"/>
      <c r="M62" s="260"/>
      <c r="N62" s="260"/>
      <c r="O62" s="294"/>
      <c r="P62" s="403"/>
      <c r="Q62" s="403"/>
      <c r="R62" s="403"/>
      <c r="S62" s="403"/>
      <c r="T62" s="259"/>
      <c r="U62" s="259"/>
      <c r="V62" s="259"/>
      <c r="W62" s="259"/>
      <c r="X62" s="259"/>
    </row>
    <row r="63" spans="5:46" ht="18.5" x14ac:dyDescent="0.45">
      <c r="E63" s="252"/>
      <c r="F63" s="253"/>
      <c r="G63" s="254"/>
      <c r="H63" s="254"/>
      <c r="I63" s="254"/>
      <c r="J63" s="254"/>
      <c r="K63" s="254"/>
      <c r="L63" s="255"/>
      <c r="M63" s="254"/>
      <c r="N63" s="254"/>
      <c r="O63" s="256"/>
      <c r="P63" s="402"/>
      <c r="Q63" s="402"/>
      <c r="R63" s="402"/>
      <c r="S63" s="402"/>
      <c r="T63" s="228"/>
      <c r="U63" s="228"/>
      <c r="V63" s="228"/>
      <c r="W63" s="228"/>
      <c r="X63" s="228"/>
    </row>
    <row r="64" spans="5:46" ht="18.5" x14ac:dyDescent="0.45">
      <c r="E64" s="252"/>
      <c r="F64" s="253"/>
      <c r="G64" s="254"/>
      <c r="H64" s="254"/>
      <c r="I64" s="254"/>
      <c r="J64" s="254"/>
      <c r="K64" s="254"/>
      <c r="L64" s="255"/>
      <c r="M64" s="254"/>
      <c r="N64" s="254"/>
      <c r="O64" s="256"/>
      <c r="P64" s="402"/>
      <c r="Q64" s="402"/>
      <c r="R64" s="402"/>
      <c r="S64" s="402"/>
      <c r="T64" s="228"/>
      <c r="U64" s="228"/>
      <c r="V64" s="228"/>
      <c r="W64" s="228"/>
      <c r="X64" s="228"/>
    </row>
    <row r="65" spans="5:20" ht="18.5" x14ac:dyDescent="0.45">
      <c r="E65" s="254"/>
      <c r="F65" s="253"/>
      <c r="G65" s="254"/>
      <c r="H65" s="254"/>
      <c r="I65" s="254"/>
      <c r="J65" s="254"/>
      <c r="K65" s="254"/>
      <c r="L65" s="255"/>
      <c r="M65" s="254"/>
      <c r="N65" s="254"/>
      <c r="O65" s="254"/>
      <c r="P65" s="254"/>
      <c r="Q65" s="228"/>
      <c r="R65" s="228"/>
      <c r="S65" s="228"/>
      <c r="T65" s="228"/>
    </row>
    <row r="66" spans="5:20" ht="18.5" x14ac:dyDescent="0.45">
      <c r="E66" s="253"/>
      <c r="F66" s="253"/>
      <c r="G66" s="257"/>
      <c r="H66" s="257"/>
      <c r="I66" s="257"/>
      <c r="J66" s="257"/>
      <c r="K66" s="253"/>
      <c r="L66" s="253"/>
      <c r="M66" s="253"/>
      <c r="N66" s="253"/>
      <c r="O66" s="258"/>
      <c r="P66" s="402"/>
      <c r="Q66" s="402"/>
      <c r="R66" s="402"/>
      <c r="S66" s="402"/>
      <c r="T66" s="228"/>
    </row>
    <row r="67" spans="5:20" ht="18.5" x14ac:dyDescent="0.45">
      <c r="E67" s="252"/>
      <c r="F67" s="254"/>
      <c r="G67" s="253"/>
      <c r="H67" s="253"/>
      <c r="I67" s="253"/>
      <c r="J67" s="253"/>
      <c r="K67" s="253"/>
      <c r="L67" s="254"/>
      <c r="M67" s="254"/>
      <c r="N67" s="254"/>
      <c r="O67" s="256"/>
      <c r="P67" s="402"/>
      <c r="Q67" s="402"/>
      <c r="R67" s="402"/>
      <c r="S67" s="402"/>
      <c r="T67" s="228"/>
    </row>
    <row r="68" spans="5:20" ht="18.5" x14ac:dyDescent="0.45">
      <c r="E68" s="252"/>
      <c r="F68" s="253"/>
      <c r="G68" s="254"/>
      <c r="H68" s="254"/>
      <c r="I68" s="254"/>
      <c r="J68" s="254"/>
      <c r="K68" s="254"/>
      <c r="L68" s="255"/>
      <c r="M68" s="255"/>
      <c r="N68" s="254"/>
      <c r="O68" s="256"/>
      <c r="P68" s="402"/>
      <c r="Q68" s="402"/>
      <c r="R68" s="402"/>
      <c r="S68" s="402"/>
      <c r="T68" s="228"/>
    </row>
    <row r="69" spans="5:20" ht="18.5" x14ac:dyDescent="0.45">
      <c r="E69" s="252"/>
      <c r="F69" s="253"/>
      <c r="G69" s="254"/>
      <c r="H69" s="254"/>
      <c r="I69" s="254"/>
      <c r="J69" s="254"/>
      <c r="K69" s="254"/>
      <c r="L69" s="255"/>
      <c r="M69" s="255"/>
      <c r="N69" s="254"/>
      <c r="O69" s="256"/>
      <c r="P69" s="402"/>
      <c r="Q69" s="402"/>
      <c r="R69" s="402"/>
      <c r="S69" s="402"/>
      <c r="T69" s="228"/>
    </row>
    <row r="70" spans="5:20" ht="18.5" x14ac:dyDescent="0.45">
      <c r="E70" s="252"/>
      <c r="F70" s="253"/>
      <c r="G70" s="253"/>
      <c r="H70" s="253"/>
      <c r="I70" s="253"/>
      <c r="J70" s="253"/>
      <c r="K70" s="253"/>
      <c r="L70" s="254"/>
      <c r="M70" s="254"/>
      <c r="N70" s="254"/>
      <c r="O70" s="256"/>
      <c r="P70" s="402"/>
      <c r="Q70" s="402"/>
      <c r="R70" s="402"/>
      <c r="S70" s="402"/>
      <c r="T70" s="228"/>
    </row>
    <row r="71" spans="5:20" ht="18.5" x14ac:dyDescent="0.45">
      <c r="E71" s="252"/>
      <c r="F71" s="253"/>
      <c r="G71" s="254"/>
      <c r="H71" s="254"/>
      <c r="I71" s="254"/>
      <c r="J71" s="254"/>
      <c r="K71" s="254"/>
      <c r="L71" s="255"/>
      <c r="M71" s="255"/>
      <c r="N71" s="254"/>
      <c r="O71" s="256"/>
      <c r="P71" s="402"/>
      <c r="Q71" s="402"/>
      <c r="R71" s="402"/>
      <c r="S71" s="402"/>
      <c r="T71" s="228"/>
    </row>
    <row r="72" spans="5:20" ht="18.5" x14ac:dyDescent="0.45">
      <c r="E72" s="252"/>
      <c r="F72" s="253"/>
      <c r="G72" s="254"/>
      <c r="H72" s="254"/>
      <c r="I72" s="254"/>
      <c r="J72" s="254"/>
      <c r="K72" s="254"/>
      <c r="L72" s="255"/>
      <c r="M72" s="255"/>
      <c r="N72" s="254"/>
      <c r="O72" s="256"/>
      <c r="P72" s="402"/>
      <c r="Q72" s="402"/>
      <c r="R72" s="402"/>
      <c r="S72" s="402"/>
      <c r="T72" s="228"/>
    </row>
    <row r="73" spans="5:20" ht="18.5" x14ac:dyDescent="0.45">
      <c r="E73" s="252"/>
      <c r="F73" s="253"/>
      <c r="G73" s="254"/>
      <c r="H73" s="254"/>
      <c r="I73" s="254"/>
      <c r="J73" s="254"/>
      <c r="K73" s="254"/>
      <c r="L73" s="255"/>
      <c r="M73" s="255"/>
      <c r="N73" s="254"/>
      <c r="O73" s="256"/>
      <c r="P73" s="402"/>
      <c r="Q73" s="402"/>
      <c r="R73" s="402"/>
      <c r="S73" s="402"/>
      <c r="T73" s="228"/>
    </row>
    <row r="74" spans="5:20" x14ac:dyDescent="0.35"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</row>
    <row r="75" spans="5:20" x14ac:dyDescent="0.35"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</row>
    <row r="76" spans="5:20" x14ac:dyDescent="0.35"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</row>
  </sheetData>
  <mergeCells count="213">
    <mergeCell ref="AC58:AG58"/>
    <mergeCell ref="AN49:AS49"/>
    <mergeCell ref="AN50:AS50"/>
    <mergeCell ref="AA51:AA56"/>
    <mergeCell ref="AN51:AS51"/>
    <mergeCell ref="AN52:AS52"/>
    <mergeCell ref="AN53:AS53"/>
    <mergeCell ref="AN54:AS54"/>
    <mergeCell ref="AN55:AS55"/>
    <mergeCell ref="AN56:AS56"/>
    <mergeCell ref="AC40:AG40"/>
    <mergeCell ref="AN40:AS40"/>
    <mergeCell ref="AN41:AS41"/>
    <mergeCell ref="AA42:AA47"/>
    <mergeCell ref="AN42:AS42"/>
    <mergeCell ref="AN43:AS43"/>
    <mergeCell ref="AC44:AD44"/>
    <mergeCell ref="AF44:AG44"/>
    <mergeCell ref="AN44:AS44"/>
    <mergeCell ref="AC45:AD45"/>
    <mergeCell ref="AF45:AG45"/>
    <mergeCell ref="AN45:AS45"/>
    <mergeCell ref="AC46:AD46"/>
    <mergeCell ref="AF46:AG46"/>
    <mergeCell ref="AN46:AS46"/>
    <mergeCell ref="AC47:AD47"/>
    <mergeCell ref="AF47:AG47"/>
    <mergeCell ref="AN47:AS47"/>
    <mergeCell ref="AC31:AG31"/>
    <mergeCell ref="AN31:AS31"/>
    <mergeCell ref="AN32:AS32"/>
    <mergeCell ref="AA33:AA38"/>
    <mergeCell ref="AN33:AS33"/>
    <mergeCell ref="AN34:AS34"/>
    <mergeCell ref="AC35:AD35"/>
    <mergeCell ref="AF35:AG35"/>
    <mergeCell ref="AN35:AS35"/>
    <mergeCell ref="AC36:AD36"/>
    <mergeCell ref="AF36:AG36"/>
    <mergeCell ref="AN36:AS36"/>
    <mergeCell ref="AC37:AD37"/>
    <mergeCell ref="AF37:AG37"/>
    <mergeCell ref="AN37:AS37"/>
    <mergeCell ref="AC38:AD38"/>
    <mergeCell ref="AF38:AG38"/>
    <mergeCell ref="AN38:AS38"/>
    <mergeCell ref="AC22:AG22"/>
    <mergeCell ref="AN22:AS22"/>
    <mergeCell ref="AN23:AS23"/>
    <mergeCell ref="AA24:AA29"/>
    <mergeCell ref="AN24:AS24"/>
    <mergeCell ref="AN25:AS25"/>
    <mergeCell ref="AC26:AD26"/>
    <mergeCell ref="AF26:AG26"/>
    <mergeCell ref="AN26:AS26"/>
    <mergeCell ref="AC27:AD27"/>
    <mergeCell ref="AF27:AG27"/>
    <mergeCell ref="AN27:AS27"/>
    <mergeCell ref="AC28:AD28"/>
    <mergeCell ref="AF28:AG28"/>
    <mergeCell ref="AN28:AS28"/>
    <mergeCell ref="AC29:AD29"/>
    <mergeCell ref="AF29:AG29"/>
    <mergeCell ref="AN29:AS29"/>
    <mergeCell ref="AC13:AG13"/>
    <mergeCell ref="AN13:AS13"/>
    <mergeCell ref="AN14:AS14"/>
    <mergeCell ref="AA15:AA20"/>
    <mergeCell ref="AN15:AS15"/>
    <mergeCell ref="AN16:AS16"/>
    <mergeCell ref="AC17:AD17"/>
    <mergeCell ref="AF17:AG17"/>
    <mergeCell ref="AN17:AS17"/>
    <mergeCell ref="AC18:AD18"/>
    <mergeCell ref="AF18:AG18"/>
    <mergeCell ref="AN18:AS18"/>
    <mergeCell ref="AC19:AD19"/>
    <mergeCell ref="AF19:AG19"/>
    <mergeCell ref="AN19:AS19"/>
    <mergeCell ref="AC20:AD20"/>
    <mergeCell ref="AF20:AG20"/>
    <mergeCell ref="AN20:AS20"/>
    <mergeCell ref="AC4:AG4"/>
    <mergeCell ref="AN4:AS4"/>
    <mergeCell ref="AN5:AS5"/>
    <mergeCell ref="AA6:AA11"/>
    <mergeCell ref="AN6:AS6"/>
    <mergeCell ref="AN7:AS7"/>
    <mergeCell ref="AC8:AD8"/>
    <mergeCell ref="AF8:AG8"/>
    <mergeCell ref="AN8:AS8"/>
    <mergeCell ref="AC9:AD9"/>
    <mergeCell ref="AF9:AG9"/>
    <mergeCell ref="AN9:AS9"/>
    <mergeCell ref="AC10:AD10"/>
    <mergeCell ref="AF10:AG10"/>
    <mergeCell ref="AN10:AS10"/>
    <mergeCell ref="AC11:AD11"/>
    <mergeCell ref="AF11:AG11"/>
    <mergeCell ref="AN11:AS11"/>
    <mergeCell ref="G38:H38"/>
    <mergeCell ref="J38:K38"/>
    <mergeCell ref="R38:W38"/>
    <mergeCell ref="R40:W40"/>
    <mergeCell ref="R41:W41"/>
    <mergeCell ref="G40:K40"/>
    <mergeCell ref="G58:K58"/>
    <mergeCell ref="R49:W49"/>
    <mergeCell ref="R50:W50"/>
    <mergeCell ref="E51:E56"/>
    <mergeCell ref="R51:W51"/>
    <mergeCell ref="R52:W52"/>
    <mergeCell ref="R53:W53"/>
    <mergeCell ref="R54:W54"/>
    <mergeCell ref="R55:W55"/>
    <mergeCell ref="R56:W56"/>
    <mergeCell ref="E42:E47"/>
    <mergeCell ref="R42:W42"/>
    <mergeCell ref="R43:W43"/>
    <mergeCell ref="G44:H44"/>
    <mergeCell ref="J44:K44"/>
    <mergeCell ref="R44:W44"/>
    <mergeCell ref="G45:H45"/>
    <mergeCell ref="G46:H46"/>
    <mergeCell ref="J46:K46"/>
    <mergeCell ref="R46:W46"/>
    <mergeCell ref="G47:H47"/>
    <mergeCell ref="J47:K47"/>
    <mergeCell ref="R47:W47"/>
    <mergeCell ref="J45:K45"/>
    <mergeCell ref="R45:W45"/>
    <mergeCell ref="G35:H35"/>
    <mergeCell ref="J35:K35"/>
    <mergeCell ref="R35:W35"/>
    <mergeCell ref="G36:H36"/>
    <mergeCell ref="J36:K36"/>
    <mergeCell ref="R36:W36"/>
    <mergeCell ref="G37:H37"/>
    <mergeCell ref="J37:K37"/>
    <mergeCell ref="R37:W37"/>
    <mergeCell ref="J28:K28"/>
    <mergeCell ref="R28:W28"/>
    <mergeCell ref="G29:H29"/>
    <mergeCell ref="J29:K29"/>
    <mergeCell ref="R29:W29"/>
    <mergeCell ref="R23:W23"/>
    <mergeCell ref="E24:E29"/>
    <mergeCell ref="R24:W24"/>
    <mergeCell ref="R25:W25"/>
    <mergeCell ref="G26:H26"/>
    <mergeCell ref="J26:K26"/>
    <mergeCell ref="R26:W26"/>
    <mergeCell ref="G27:H27"/>
    <mergeCell ref="J27:K27"/>
    <mergeCell ref="R27:W27"/>
    <mergeCell ref="G31:K31"/>
    <mergeCell ref="R31:W31"/>
    <mergeCell ref="R32:W32"/>
    <mergeCell ref="E33:E38"/>
    <mergeCell ref="R33:W33"/>
    <mergeCell ref="R34:W34"/>
    <mergeCell ref="J19:K19"/>
    <mergeCell ref="R19:W19"/>
    <mergeCell ref="G20:H20"/>
    <mergeCell ref="J20:K20"/>
    <mergeCell ref="R20:W20"/>
    <mergeCell ref="G22:K22"/>
    <mergeCell ref="R22:W22"/>
    <mergeCell ref="E15:E20"/>
    <mergeCell ref="R15:W15"/>
    <mergeCell ref="R16:W16"/>
    <mergeCell ref="G17:H17"/>
    <mergeCell ref="J17:K17"/>
    <mergeCell ref="R17:W17"/>
    <mergeCell ref="G18:H18"/>
    <mergeCell ref="J18:K18"/>
    <mergeCell ref="R18:W18"/>
    <mergeCell ref="G19:H19"/>
    <mergeCell ref="G28:H28"/>
    <mergeCell ref="G13:K13"/>
    <mergeCell ref="R13:W13"/>
    <mergeCell ref="R14:W14"/>
    <mergeCell ref="G9:H9"/>
    <mergeCell ref="J9:K9"/>
    <mergeCell ref="R9:W9"/>
    <mergeCell ref="G10:H10"/>
    <mergeCell ref="J10:K10"/>
    <mergeCell ref="R10:W10"/>
    <mergeCell ref="G4:K4"/>
    <mergeCell ref="R4:W4"/>
    <mergeCell ref="R5:W5"/>
    <mergeCell ref="E6:E11"/>
    <mergeCell ref="R6:W6"/>
    <mergeCell ref="R7:W7"/>
    <mergeCell ref="G8:H8"/>
    <mergeCell ref="J8:K8"/>
    <mergeCell ref="R8:W8"/>
    <mergeCell ref="G11:H11"/>
    <mergeCell ref="J11:K11"/>
    <mergeCell ref="R11:W11"/>
    <mergeCell ref="P66:S66"/>
    <mergeCell ref="P67:S67"/>
    <mergeCell ref="P68:S68"/>
    <mergeCell ref="P69:S69"/>
    <mergeCell ref="P70:S70"/>
    <mergeCell ref="P71:S71"/>
    <mergeCell ref="P72:S72"/>
    <mergeCell ref="P73:S73"/>
    <mergeCell ref="P60:S60"/>
    <mergeCell ref="P61:S61"/>
    <mergeCell ref="P62:S62"/>
    <mergeCell ref="P63:S63"/>
    <mergeCell ref="P64:S64"/>
  </mergeCells>
  <conditionalFormatting sqref="N6:N11">
    <cfRule type="cellIs" dxfId="11" priority="7" operator="greaterThan">
      <formula>0</formula>
    </cfRule>
  </conditionalFormatting>
  <conditionalFormatting sqref="N15:N20">
    <cfRule type="cellIs" dxfId="10" priority="8" operator="greaterThan">
      <formula>0</formula>
    </cfRule>
  </conditionalFormatting>
  <conditionalFormatting sqref="N24:N29">
    <cfRule type="cellIs" dxfId="9" priority="12" operator="greaterThan">
      <formula>0</formula>
    </cfRule>
  </conditionalFormatting>
  <conditionalFormatting sqref="N33:N38">
    <cfRule type="cellIs" dxfId="8" priority="11" operator="greaterThan">
      <formula>0</formula>
    </cfRule>
  </conditionalFormatting>
  <conditionalFormatting sqref="N42:N47">
    <cfRule type="cellIs" dxfId="7" priority="10" operator="greaterThan">
      <formula>0</formula>
    </cfRule>
  </conditionalFormatting>
  <conditionalFormatting sqref="N51:N56">
    <cfRule type="cellIs" dxfId="6" priority="9" operator="greaterThan">
      <formula>0</formula>
    </cfRule>
  </conditionalFormatting>
  <conditionalFormatting sqref="AJ6:AJ11">
    <cfRule type="cellIs" dxfId="5" priority="1" operator="greaterThan">
      <formula>0</formula>
    </cfRule>
  </conditionalFormatting>
  <conditionalFormatting sqref="AJ15:AJ20">
    <cfRule type="cellIs" dxfId="4" priority="2" operator="greaterThan">
      <formula>0</formula>
    </cfRule>
  </conditionalFormatting>
  <conditionalFormatting sqref="AJ24:AJ29">
    <cfRule type="cellIs" dxfId="3" priority="6" operator="greaterThan">
      <formula>0</formula>
    </cfRule>
  </conditionalFormatting>
  <conditionalFormatting sqref="AJ33:AJ38">
    <cfRule type="cellIs" dxfId="2" priority="5" operator="greaterThan">
      <formula>0</formula>
    </cfRule>
  </conditionalFormatting>
  <conditionalFormatting sqref="AJ42:AJ47">
    <cfRule type="cellIs" dxfId="1" priority="4" operator="greaterThan">
      <formula>0</formula>
    </cfRule>
  </conditionalFormatting>
  <conditionalFormatting sqref="AJ51:AJ56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F0FE-5A1B-4FB8-A4F5-EC91E43A3C5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TUBULAR VERDE</vt:lpstr>
      <vt:lpstr>TUBULAR AZUL</vt:lpstr>
      <vt:lpstr>MAQUINA DE BOTELLONES</vt:lpstr>
      <vt:lpstr>MAQUINA DE AGUA 350</vt:lpstr>
      <vt:lpstr>GRIS</vt:lpstr>
      <vt:lpstr>MAQUINA DE ESCARCHA GRUESA</vt:lpstr>
      <vt:lpstr>MAQUINA FINA</vt:lpstr>
      <vt:lpstr>COMPACTADORA</vt:lpstr>
      <vt:lpstr>Hoja1</vt:lpstr>
      <vt:lpstr>Hoja2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SERGIO</cp:lastModifiedBy>
  <cp:lastPrinted>2025-02-27T22:33:07Z</cp:lastPrinted>
  <dcterms:created xsi:type="dcterms:W3CDTF">2009-06-07T13:27:19Z</dcterms:created>
  <dcterms:modified xsi:type="dcterms:W3CDTF">2026-03-25T16:45:56Z</dcterms:modified>
</cp:coreProperties>
</file>