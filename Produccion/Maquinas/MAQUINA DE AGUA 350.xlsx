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pea\OneDrive\Documentos\HIELO FOCA\Produccion\Maquinas\"/>
    </mc:Choice>
  </mc:AlternateContent>
  <xr:revisionPtr revIDLastSave="0" documentId="8_{260398AC-8018-4957-92B9-BB38C0EC78BA}" xr6:coauthVersionLast="47" xr6:coauthVersionMax="47" xr10:uidLastSave="{00000000-0000-0000-0000-000000000000}"/>
  <bookViews>
    <workbookView xWindow="0" yWindow="0" windowWidth="20490" windowHeight="11520" xr2:uid="{B2098B40-4D24-42E1-9017-2ABFE15EE3E7}"/>
  </bookViews>
  <sheets>
    <sheet name="MAQUINA DE AGUA 3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" i="1" l="1"/>
  <c r="F173" i="1" s="1"/>
  <c r="K171" i="1"/>
  <c r="P67" i="1"/>
  <c r="O67" i="1"/>
  <c r="N67" i="1"/>
  <c r="L67" i="1"/>
  <c r="K67" i="1"/>
  <c r="P66" i="1"/>
  <c r="O66" i="1"/>
  <c r="N66" i="1"/>
  <c r="L66" i="1"/>
  <c r="K66" i="1"/>
  <c r="P65" i="1"/>
  <c r="N65" i="1"/>
  <c r="O65" i="1" s="1"/>
  <c r="L65" i="1"/>
  <c r="K65" i="1"/>
  <c r="P64" i="1"/>
  <c r="O64" i="1"/>
  <c r="N64" i="1"/>
  <c r="L64" i="1"/>
  <c r="K64" i="1"/>
  <c r="P63" i="1"/>
  <c r="N63" i="1"/>
  <c r="O63" i="1" s="1"/>
  <c r="L63" i="1"/>
  <c r="K63" i="1"/>
  <c r="E63" i="1"/>
  <c r="P62" i="1"/>
  <c r="N62" i="1"/>
  <c r="O62" i="1" s="1"/>
  <c r="L62" i="1"/>
  <c r="K62" i="1"/>
  <c r="E62" i="1"/>
  <c r="P61" i="1"/>
  <c r="O61" i="1"/>
  <c r="N61" i="1"/>
  <c r="L61" i="1"/>
  <c r="K61" i="1"/>
  <c r="E61" i="1"/>
  <c r="N60" i="1"/>
  <c r="O60" i="1" s="1"/>
  <c r="L60" i="1"/>
  <c r="K60" i="1"/>
  <c r="E60" i="1"/>
  <c r="F60" i="1" s="1"/>
  <c r="P60" i="1" s="1"/>
  <c r="O59" i="1"/>
  <c r="N59" i="1"/>
  <c r="L59" i="1"/>
  <c r="K59" i="1"/>
  <c r="E59" i="1"/>
  <c r="F59" i="1" s="1"/>
  <c r="P59" i="1" s="1"/>
  <c r="P58" i="1"/>
  <c r="N58" i="1"/>
  <c r="O58" i="1" s="1"/>
  <c r="L58" i="1"/>
  <c r="K58" i="1"/>
  <c r="F58" i="1"/>
  <c r="E58" i="1"/>
  <c r="D58" i="1"/>
  <c r="P57" i="1"/>
  <c r="N57" i="1"/>
  <c r="O57" i="1" s="1"/>
  <c r="L57" i="1"/>
  <c r="K57" i="1"/>
  <c r="F57" i="1"/>
  <c r="E57" i="1"/>
  <c r="D57" i="1"/>
  <c r="P56" i="1"/>
  <c r="N56" i="1"/>
  <c r="O56" i="1" s="1"/>
  <c r="L56" i="1"/>
  <c r="K56" i="1"/>
  <c r="F56" i="1"/>
  <c r="E56" i="1"/>
  <c r="D56" i="1"/>
  <c r="P55" i="1"/>
  <c r="N55" i="1"/>
  <c r="O55" i="1" s="1"/>
  <c r="L55" i="1"/>
  <c r="K55" i="1"/>
  <c r="F55" i="1"/>
  <c r="E55" i="1"/>
  <c r="D55" i="1"/>
  <c r="P54" i="1"/>
  <c r="N54" i="1"/>
  <c r="O54" i="1" s="1"/>
  <c r="L54" i="1"/>
  <c r="K54" i="1"/>
  <c r="F54" i="1"/>
  <c r="E54" i="1"/>
  <c r="D54" i="1"/>
  <c r="P53" i="1"/>
  <c r="N53" i="1"/>
  <c r="O53" i="1" s="1"/>
  <c r="L53" i="1"/>
  <c r="K53" i="1"/>
  <c r="F53" i="1"/>
  <c r="E53" i="1"/>
  <c r="D53" i="1"/>
  <c r="P52" i="1"/>
  <c r="N52" i="1"/>
  <c r="O52" i="1" s="1"/>
  <c r="L52" i="1"/>
  <c r="E52" i="1"/>
  <c r="D52" i="1"/>
  <c r="P51" i="1"/>
  <c r="N51" i="1"/>
  <c r="O51" i="1" s="1"/>
  <c r="L51" i="1"/>
  <c r="K51" i="1"/>
  <c r="E51" i="1"/>
  <c r="D51" i="1"/>
  <c r="P50" i="1"/>
  <c r="N50" i="1"/>
  <c r="O50" i="1" s="1"/>
  <c r="L50" i="1"/>
  <c r="K50" i="1"/>
  <c r="E50" i="1"/>
  <c r="D50" i="1"/>
  <c r="P49" i="1"/>
  <c r="O49" i="1"/>
  <c r="N49" i="1"/>
  <c r="L49" i="1"/>
  <c r="K49" i="1"/>
  <c r="E49" i="1"/>
  <c r="D49" i="1"/>
  <c r="P48" i="1"/>
  <c r="O48" i="1"/>
  <c r="N48" i="1"/>
  <c r="L48" i="1"/>
  <c r="K48" i="1"/>
  <c r="E48" i="1"/>
  <c r="D48" i="1"/>
  <c r="P47" i="1"/>
  <c r="N47" i="1"/>
  <c r="O47" i="1" s="1"/>
  <c r="L47" i="1"/>
  <c r="K47" i="1"/>
  <c r="E47" i="1"/>
  <c r="D47" i="1"/>
  <c r="P46" i="1"/>
  <c r="O46" i="1"/>
  <c r="N46" i="1"/>
  <c r="L46" i="1"/>
  <c r="K46" i="1"/>
  <c r="E46" i="1"/>
  <c r="D46" i="1"/>
  <c r="O45" i="1"/>
  <c r="N45" i="1"/>
  <c r="L45" i="1"/>
  <c r="K45" i="1"/>
  <c r="E45" i="1"/>
  <c r="D45" i="1"/>
  <c r="N44" i="1"/>
  <c r="O44" i="1" s="1"/>
  <c r="L44" i="1"/>
  <c r="K44" i="1"/>
  <c r="E44" i="1"/>
  <c r="D44" i="1"/>
  <c r="O43" i="1"/>
  <c r="N43" i="1"/>
  <c r="L43" i="1"/>
  <c r="K43" i="1"/>
  <c r="E43" i="1"/>
  <c r="D43" i="1"/>
  <c r="P42" i="1"/>
  <c r="N42" i="1"/>
  <c r="O42" i="1" s="1"/>
  <c r="L42" i="1"/>
  <c r="K42" i="1"/>
  <c r="E42" i="1"/>
  <c r="D42" i="1"/>
  <c r="P41" i="1"/>
  <c r="O41" i="1"/>
  <c r="N41" i="1"/>
  <c r="L41" i="1"/>
  <c r="K41" i="1"/>
  <c r="E41" i="1"/>
  <c r="D41" i="1"/>
  <c r="P40" i="1"/>
  <c r="N40" i="1"/>
  <c r="O40" i="1" s="1"/>
  <c r="L40" i="1"/>
  <c r="K40" i="1"/>
  <c r="E40" i="1"/>
  <c r="D40" i="1"/>
  <c r="P39" i="1"/>
  <c r="O39" i="1"/>
  <c r="N39" i="1"/>
  <c r="L39" i="1"/>
  <c r="K39" i="1"/>
  <c r="E39" i="1"/>
  <c r="D39" i="1"/>
  <c r="P38" i="1"/>
  <c r="N38" i="1"/>
  <c r="O38" i="1" s="1"/>
  <c r="L38" i="1"/>
  <c r="K38" i="1"/>
  <c r="E38" i="1"/>
  <c r="D38" i="1"/>
  <c r="P37" i="1"/>
  <c r="N37" i="1"/>
  <c r="O37" i="1" s="1"/>
  <c r="L37" i="1"/>
  <c r="K37" i="1"/>
  <c r="E37" i="1"/>
  <c r="D37" i="1"/>
  <c r="P36" i="1"/>
  <c r="O36" i="1"/>
  <c r="N36" i="1"/>
  <c r="L36" i="1"/>
  <c r="K36" i="1"/>
  <c r="E36" i="1"/>
  <c r="D36" i="1"/>
  <c r="P35" i="1"/>
  <c r="O35" i="1"/>
  <c r="N35" i="1"/>
  <c r="L35" i="1"/>
  <c r="K35" i="1"/>
  <c r="E35" i="1"/>
  <c r="D35" i="1"/>
  <c r="P34" i="1"/>
  <c r="N34" i="1"/>
  <c r="O34" i="1" s="1"/>
  <c r="L34" i="1"/>
  <c r="K34" i="1"/>
  <c r="E34" i="1"/>
  <c r="D34" i="1"/>
  <c r="P33" i="1"/>
  <c r="O33" i="1"/>
  <c r="N33" i="1"/>
  <c r="L33" i="1"/>
  <c r="K33" i="1"/>
  <c r="E33" i="1"/>
  <c r="D33" i="1"/>
  <c r="P32" i="1"/>
  <c r="N32" i="1"/>
  <c r="O32" i="1" s="1"/>
  <c r="L32" i="1"/>
  <c r="K32" i="1"/>
  <c r="E32" i="1"/>
  <c r="D32" i="1"/>
  <c r="P31" i="1"/>
  <c r="O31" i="1"/>
  <c r="N31" i="1"/>
  <c r="L31" i="1"/>
  <c r="K31" i="1"/>
  <c r="E31" i="1"/>
  <c r="D31" i="1"/>
  <c r="N30" i="1"/>
  <c r="O30" i="1" s="1"/>
  <c r="L30" i="1"/>
  <c r="K30" i="1"/>
  <c r="E30" i="1"/>
  <c r="D30" i="1"/>
  <c r="P29" i="1"/>
  <c r="O29" i="1"/>
  <c r="N29" i="1"/>
  <c r="L29" i="1"/>
  <c r="K29" i="1"/>
  <c r="E29" i="1"/>
  <c r="D29" i="1"/>
  <c r="P28" i="1"/>
  <c r="O28" i="1"/>
  <c r="N28" i="1"/>
  <c r="L28" i="1"/>
  <c r="K28" i="1"/>
  <c r="E28" i="1"/>
  <c r="D28" i="1"/>
  <c r="P27" i="1"/>
  <c r="N27" i="1"/>
  <c r="O27" i="1" s="1"/>
  <c r="L27" i="1"/>
  <c r="K27" i="1"/>
  <c r="E27" i="1"/>
  <c r="D27" i="1"/>
  <c r="P26" i="1"/>
  <c r="O26" i="1"/>
  <c r="N26" i="1"/>
  <c r="L26" i="1"/>
  <c r="K26" i="1"/>
  <c r="E26" i="1"/>
  <c r="D26" i="1"/>
  <c r="P25" i="1"/>
  <c r="N25" i="1"/>
  <c r="O25" i="1" s="1"/>
  <c r="L25" i="1"/>
  <c r="K25" i="1"/>
  <c r="E25" i="1"/>
  <c r="D25" i="1"/>
  <c r="P24" i="1"/>
  <c r="O24" i="1"/>
  <c r="N24" i="1"/>
  <c r="L24" i="1"/>
  <c r="K24" i="1"/>
  <c r="E24" i="1"/>
  <c r="D24" i="1"/>
  <c r="P23" i="1"/>
  <c r="N23" i="1"/>
  <c r="O23" i="1" s="1"/>
  <c r="L23" i="1"/>
  <c r="K23" i="1"/>
  <c r="E23" i="1"/>
  <c r="D23" i="1"/>
  <c r="P22" i="1"/>
  <c r="N22" i="1"/>
  <c r="O22" i="1" s="1"/>
  <c r="L22" i="1"/>
  <c r="K22" i="1"/>
  <c r="E22" i="1"/>
  <c r="D22" i="1"/>
  <c r="P21" i="1"/>
  <c r="O21" i="1"/>
  <c r="N21" i="1"/>
  <c r="L21" i="1"/>
  <c r="K21" i="1"/>
  <c r="E21" i="1"/>
  <c r="D21" i="1"/>
  <c r="P20" i="1"/>
  <c r="O20" i="1"/>
  <c r="N20" i="1"/>
  <c r="L20" i="1"/>
  <c r="K20" i="1"/>
  <c r="E20" i="1"/>
  <c r="D20" i="1"/>
  <c r="P19" i="1"/>
  <c r="N19" i="1"/>
  <c r="O19" i="1" s="1"/>
  <c r="L19" i="1"/>
  <c r="K19" i="1"/>
  <c r="E19" i="1"/>
  <c r="D19" i="1"/>
  <c r="N18" i="1"/>
  <c r="O18" i="1" s="1"/>
  <c r="L18" i="1"/>
  <c r="K18" i="1"/>
  <c r="E18" i="1"/>
  <c r="D18" i="1"/>
  <c r="N17" i="1"/>
  <c r="O17" i="1" s="1"/>
  <c r="L17" i="1"/>
  <c r="K17" i="1"/>
  <c r="E17" i="1"/>
  <c r="D17" i="1"/>
  <c r="O16" i="1"/>
  <c r="N16" i="1"/>
  <c r="L16" i="1"/>
  <c r="K16" i="1"/>
  <c r="E16" i="1"/>
  <c r="D16" i="1"/>
  <c r="P15" i="1"/>
  <c r="O15" i="1"/>
  <c r="N15" i="1"/>
  <c r="L15" i="1"/>
  <c r="K15" i="1"/>
  <c r="E15" i="1"/>
  <c r="D15" i="1"/>
  <c r="P14" i="1"/>
  <c r="N14" i="1"/>
  <c r="O14" i="1" s="1"/>
  <c r="L14" i="1"/>
  <c r="K14" i="1"/>
  <c r="E14" i="1"/>
  <c r="D14" i="1"/>
  <c r="P13" i="1"/>
  <c r="O13" i="1"/>
  <c r="N13" i="1"/>
  <c r="L13" i="1"/>
  <c r="K13" i="1"/>
  <c r="E13" i="1"/>
  <c r="D13" i="1"/>
  <c r="P12" i="1"/>
  <c r="N12" i="1"/>
  <c r="L12" i="1"/>
  <c r="K12" i="1"/>
  <c r="E12" i="1"/>
  <c r="D12" i="1"/>
  <c r="P11" i="1"/>
  <c r="N11" i="1"/>
  <c r="L11" i="1"/>
  <c r="K11" i="1"/>
  <c r="E11" i="1"/>
  <c r="D11" i="1"/>
  <c r="P10" i="1"/>
  <c r="N10" i="1"/>
  <c r="L10" i="1"/>
  <c r="K10" i="1"/>
  <c r="E10" i="1"/>
  <c r="D10" i="1"/>
  <c r="P9" i="1"/>
  <c r="N9" i="1"/>
  <c r="L9" i="1"/>
  <c r="K9" i="1"/>
  <c r="E9" i="1"/>
  <c r="D9" i="1"/>
  <c r="P8" i="1"/>
  <c r="N8" i="1"/>
  <c r="L8" i="1"/>
  <c r="K8" i="1"/>
  <c r="D8" i="1"/>
  <c r="P7" i="1"/>
  <c r="N7" i="1"/>
  <c r="L7" i="1"/>
  <c r="K7" i="1"/>
  <c r="E7" i="1"/>
  <c r="D7" i="1"/>
</calcChain>
</file>

<file path=xl/sharedStrings.xml><?xml version="1.0" encoding="utf-8"?>
<sst xmlns="http://schemas.openxmlformats.org/spreadsheetml/2006/main" count="54" uniqueCount="34">
  <si>
    <t>COMPAÑÍA OPITA DE FRIO SAS</t>
  </si>
  <si>
    <t>MAQUINA 350ML</t>
  </si>
  <si>
    <t>CONTROL DE TIEMPO DE PRODUCCION</t>
  </si>
  <si>
    <t>LINEA DEL AGUA</t>
  </si>
  <si>
    <t>TIEMPO HORARICA</t>
  </si>
  <si>
    <t>CONTROL UNIDADES</t>
  </si>
  <si>
    <t>PRODUCTOS</t>
  </si>
  <si>
    <t>PLASTICO</t>
  </si>
  <si>
    <t>CONVERS</t>
  </si>
  <si>
    <t>PROMEDIO</t>
  </si>
  <si>
    <t>DESPERDICIO</t>
  </si>
  <si>
    <t>OBSERVACIONES</t>
  </si>
  <si>
    <t>FECHA</t>
  </si>
  <si>
    <t>HORA INIC</t>
  </si>
  <si>
    <t>HORA FIN</t>
  </si>
  <si>
    <t>TIEMP PRENDIDA</t>
  </si>
  <si>
    <t>UNIDAD BUENAS</t>
  </si>
  <si>
    <t>UNIDAD DAÑADAS</t>
  </si>
  <si>
    <t>TOTAL DE UNIDADES</t>
  </si>
  <si>
    <t>PACA X 15 UNID</t>
  </si>
  <si>
    <t>PACA X 24 UNID</t>
  </si>
  <si>
    <t>BOLSA DE 6 LITROS</t>
  </si>
  <si>
    <t>ACUM X 15</t>
  </si>
  <si>
    <t>ACUM X 24</t>
  </si>
  <si>
    <t>UTILIZ KILOS</t>
  </si>
  <si>
    <t>PACAS POR  DE 15 UNID</t>
  </si>
  <si>
    <t>PROD X KILO</t>
  </si>
  <si>
    <t xml:space="preserve"> EN KILOS</t>
  </si>
  <si>
    <t>AYUDANTE</t>
  </si>
  <si>
    <t>OBSERVACION</t>
  </si>
  <si>
    <t>Miguel Mendoza</t>
  </si>
  <si>
    <t xml:space="preserve">  </t>
  </si>
  <si>
    <t xml:space="preserve">UNIDADES DESPERDICIADAS </t>
  </si>
  <si>
    <t>PACAS *15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</si>
</sst>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[$-F400]h:mm:ss\ AM/PM"/>
    <numFmt numFmtId="166" formatCode="0.0"/>
    <numFmt numFmtId="167" formatCode="_-* #,##0.00\ _€_-;\-* #,##0.00\ _€_-;_-* &quot;-&quot;??\ _€_-;_-@_-"/>
    <numFmt numFmtId="168" formatCode="_-* #,##0\ _€_-;\-* #,##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sz val="48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7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/>
    <xf numFmtId="165" fontId="4" fillId="0" borderId="4" xfId="0" applyNumberFormat="1" applyFont="1" applyBorder="1"/>
    <xf numFmtId="166" fontId="4" fillId="0" borderId="4" xfId="0" applyNumberFormat="1" applyFont="1" applyBorder="1"/>
    <xf numFmtId="2" fontId="4" fillId="0" borderId="4" xfId="0" applyNumberFormat="1" applyFont="1" applyBorder="1"/>
    <xf numFmtId="166" fontId="4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4" xfId="0" applyFont="1" applyBorder="1"/>
    <xf numFmtId="14" fontId="2" fillId="0" borderId="4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 vertical="center"/>
    </xf>
    <xf numFmtId="20" fontId="4" fillId="7" borderId="4" xfId="0" applyNumberFormat="1" applyFont="1" applyFill="1" applyBorder="1" applyAlignment="1">
      <alignment horizontal="center" vertical="center"/>
    </xf>
    <xf numFmtId="166" fontId="4" fillId="6" borderId="4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168" fontId="4" fillId="0" borderId="4" xfId="1" applyNumberFormat="1" applyFont="1" applyFill="1" applyBorder="1" applyAlignment="1">
      <alignment horizontal="center" vertical="center"/>
    </xf>
    <xf numFmtId="168" fontId="4" fillId="2" borderId="4" xfId="1" applyNumberFormat="1" applyFont="1" applyFill="1" applyBorder="1" applyAlignment="1">
      <alignment horizontal="center" vertical="center"/>
    </xf>
    <xf numFmtId="168" fontId="4" fillId="5" borderId="4" xfId="1" applyNumberFormat="1" applyFont="1" applyFill="1" applyBorder="1" applyAlignment="1">
      <alignment horizontal="center" vertical="center"/>
    </xf>
    <xf numFmtId="164" fontId="4" fillId="5" borderId="4" xfId="1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6" borderId="4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4" fillId="8" borderId="0" xfId="0" applyNumberFormat="1" applyFont="1" applyFill="1" applyAlignment="1">
      <alignment horizontal="center" vertical="center"/>
    </xf>
    <xf numFmtId="165" fontId="4" fillId="8" borderId="0" xfId="0" applyNumberFormat="1" applyFont="1" applyFill="1" applyAlignment="1">
      <alignment horizontal="center" vertical="center"/>
    </xf>
    <xf numFmtId="20" fontId="4" fillId="8" borderId="0" xfId="0" applyNumberFormat="1" applyFont="1" applyFill="1" applyAlignment="1">
      <alignment horizontal="center" vertical="center"/>
    </xf>
    <xf numFmtId="166" fontId="4" fillId="8" borderId="0" xfId="0" applyNumberFormat="1" applyFont="1" applyFill="1" applyAlignment="1">
      <alignment horizontal="center" vertical="center"/>
    </xf>
    <xf numFmtId="2" fontId="4" fillId="8" borderId="0" xfId="0" applyNumberFormat="1" applyFont="1" applyFill="1" applyAlignment="1">
      <alignment horizontal="center" vertical="center"/>
    </xf>
    <xf numFmtId="168" fontId="4" fillId="8" borderId="0" xfId="1" applyNumberFormat="1" applyFont="1" applyFill="1" applyBorder="1" applyAlignment="1">
      <alignment horizontal="center" vertical="center"/>
    </xf>
    <xf numFmtId="168" fontId="4" fillId="8" borderId="8" xfId="1" applyNumberFormat="1" applyFont="1" applyFill="1" applyBorder="1" applyAlignment="1">
      <alignment horizontal="center" vertical="center"/>
    </xf>
    <xf numFmtId="164" fontId="4" fillId="8" borderId="0" xfId="1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8" fontId="4" fillId="8" borderId="4" xfId="1" applyNumberFormat="1" applyFont="1" applyFill="1" applyBorder="1" applyAlignment="1">
      <alignment horizontal="center" vertical="center"/>
    </xf>
    <xf numFmtId="14" fontId="0" fillId="8" borderId="0" xfId="0" applyNumberFormat="1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20" fontId="0" fillId="8" borderId="0" xfId="0" applyNumberFormat="1" applyFill="1" applyAlignment="1">
      <alignment horizontal="center" vertical="center"/>
    </xf>
    <xf numFmtId="166" fontId="0" fillId="8" borderId="0" xfId="0" applyNumberFormat="1" applyFill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168" fontId="0" fillId="8" borderId="0" xfId="1" applyNumberFormat="1" applyFont="1" applyFill="1" applyBorder="1" applyAlignment="1">
      <alignment horizontal="center" vertical="center"/>
    </xf>
    <xf numFmtId="168" fontId="0" fillId="8" borderId="4" xfId="1" applyNumberFormat="1" applyFont="1" applyFill="1" applyBorder="1" applyAlignment="1">
      <alignment horizontal="center" vertical="center"/>
    </xf>
    <xf numFmtId="164" fontId="0" fillId="8" borderId="0" xfId="1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4" fontId="0" fillId="8" borderId="0" xfId="0" applyNumberFormat="1" applyFill="1"/>
    <xf numFmtId="165" fontId="0" fillId="8" borderId="0" xfId="0" applyNumberFormat="1" applyFill="1"/>
    <xf numFmtId="166" fontId="0" fillId="8" borderId="0" xfId="0" applyNumberFormat="1" applyFill="1"/>
    <xf numFmtId="2" fontId="0" fillId="8" borderId="0" xfId="0" applyNumberFormat="1" applyFill="1"/>
    <xf numFmtId="168" fontId="0" fillId="8" borderId="0" xfId="1" applyNumberFormat="1" applyFont="1" applyFill="1" applyBorder="1"/>
    <xf numFmtId="164" fontId="0" fillId="8" borderId="0" xfId="1" applyNumberFormat="1" applyFont="1" applyFill="1" applyBorder="1"/>
    <xf numFmtId="0" fontId="0" fillId="8" borderId="0" xfId="0" applyFill="1" applyAlignment="1">
      <alignment horizontal="center"/>
    </xf>
    <xf numFmtId="0" fontId="0" fillId="8" borderId="0" xfId="0" applyFill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168" fontId="0" fillId="0" borderId="0" xfId="1" applyNumberFormat="1" applyFont="1" applyFill="1" applyBorder="1"/>
    <xf numFmtId="164" fontId="0" fillId="0" borderId="0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165" fontId="0" fillId="0" borderId="9" xfId="0" applyNumberFormat="1" applyBorder="1"/>
    <xf numFmtId="0" fontId="0" fillId="0" borderId="9" xfId="0" applyBorder="1"/>
    <xf numFmtId="164" fontId="0" fillId="0" borderId="9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0A0E-EDA8-4908-AE4D-B9FBB62D0FA6}">
  <sheetPr>
    <tabColor rgb="FF00B0F0"/>
  </sheetPr>
  <dimension ref="A1:R398"/>
  <sheetViews>
    <sheetView tabSelected="1" zoomScale="85" zoomScaleNormal="85" workbookViewId="0">
      <pane ySplit="5" topLeftCell="A6" activePane="bottomLeft" state="frozen"/>
      <selection pane="bottomLeft" activeCell="A23" sqref="A23"/>
    </sheetView>
  </sheetViews>
  <sheetFormatPr baseColWidth="10" defaultColWidth="11.42578125" defaultRowHeight="15" x14ac:dyDescent="0.25"/>
  <cols>
    <col min="1" max="1" width="14.140625" customWidth="1"/>
    <col min="2" max="2" width="19.7109375" style="90" customWidth="1"/>
    <col min="3" max="3" width="22.140625" style="90" customWidth="1"/>
    <col min="4" max="4" width="45.7109375" style="90" customWidth="1"/>
    <col min="5" max="5" width="15.28515625" style="90" customWidth="1"/>
    <col min="6" max="6" width="14.85546875" style="90" customWidth="1"/>
    <col min="7" max="7" width="16" style="90" customWidth="1"/>
    <col min="8" max="8" width="14.85546875" style="90" bestFit="1" customWidth="1"/>
    <col min="9" max="9" width="17.140625" style="90" customWidth="1"/>
    <col min="10" max="10" width="17" style="90" customWidth="1"/>
    <col min="11" max="11" width="13" style="90" bestFit="1" customWidth="1"/>
    <col min="12" max="12" width="11.5703125" style="90" bestFit="1" customWidth="1"/>
    <col min="13" max="13" width="11.5703125" style="90" customWidth="1"/>
    <col min="14" max="15" width="13.5703125" style="90" customWidth="1"/>
    <col min="16" max="16" width="12.7109375" style="91" customWidth="1"/>
    <col min="17" max="17" width="36" style="90" customWidth="1"/>
    <col min="18" max="18" width="139.85546875" style="90" bestFit="1" customWidth="1"/>
  </cols>
  <sheetData>
    <row r="1" spans="1:18" ht="15" customHeight="1" x14ac:dyDescent="0.25">
      <c r="A1" s="1" t="s">
        <v>0</v>
      </c>
      <c r="B1" s="1"/>
      <c r="C1" s="1"/>
      <c r="D1" s="1"/>
      <c r="E1" s="2"/>
      <c r="F1" s="3" t="s">
        <v>1</v>
      </c>
      <c r="G1" s="4"/>
      <c r="H1" s="4"/>
      <c r="I1" s="4"/>
      <c r="J1" s="4"/>
      <c r="K1" s="4"/>
      <c r="L1" s="1"/>
      <c r="M1" s="1"/>
      <c r="N1" s="1"/>
      <c r="O1" s="1"/>
      <c r="P1" s="5"/>
      <c r="Q1" s="1"/>
      <c r="R1" s="1"/>
    </row>
    <row r="2" spans="1:18" ht="15" customHeight="1" x14ac:dyDescent="0.25">
      <c r="A2" s="1" t="s">
        <v>2</v>
      </c>
      <c r="B2" s="1"/>
      <c r="C2" s="1"/>
      <c r="D2" s="1"/>
      <c r="E2" s="2"/>
      <c r="F2" s="3"/>
      <c r="G2" s="4"/>
      <c r="H2" s="4"/>
      <c r="I2" s="4"/>
      <c r="J2" s="4"/>
      <c r="K2" s="4"/>
      <c r="L2" s="1"/>
      <c r="M2" s="1"/>
      <c r="N2" s="1"/>
      <c r="O2" s="1"/>
      <c r="P2" s="5"/>
      <c r="Q2" s="1"/>
      <c r="R2" s="1"/>
    </row>
    <row r="3" spans="1:18" ht="15" customHeight="1" x14ac:dyDescent="0.25">
      <c r="A3" s="1" t="s">
        <v>3</v>
      </c>
      <c r="B3" s="1"/>
      <c r="C3" s="1"/>
      <c r="D3" s="1"/>
      <c r="E3" s="6"/>
      <c r="F3" s="7"/>
      <c r="G3" s="8"/>
      <c r="H3" s="8"/>
      <c r="I3" s="8"/>
      <c r="J3" s="8"/>
      <c r="K3" s="8"/>
      <c r="L3" s="1"/>
      <c r="M3" s="1"/>
      <c r="N3" s="1"/>
      <c r="O3" s="1"/>
      <c r="P3" s="5"/>
      <c r="Q3" s="1"/>
      <c r="R3" s="1"/>
    </row>
    <row r="4" spans="1:18" ht="15.75" x14ac:dyDescent="0.25">
      <c r="A4" s="9"/>
      <c r="B4" s="10" t="s">
        <v>4</v>
      </c>
      <c r="C4" s="11"/>
      <c r="D4" s="12"/>
      <c r="E4" s="13" t="s">
        <v>5</v>
      </c>
      <c r="F4" s="14"/>
      <c r="G4" s="15"/>
      <c r="H4" s="16" t="s">
        <v>6</v>
      </c>
      <c r="I4" s="17"/>
      <c r="J4" s="17"/>
      <c r="K4" s="17"/>
      <c r="L4" s="18"/>
      <c r="M4" s="19" t="s">
        <v>7</v>
      </c>
      <c r="N4" s="19" t="s">
        <v>8</v>
      </c>
      <c r="O4" s="19" t="s">
        <v>9</v>
      </c>
      <c r="P4" s="20" t="s">
        <v>10</v>
      </c>
      <c r="Q4" s="21" t="s">
        <v>11</v>
      </c>
      <c r="R4" s="22"/>
    </row>
    <row r="5" spans="1:18" ht="45.75" x14ac:dyDescent="0.25">
      <c r="A5" s="23" t="s">
        <v>12</v>
      </c>
      <c r="B5" s="23" t="s">
        <v>13</v>
      </c>
      <c r="C5" s="23" t="s">
        <v>14</v>
      </c>
      <c r="D5" s="24" t="s">
        <v>15</v>
      </c>
      <c r="E5" s="25" t="s">
        <v>16</v>
      </c>
      <c r="F5" s="25" t="s">
        <v>17</v>
      </c>
      <c r="G5" s="25" t="s">
        <v>18</v>
      </c>
      <c r="H5" s="24" t="s">
        <v>19</v>
      </c>
      <c r="I5" s="24" t="s">
        <v>20</v>
      </c>
      <c r="J5" s="24" t="s">
        <v>21</v>
      </c>
      <c r="K5" s="24" t="s">
        <v>22</v>
      </c>
      <c r="L5" s="24" t="s">
        <v>23</v>
      </c>
      <c r="M5" s="23" t="s">
        <v>24</v>
      </c>
      <c r="N5" s="26" t="s">
        <v>25</v>
      </c>
      <c r="O5" s="25" t="s">
        <v>26</v>
      </c>
      <c r="P5" s="27" t="s">
        <v>27</v>
      </c>
      <c r="Q5" s="23" t="s">
        <v>28</v>
      </c>
      <c r="R5" s="28" t="s">
        <v>29</v>
      </c>
    </row>
    <row r="6" spans="1:18" ht="15.75" x14ac:dyDescent="0.25">
      <c r="A6" s="29"/>
      <c r="B6" s="30"/>
      <c r="C6" s="30"/>
      <c r="D6" s="30"/>
      <c r="E6" s="31"/>
      <c r="F6" s="31"/>
      <c r="G6" s="32"/>
      <c r="H6" s="33"/>
      <c r="I6" s="34"/>
      <c r="J6" s="34"/>
      <c r="K6" s="34"/>
      <c r="L6" s="34"/>
      <c r="M6" s="34"/>
      <c r="N6" s="34"/>
      <c r="O6" s="34"/>
      <c r="P6" s="35"/>
      <c r="Q6" s="28"/>
      <c r="R6" s="36"/>
    </row>
    <row r="7" spans="1:18" s="48" customFormat="1" x14ac:dyDescent="0.2">
      <c r="A7" s="37">
        <v>46083</v>
      </c>
      <c r="B7" s="38">
        <v>0.3611111111111111</v>
      </c>
      <c r="C7" s="38">
        <v>0.69791666666666663</v>
      </c>
      <c r="D7" s="39">
        <f>C7-B7</f>
        <v>0.33680555555555552</v>
      </c>
      <c r="E7" s="40">
        <f>H7*15+I7*24</f>
        <v>11052</v>
      </c>
      <c r="F7" s="41"/>
      <c r="G7" s="42"/>
      <c r="H7" s="43">
        <v>300</v>
      </c>
      <c r="I7" s="43">
        <v>273</v>
      </c>
      <c r="J7" s="43">
        <v>260</v>
      </c>
      <c r="K7" s="44">
        <f>H7*15</f>
        <v>4500</v>
      </c>
      <c r="L7" s="44">
        <f>I7*24</f>
        <v>6552</v>
      </c>
      <c r="M7" s="43"/>
      <c r="N7" s="45">
        <f t="shared" ref="N7:N12" si="0">(I7*24/15)+H7</f>
        <v>736.8</v>
      </c>
      <c r="O7" s="45" t="e">
        <v>#DIV/0!</v>
      </c>
      <c r="P7" s="46">
        <f t="shared" ref="P7:P12" si="1">+F7*0.003</f>
        <v>0</v>
      </c>
      <c r="Q7" s="41" t="s">
        <v>30</v>
      </c>
      <c r="R7" s="47"/>
    </row>
    <row r="8" spans="1:18" s="48" customFormat="1" x14ac:dyDescent="0.2">
      <c r="A8" s="37">
        <v>46085</v>
      </c>
      <c r="B8" s="38">
        <v>0.36805555555555558</v>
      </c>
      <c r="C8" s="38">
        <v>0.65972222222222221</v>
      </c>
      <c r="D8" s="39">
        <f>C8-B8</f>
        <v>0.29166666666666663</v>
      </c>
      <c r="E8" s="40">
        <v>4575</v>
      </c>
      <c r="F8" s="41"/>
      <c r="G8" s="42"/>
      <c r="H8" s="43">
        <v>350</v>
      </c>
      <c r="I8" s="43">
        <v>207</v>
      </c>
      <c r="J8" s="43">
        <v>140</v>
      </c>
      <c r="K8" s="44">
        <f t="shared" ref="K8:K51" si="2">H8*15</f>
        <v>5250</v>
      </c>
      <c r="L8" s="44">
        <f t="shared" ref="L8:L67" si="3">I8*24</f>
        <v>4968</v>
      </c>
      <c r="M8" s="43"/>
      <c r="N8" s="45">
        <f t="shared" si="0"/>
        <v>681.2</v>
      </c>
      <c r="O8" s="45" t="e">
        <v>#DIV/0!</v>
      </c>
      <c r="P8" s="46">
        <f t="shared" si="1"/>
        <v>0</v>
      </c>
      <c r="Q8" s="41" t="s">
        <v>30</v>
      </c>
      <c r="R8" s="47"/>
    </row>
    <row r="9" spans="1:18" s="48" customFormat="1" x14ac:dyDescent="0.2">
      <c r="A9" s="37">
        <v>46085</v>
      </c>
      <c r="B9" s="38">
        <v>0.3125</v>
      </c>
      <c r="C9" s="38">
        <v>0.22777777777777777</v>
      </c>
      <c r="D9" s="39">
        <f t="shared" ref="D9:D23" si="4">C9-B9</f>
        <v>-8.4722222222222227E-2</v>
      </c>
      <c r="E9" s="49">
        <f t="shared" ref="E9:E60" si="5">(H9*15)+(I9*24)</f>
        <v>0</v>
      </c>
      <c r="F9" s="50"/>
      <c r="G9" s="51"/>
      <c r="H9" s="43"/>
      <c r="I9" s="43"/>
      <c r="J9" s="43"/>
      <c r="K9" s="44">
        <f t="shared" si="2"/>
        <v>0</v>
      </c>
      <c r="L9" s="44">
        <f t="shared" si="3"/>
        <v>0</v>
      </c>
      <c r="M9" s="43"/>
      <c r="N9" s="45">
        <f t="shared" si="0"/>
        <v>0</v>
      </c>
      <c r="O9" s="45" t="e">
        <v>#DIV/0!</v>
      </c>
      <c r="P9" s="46">
        <f t="shared" si="1"/>
        <v>0</v>
      </c>
      <c r="Q9" s="41" t="s">
        <v>30</v>
      </c>
      <c r="R9" s="47"/>
    </row>
    <row r="10" spans="1:18" s="48" customFormat="1" x14ac:dyDescent="0.2">
      <c r="A10" s="37">
        <v>46086</v>
      </c>
      <c r="B10" s="38">
        <v>0.59722222222222221</v>
      </c>
      <c r="C10" s="38">
        <v>0.69791666666666663</v>
      </c>
      <c r="D10" s="39">
        <f t="shared" si="4"/>
        <v>0.10069444444444442</v>
      </c>
      <c r="E10" s="49">
        <f t="shared" si="5"/>
        <v>3645</v>
      </c>
      <c r="F10" s="50"/>
      <c r="G10" s="51"/>
      <c r="H10" s="43">
        <v>35</v>
      </c>
      <c r="I10" s="43">
        <v>130</v>
      </c>
      <c r="J10" s="43">
        <v>120</v>
      </c>
      <c r="K10" s="44">
        <f t="shared" si="2"/>
        <v>525</v>
      </c>
      <c r="L10" s="44">
        <f t="shared" si="3"/>
        <v>3120</v>
      </c>
      <c r="M10" s="43"/>
      <c r="N10" s="45">
        <f t="shared" si="0"/>
        <v>243</v>
      </c>
      <c r="O10" s="45" t="e">
        <v>#DIV/0!</v>
      </c>
      <c r="P10" s="46">
        <f t="shared" si="1"/>
        <v>0</v>
      </c>
      <c r="Q10" s="41" t="s">
        <v>30</v>
      </c>
      <c r="R10" s="47"/>
    </row>
    <row r="11" spans="1:18" s="48" customFormat="1" x14ac:dyDescent="0.2">
      <c r="A11" s="37">
        <v>46087</v>
      </c>
      <c r="B11" s="38">
        <v>0.39583333333333331</v>
      </c>
      <c r="C11" s="38">
        <v>0.6875</v>
      </c>
      <c r="D11" s="39">
        <f t="shared" si="4"/>
        <v>0.29166666666666669</v>
      </c>
      <c r="E11" s="49">
        <f t="shared" si="5"/>
        <v>5655</v>
      </c>
      <c r="F11" s="50"/>
      <c r="G11" s="51"/>
      <c r="H11" s="43">
        <v>233</v>
      </c>
      <c r="I11" s="43">
        <v>90</v>
      </c>
      <c r="J11" s="43"/>
      <c r="K11" s="44">
        <f t="shared" si="2"/>
        <v>3495</v>
      </c>
      <c r="L11" s="44">
        <f t="shared" si="3"/>
        <v>2160</v>
      </c>
      <c r="M11" s="43"/>
      <c r="N11" s="45">
        <f t="shared" si="0"/>
        <v>377</v>
      </c>
      <c r="O11" s="45" t="e">
        <v>#DIV/0!</v>
      </c>
      <c r="P11" s="46">
        <f t="shared" si="1"/>
        <v>0</v>
      </c>
      <c r="Q11" s="41" t="s">
        <v>30</v>
      </c>
      <c r="R11" s="47"/>
    </row>
    <row r="12" spans="1:18" s="48" customFormat="1" x14ac:dyDescent="0.2">
      <c r="A12" s="37">
        <v>46088</v>
      </c>
      <c r="B12" s="38">
        <v>0.39583333333333331</v>
      </c>
      <c r="C12" s="38">
        <v>0.65277777777777779</v>
      </c>
      <c r="D12" s="39">
        <f t="shared" si="4"/>
        <v>0.25694444444444448</v>
      </c>
      <c r="E12" s="49">
        <f t="shared" si="5"/>
        <v>9252</v>
      </c>
      <c r="F12" s="50"/>
      <c r="G12" s="51"/>
      <c r="H12" s="43">
        <v>100</v>
      </c>
      <c r="I12" s="43">
        <v>323</v>
      </c>
      <c r="J12" s="43">
        <v>160</v>
      </c>
      <c r="K12" s="44">
        <f t="shared" si="2"/>
        <v>1500</v>
      </c>
      <c r="L12" s="44">
        <f t="shared" si="3"/>
        <v>7752</v>
      </c>
      <c r="M12" s="43"/>
      <c r="N12" s="45">
        <f t="shared" si="0"/>
        <v>616.79999999999995</v>
      </c>
      <c r="O12" s="45" t="e">
        <v>#DIV/0!</v>
      </c>
      <c r="P12" s="46">
        <f t="shared" si="1"/>
        <v>0</v>
      </c>
      <c r="Q12" s="41" t="s">
        <v>30</v>
      </c>
      <c r="R12" s="47"/>
    </row>
    <row r="13" spans="1:18" s="48" customFormat="1" x14ac:dyDescent="0.2">
      <c r="A13" s="37">
        <v>46090</v>
      </c>
      <c r="B13" s="38">
        <v>0.52777777777777779</v>
      </c>
      <c r="C13" s="38">
        <v>0.70138888888888884</v>
      </c>
      <c r="D13" s="39">
        <f t="shared" si="4"/>
        <v>0.17361111111111105</v>
      </c>
      <c r="E13" s="49">
        <f t="shared" si="5"/>
        <v>6870</v>
      </c>
      <c r="F13" s="50"/>
      <c r="G13" s="51"/>
      <c r="H13" s="43">
        <v>266</v>
      </c>
      <c r="I13" s="43">
        <v>120</v>
      </c>
      <c r="J13" s="43">
        <v>200</v>
      </c>
      <c r="K13" s="44">
        <f t="shared" si="2"/>
        <v>3990</v>
      </c>
      <c r="L13" s="44">
        <f t="shared" si="3"/>
        <v>2880</v>
      </c>
      <c r="M13" s="43"/>
      <c r="N13" s="45">
        <f>(I13*24/15)+H13</f>
        <v>458</v>
      </c>
      <c r="O13" s="45" t="e">
        <f t="shared" ref="O13:O46" si="6">+N13/M13</f>
        <v>#DIV/0!</v>
      </c>
      <c r="P13" s="46">
        <f>+F13*0.003</f>
        <v>0</v>
      </c>
      <c r="Q13" s="41" t="s">
        <v>30</v>
      </c>
      <c r="R13" s="47"/>
    </row>
    <row r="14" spans="1:18" s="48" customFormat="1" ht="14.25" customHeight="1" x14ac:dyDescent="0.2">
      <c r="A14" s="37">
        <v>46091</v>
      </c>
      <c r="B14" s="38">
        <v>0.63194444444444442</v>
      </c>
      <c r="C14" s="38">
        <v>0.74305555555555558</v>
      </c>
      <c r="D14" s="39">
        <f t="shared" si="4"/>
        <v>0.11111111111111116</v>
      </c>
      <c r="E14" s="49">
        <f t="shared" si="5"/>
        <v>4080</v>
      </c>
      <c r="F14" s="50"/>
      <c r="G14" s="51"/>
      <c r="H14" s="43"/>
      <c r="I14" s="43">
        <v>170</v>
      </c>
      <c r="J14" s="43">
        <v>140</v>
      </c>
      <c r="K14" s="44">
        <f t="shared" si="2"/>
        <v>0</v>
      </c>
      <c r="L14" s="44">
        <f t="shared" si="3"/>
        <v>4080</v>
      </c>
      <c r="M14" s="43"/>
      <c r="N14" s="45">
        <f>(I14*24/15)+H14</f>
        <v>272</v>
      </c>
      <c r="O14" s="45" t="e">
        <f t="shared" si="6"/>
        <v>#DIV/0!</v>
      </c>
      <c r="P14" s="46">
        <f>+F14*0.003</f>
        <v>0</v>
      </c>
      <c r="Q14" s="41" t="s">
        <v>30</v>
      </c>
      <c r="R14" s="47"/>
    </row>
    <row r="15" spans="1:18" s="48" customFormat="1" ht="14.25" customHeight="1" x14ac:dyDescent="0.2">
      <c r="A15" s="37">
        <v>46092</v>
      </c>
      <c r="B15" s="38">
        <v>0.375</v>
      </c>
      <c r="C15" s="38">
        <v>0.54166666666666663</v>
      </c>
      <c r="D15" s="39">
        <f t="shared" si="4"/>
        <v>0.16666666666666663</v>
      </c>
      <c r="E15" s="49">
        <f>(H15*15)+(I15*24)</f>
        <v>6750</v>
      </c>
      <c r="F15" s="50"/>
      <c r="G15" s="51"/>
      <c r="H15" s="43">
        <v>450</v>
      </c>
      <c r="I15" s="43"/>
      <c r="J15" s="43"/>
      <c r="K15" s="44">
        <f>H15*15</f>
        <v>6750</v>
      </c>
      <c r="L15" s="44">
        <f>I15*24</f>
        <v>0</v>
      </c>
      <c r="M15" s="43"/>
      <c r="N15" s="45">
        <f>(I15*24/15)+H15</f>
        <v>450</v>
      </c>
      <c r="O15" s="45" t="e">
        <f t="shared" si="6"/>
        <v>#DIV/0!</v>
      </c>
      <c r="P15" s="46">
        <f>+F15*0.003</f>
        <v>0</v>
      </c>
      <c r="Q15" s="41" t="s">
        <v>30</v>
      </c>
      <c r="R15" s="47"/>
    </row>
    <row r="16" spans="1:18" s="48" customFormat="1" hidden="1" x14ac:dyDescent="0.2">
      <c r="A16" s="37"/>
      <c r="B16" s="38"/>
      <c r="C16" s="38"/>
      <c r="D16" s="39">
        <f t="shared" si="4"/>
        <v>0</v>
      </c>
      <c r="E16" s="49">
        <f t="shared" si="5"/>
        <v>0</v>
      </c>
      <c r="F16" s="50"/>
      <c r="G16" s="51"/>
      <c r="H16" s="43"/>
      <c r="I16" s="43"/>
      <c r="J16" s="43"/>
      <c r="K16" s="44">
        <f t="shared" si="2"/>
        <v>0</v>
      </c>
      <c r="L16" s="44">
        <f t="shared" si="3"/>
        <v>0</v>
      </c>
      <c r="M16" s="43"/>
      <c r="N16" s="45">
        <f t="shared" ref="N16:N33" si="7">(I16*24/15)+H16</f>
        <v>0</v>
      </c>
      <c r="O16" s="45" t="e">
        <f t="shared" si="6"/>
        <v>#DIV/0!</v>
      </c>
      <c r="P16" s="46">
        <v>0</v>
      </c>
      <c r="Q16" s="41"/>
      <c r="R16" s="47"/>
    </row>
    <row r="17" spans="1:18" s="48" customFormat="1" hidden="1" x14ac:dyDescent="0.2">
      <c r="A17" s="37"/>
      <c r="B17" s="38"/>
      <c r="C17" s="38"/>
      <c r="D17" s="39">
        <f t="shared" si="4"/>
        <v>0</v>
      </c>
      <c r="E17" s="49">
        <f t="shared" si="5"/>
        <v>0</v>
      </c>
      <c r="F17" s="50"/>
      <c r="G17" s="51"/>
      <c r="H17" s="43"/>
      <c r="I17" s="43"/>
      <c r="J17" s="43"/>
      <c r="K17" s="44">
        <f t="shared" si="2"/>
        <v>0</v>
      </c>
      <c r="L17" s="44">
        <f t="shared" si="3"/>
        <v>0</v>
      </c>
      <c r="M17" s="43"/>
      <c r="N17" s="45">
        <f t="shared" si="7"/>
        <v>0</v>
      </c>
      <c r="O17" s="45" t="e">
        <f t="shared" si="6"/>
        <v>#DIV/0!</v>
      </c>
      <c r="P17" s="46">
        <v>0.246</v>
      </c>
      <c r="Q17" s="41"/>
      <c r="R17" s="47"/>
    </row>
    <row r="18" spans="1:18" s="48" customFormat="1" hidden="1" x14ac:dyDescent="0.2">
      <c r="A18" s="37"/>
      <c r="B18" s="38"/>
      <c r="C18" s="38"/>
      <c r="D18" s="39">
        <f t="shared" si="4"/>
        <v>0</v>
      </c>
      <c r="E18" s="49">
        <f t="shared" si="5"/>
        <v>0</v>
      </c>
      <c r="F18" s="50"/>
      <c r="G18" s="51"/>
      <c r="H18" s="43"/>
      <c r="I18" s="43"/>
      <c r="J18" s="43"/>
      <c r="K18" s="44">
        <f t="shared" si="2"/>
        <v>0</v>
      </c>
      <c r="L18" s="44">
        <f t="shared" si="3"/>
        <v>0</v>
      </c>
      <c r="M18" s="43"/>
      <c r="N18" s="45">
        <f t="shared" si="7"/>
        <v>0</v>
      </c>
      <c r="O18" s="45" t="e">
        <f t="shared" si="6"/>
        <v>#DIV/0!</v>
      </c>
      <c r="P18" s="46">
        <v>0</v>
      </c>
      <c r="Q18" s="41"/>
      <c r="R18" s="47"/>
    </row>
    <row r="19" spans="1:18" s="48" customFormat="1" hidden="1" x14ac:dyDescent="0.2">
      <c r="A19" s="37"/>
      <c r="B19" s="38"/>
      <c r="C19" s="38"/>
      <c r="D19" s="39">
        <f t="shared" si="4"/>
        <v>0</v>
      </c>
      <c r="E19" s="49">
        <f t="shared" si="5"/>
        <v>0</v>
      </c>
      <c r="F19" s="50"/>
      <c r="G19" s="51"/>
      <c r="H19" s="43"/>
      <c r="I19" s="43"/>
      <c r="J19" s="43"/>
      <c r="K19" s="44">
        <f t="shared" si="2"/>
        <v>0</v>
      </c>
      <c r="L19" s="44">
        <f t="shared" si="3"/>
        <v>0</v>
      </c>
      <c r="M19" s="43"/>
      <c r="N19" s="45">
        <f t="shared" si="7"/>
        <v>0</v>
      </c>
      <c r="O19" s="45" t="e">
        <f t="shared" si="6"/>
        <v>#DIV/0!</v>
      </c>
      <c r="P19" s="46">
        <f t="shared" ref="P19:P42" si="8">+F19*0.003</f>
        <v>0</v>
      </c>
      <c r="Q19" s="41"/>
      <c r="R19" s="47"/>
    </row>
    <row r="20" spans="1:18" s="48" customFormat="1" x14ac:dyDescent="0.2">
      <c r="A20" s="37">
        <v>46093</v>
      </c>
      <c r="B20" s="38">
        <v>0.38194444444444442</v>
      </c>
      <c r="C20" s="38">
        <v>0.68402777777777779</v>
      </c>
      <c r="D20" s="39">
        <f t="shared" si="4"/>
        <v>0.30208333333333337</v>
      </c>
      <c r="E20" s="49">
        <f t="shared" si="5"/>
        <v>6234</v>
      </c>
      <c r="F20" s="50"/>
      <c r="G20" s="51"/>
      <c r="H20" s="43">
        <v>150</v>
      </c>
      <c r="I20" s="43">
        <v>166</v>
      </c>
      <c r="J20" s="43"/>
      <c r="K20" s="44">
        <f t="shared" si="2"/>
        <v>2250</v>
      </c>
      <c r="L20" s="44">
        <f t="shared" si="3"/>
        <v>3984</v>
      </c>
      <c r="M20" s="43"/>
      <c r="N20" s="45">
        <f t="shared" si="7"/>
        <v>415.6</v>
      </c>
      <c r="O20" s="45" t="e">
        <f t="shared" si="6"/>
        <v>#DIV/0!</v>
      </c>
      <c r="P20" s="46">
        <f t="shared" si="8"/>
        <v>0</v>
      </c>
      <c r="Q20" s="41" t="s">
        <v>30</v>
      </c>
      <c r="R20" s="47"/>
    </row>
    <row r="21" spans="1:18" s="48" customFormat="1" x14ac:dyDescent="0.2">
      <c r="A21" s="37">
        <v>46094</v>
      </c>
      <c r="B21" s="38">
        <v>0.52083333333333337</v>
      </c>
      <c r="C21" s="38">
        <v>0.59722222222222221</v>
      </c>
      <c r="D21" s="39">
        <f>C21-B21</f>
        <v>7.638888888888884E-2</v>
      </c>
      <c r="E21" s="49">
        <f>(H21*15)+(I21*24)</f>
        <v>2880</v>
      </c>
      <c r="F21" s="50"/>
      <c r="G21" s="51"/>
      <c r="H21" s="43"/>
      <c r="I21" s="43">
        <v>120</v>
      </c>
      <c r="J21" s="43">
        <v>100</v>
      </c>
      <c r="K21" s="44">
        <f>H21*15</f>
        <v>0</v>
      </c>
      <c r="L21" s="44">
        <f>I21*24</f>
        <v>2880</v>
      </c>
      <c r="M21" s="43"/>
      <c r="N21" s="45">
        <f>(I21*24/15)+H21</f>
        <v>192</v>
      </c>
      <c r="O21" s="45" t="e">
        <f>+N21/M21</f>
        <v>#DIV/0!</v>
      </c>
      <c r="P21" s="46">
        <f>+F21*0.003</f>
        <v>0</v>
      </c>
      <c r="Q21" s="41" t="s">
        <v>30</v>
      </c>
      <c r="R21" s="47"/>
    </row>
    <row r="22" spans="1:18" s="48" customFormat="1" x14ac:dyDescent="0.2">
      <c r="A22" s="37">
        <v>46095</v>
      </c>
      <c r="B22" s="38">
        <v>0.3611111111111111</v>
      </c>
      <c r="C22" s="38">
        <v>0.52083333333333337</v>
      </c>
      <c r="D22" s="39">
        <f>C22-B22</f>
        <v>0.15972222222222227</v>
      </c>
      <c r="E22" s="49">
        <f>(H22*15)+(I22*24)</f>
        <v>5325</v>
      </c>
      <c r="F22" s="50"/>
      <c r="G22" s="51"/>
      <c r="H22" s="43">
        <v>187</v>
      </c>
      <c r="I22" s="43">
        <v>105</v>
      </c>
      <c r="J22" s="43"/>
      <c r="K22" s="44">
        <f>H22*15</f>
        <v>2805</v>
      </c>
      <c r="L22" s="44">
        <f>I22*24</f>
        <v>2520</v>
      </c>
      <c r="M22" s="43"/>
      <c r="N22" s="45">
        <f>(I22*24/15)+H22</f>
        <v>355</v>
      </c>
      <c r="O22" s="45" t="e">
        <f>+N22/M22</f>
        <v>#DIV/0!</v>
      </c>
      <c r="P22" s="46">
        <f>+F22*0.003</f>
        <v>0</v>
      </c>
      <c r="Q22" s="41" t="s">
        <v>30</v>
      </c>
      <c r="R22" s="47"/>
    </row>
    <row r="23" spans="1:18" s="48" customFormat="1" x14ac:dyDescent="0.2">
      <c r="A23" s="37"/>
      <c r="B23" s="38"/>
      <c r="C23" s="38"/>
      <c r="D23" s="39">
        <f t="shared" si="4"/>
        <v>0</v>
      </c>
      <c r="E23" s="49">
        <f t="shared" si="5"/>
        <v>0</v>
      </c>
      <c r="F23" s="50"/>
      <c r="G23" s="51"/>
      <c r="H23" s="43"/>
      <c r="I23" s="43"/>
      <c r="J23" s="43"/>
      <c r="K23" s="44">
        <f t="shared" si="2"/>
        <v>0</v>
      </c>
      <c r="L23" s="44">
        <f t="shared" si="3"/>
        <v>0</v>
      </c>
      <c r="M23" s="43"/>
      <c r="N23" s="45">
        <f t="shared" si="7"/>
        <v>0</v>
      </c>
      <c r="O23" s="45" t="e">
        <f t="shared" si="6"/>
        <v>#DIV/0!</v>
      </c>
      <c r="P23" s="46">
        <f t="shared" si="8"/>
        <v>0</v>
      </c>
      <c r="Q23" s="41" t="s">
        <v>30</v>
      </c>
      <c r="R23" s="47"/>
    </row>
    <row r="24" spans="1:18" s="48" customFormat="1" x14ac:dyDescent="0.2">
      <c r="A24" s="37"/>
      <c r="B24" s="38"/>
      <c r="C24" s="38"/>
      <c r="D24" s="39">
        <f t="shared" ref="D24:D58" si="9">+C24-B24</f>
        <v>0</v>
      </c>
      <c r="E24" s="49">
        <f t="shared" si="5"/>
        <v>0</v>
      </c>
      <c r="F24" s="50"/>
      <c r="G24" s="51"/>
      <c r="H24" s="43"/>
      <c r="I24" s="43"/>
      <c r="J24" s="43"/>
      <c r="K24" s="44">
        <f t="shared" si="2"/>
        <v>0</v>
      </c>
      <c r="L24" s="44">
        <f t="shared" si="3"/>
        <v>0</v>
      </c>
      <c r="M24" s="43"/>
      <c r="N24" s="45">
        <f t="shared" si="7"/>
        <v>0</v>
      </c>
      <c r="O24" s="45" t="e">
        <f t="shared" si="6"/>
        <v>#DIV/0!</v>
      </c>
      <c r="P24" s="46">
        <f t="shared" si="8"/>
        <v>0</v>
      </c>
      <c r="Q24" s="41" t="s">
        <v>30</v>
      </c>
      <c r="R24" s="47"/>
    </row>
    <row r="25" spans="1:18" s="48" customFormat="1" x14ac:dyDescent="0.2">
      <c r="A25" s="37"/>
      <c r="B25" s="38"/>
      <c r="C25" s="38"/>
      <c r="D25" s="39">
        <f t="shared" si="9"/>
        <v>0</v>
      </c>
      <c r="E25" s="49">
        <f t="shared" si="5"/>
        <v>0</v>
      </c>
      <c r="F25" s="50"/>
      <c r="G25" s="51"/>
      <c r="H25" s="43"/>
      <c r="I25" s="43"/>
      <c r="J25" s="43"/>
      <c r="K25" s="44">
        <f t="shared" si="2"/>
        <v>0</v>
      </c>
      <c r="L25" s="44">
        <f t="shared" si="3"/>
        <v>0</v>
      </c>
      <c r="M25" s="43"/>
      <c r="N25" s="45">
        <f t="shared" si="7"/>
        <v>0</v>
      </c>
      <c r="O25" s="45" t="e">
        <f t="shared" si="6"/>
        <v>#DIV/0!</v>
      </c>
      <c r="P25" s="46">
        <f t="shared" si="8"/>
        <v>0</v>
      </c>
      <c r="Q25" s="41" t="s">
        <v>30</v>
      </c>
      <c r="R25" s="47"/>
    </row>
    <row r="26" spans="1:18" s="48" customFormat="1" x14ac:dyDescent="0.2">
      <c r="A26" s="37"/>
      <c r="B26" s="38"/>
      <c r="C26" s="38"/>
      <c r="D26" s="39">
        <f t="shared" si="9"/>
        <v>0</v>
      </c>
      <c r="E26" s="49">
        <f t="shared" si="5"/>
        <v>0</v>
      </c>
      <c r="F26" s="50"/>
      <c r="G26" s="51"/>
      <c r="H26" s="43"/>
      <c r="I26" s="43"/>
      <c r="J26" s="43"/>
      <c r="K26" s="44">
        <f t="shared" si="2"/>
        <v>0</v>
      </c>
      <c r="L26" s="44">
        <f t="shared" si="3"/>
        <v>0</v>
      </c>
      <c r="M26" s="43"/>
      <c r="N26" s="45">
        <f t="shared" si="7"/>
        <v>0</v>
      </c>
      <c r="O26" s="45" t="e">
        <f t="shared" si="6"/>
        <v>#DIV/0!</v>
      </c>
      <c r="P26" s="46">
        <f t="shared" si="8"/>
        <v>0</v>
      </c>
      <c r="Q26" s="41"/>
      <c r="R26" s="47"/>
    </row>
    <row r="27" spans="1:18" s="48" customFormat="1" x14ac:dyDescent="0.2">
      <c r="A27" s="37"/>
      <c r="B27" s="38"/>
      <c r="C27" s="38"/>
      <c r="D27" s="39">
        <f t="shared" si="9"/>
        <v>0</v>
      </c>
      <c r="E27" s="49">
        <f t="shared" si="5"/>
        <v>0</v>
      </c>
      <c r="F27" s="50"/>
      <c r="G27" s="51"/>
      <c r="H27" s="43"/>
      <c r="I27" s="43"/>
      <c r="J27" s="43"/>
      <c r="K27" s="44">
        <f t="shared" si="2"/>
        <v>0</v>
      </c>
      <c r="L27" s="44">
        <f t="shared" si="3"/>
        <v>0</v>
      </c>
      <c r="M27" s="43"/>
      <c r="N27" s="45">
        <f t="shared" si="7"/>
        <v>0</v>
      </c>
      <c r="O27" s="45" t="e">
        <f t="shared" si="6"/>
        <v>#DIV/0!</v>
      </c>
      <c r="P27" s="46">
        <f t="shared" si="8"/>
        <v>0</v>
      </c>
      <c r="Q27" s="41"/>
      <c r="R27" s="47"/>
    </row>
    <row r="28" spans="1:18" s="48" customFormat="1" x14ac:dyDescent="0.2">
      <c r="A28" s="37"/>
      <c r="B28" s="38"/>
      <c r="C28" s="38"/>
      <c r="D28" s="39">
        <f t="shared" si="9"/>
        <v>0</v>
      </c>
      <c r="E28" s="49">
        <f t="shared" si="5"/>
        <v>0</v>
      </c>
      <c r="F28" s="50"/>
      <c r="G28" s="51"/>
      <c r="H28" s="43"/>
      <c r="I28" s="43"/>
      <c r="J28" s="43"/>
      <c r="K28" s="44">
        <f t="shared" si="2"/>
        <v>0</v>
      </c>
      <c r="L28" s="44">
        <f t="shared" si="3"/>
        <v>0</v>
      </c>
      <c r="M28" s="43"/>
      <c r="N28" s="45">
        <f t="shared" si="7"/>
        <v>0</v>
      </c>
      <c r="O28" s="45" t="e">
        <f t="shared" si="6"/>
        <v>#DIV/0!</v>
      </c>
      <c r="P28" s="46">
        <f t="shared" si="8"/>
        <v>0</v>
      </c>
      <c r="Q28" s="41" t="s">
        <v>30</v>
      </c>
      <c r="R28" s="47"/>
    </row>
    <row r="29" spans="1:18" ht="15.75" x14ac:dyDescent="0.25">
      <c r="A29" s="37"/>
      <c r="B29" s="38"/>
      <c r="C29" s="38"/>
      <c r="D29" s="39">
        <f t="shared" si="9"/>
        <v>0</v>
      </c>
      <c r="E29" s="49">
        <f t="shared" si="5"/>
        <v>0</v>
      </c>
      <c r="F29" s="50"/>
      <c r="G29" s="51"/>
      <c r="H29" s="43"/>
      <c r="I29" s="43"/>
      <c r="J29" s="43"/>
      <c r="K29" s="44">
        <f t="shared" si="2"/>
        <v>0</v>
      </c>
      <c r="L29" s="44">
        <f t="shared" si="3"/>
        <v>0</v>
      </c>
      <c r="M29" s="43"/>
      <c r="N29" s="45">
        <f t="shared" si="7"/>
        <v>0</v>
      </c>
      <c r="O29" s="45" t="e">
        <f t="shared" si="6"/>
        <v>#DIV/0!</v>
      </c>
      <c r="P29" s="46">
        <f t="shared" si="8"/>
        <v>0</v>
      </c>
      <c r="Q29" s="41" t="s">
        <v>30</v>
      </c>
      <c r="R29" s="47"/>
    </row>
    <row r="30" spans="1:18" ht="15.75" x14ac:dyDescent="0.25">
      <c r="A30" s="37"/>
      <c r="B30" s="38"/>
      <c r="C30" s="38"/>
      <c r="D30" s="39">
        <f t="shared" si="9"/>
        <v>0</v>
      </c>
      <c r="E30" s="49">
        <f t="shared" si="5"/>
        <v>0</v>
      </c>
      <c r="F30" s="50"/>
      <c r="G30" s="51"/>
      <c r="H30" s="43"/>
      <c r="I30" s="43"/>
      <c r="J30" s="43"/>
      <c r="K30" s="44">
        <f t="shared" si="2"/>
        <v>0</v>
      </c>
      <c r="L30" s="44">
        <f t="shared" si="3"/>
        <v>0</v>
      </c>
      <c r="M30" s="43"/>
      <c r="N30" s="45">
        <f t="shared" si="7"/>
        <v>0</v>
      </c>
      <c r="O30" s="45" t="e">
        <f t="shared" si="6"/>
        <v>#DIV/0!</v>
      </c>
      <c r="P30" s="46"/>
      <c r="Q30" s="47"/>
      <c r="R30" s="47"/>
    </row>
    <row r="31" spans="1:18" ht="15.75" x14ac:dyDescent="0.25">
      <c r="A31" s="37"/>
      <c r="B31" s="38"/>
      <c r="C31" s="38"/>
      <c r="D31" s="39">
        <f t="shared" si="9"/>
        <v>0</v>
      </c>
      <c r="E31" s="49">
        <f t="shared" si="5"/>
        <v>0</v>
      </c>
      <c r="F31" s="50"/>
      <c r="G31" s="51"/>
      <c r="H31" s="43"/>
      <c r="I31" s="43"/>
      <c r="J31" s="43"/>
      <c r="K31" s="44">
        <f t="shared" si="2"/>
        <v>0</v>
      </c>
      <c r="L31" s="44">
        <f t="shared" si="3"/>
        <v>0</v>
      </c>
      <c r="M31" s="43"/>
      <c r="N31" s="45">
        <f t="shared" si="7"/>
        <v>0</v>
      </c>
      <c r="O31" s="45" t="e">
        <f t="shared" si="6"/>
        <v>#DIV/0!</v>
      </c>
      <c r="P31" s="46">
        <f t="shared" si="8"/>
        <v>0</v>
      </c>
      <c r="Q31" s="47" t="s">
        <v>30</v>
      </c>
      <c r="R31" s="47"/>
    </row>
    <row r="32" spans="1:18" ht="15.75" x14ac:dyDescent="0.25">
      <c r="A32" s="37"/>
      <c r="B32" s="38"/>
      <c r="C32" s="38"/>
      <c r="D32" s="39">
        <f t="shared" si="9"/>
        <v>0</v>
      </c>
      <c r="E32" s="49">
        <f t="shared" si="5"/>
        <v>0</v>
      </c>
      <c r="F32" s="50"/>
      <c r="G32" s="51"/>
      <c r="H32" s="43"/>
      <c r="I32" s="43"/>
      <c r="J32" s="43"/>
      <c r="K32" s="44">
        <f t="shared" si="2"/>
        <v>0</v>
      </c>
      <c r="L32" s="44">
        <f t="shared" si="3"/>
        <v>0</v>
      </c>
      <c r="M32" s="43"/>
      <c r="N32" s="45">
        <f t="shared" si="7"/>
        <v>0</v>
      </c>
      <c r="O32" s="45" t="e">
        <f t="shared" si="6"/>
        <v>#DIV/0!</v>
      </c>
      <c r="P32" s="46">
        <f t="shared" si="8"/>
        <v>0</v>
      </c>
      <c r="Q32" s="47" t="s">
        <v>30</v>
      </c>
      <c r="R32" s="47"/>
    </row>
    <row r="33" spans="1:18" ht="15.75" x14ac:dyDescent="0.25">
      <c r="A33" s="37"/>
      <c r="B33" s="38"/>
      <c r="C33" s="38"/>
      <c r="D33" s="39">
        <f t="shared" si="9"/>
        <v>0</v>
      </c>
      <c r="E33" s="49">
        <f t="shared" si="5"/>
        <v>0</v>
      </c>
      <c r="F33" s="50"/>
      <c r="G33" s="51"/>
      <c r="H33" s="43"/>
      <c r="I33" s="43"/>
      <c r="J33" s="43"/>
      <c r="K33" s="44">
        <f t="shared" si="2"/>
        <v>0</v>
      </c>
      <c r="L33" s="44">
        <f t="shared" si="3"/>
        <v>0</v>
      </c>
      <c r="M33" s="43"/>
      <c r="N33" s="45">
        <f t="shared" si="7"/>
        <v>0</v>
      </c>
      <c r="O33" s="45" t="e">
        <f t="shared" si="6"/>
        <v>#DIV/0!</v>
      </c>
      <c r="P33" s="46">
        <f t="shared" si="8"/>
        <v>0</v>
      </c>
      <c r="Q33" s="41" t="s">
        <v>30</v>
      </c>
      <c r="R33" s="47"/>
    </row>
    <row r="34" spans="1:18" s="48" customFormat="1" x14ac:dyDescent="0.2">
      <c r="A34" s="37"/>
      <c r="B34" s="38"/>
      <c r="C34" s="38"/>
      <c r="D34" s="39">
        <f t="shared" si="9"/>
        <v>0</v>
      </c>
      <c r="E34" s="49">
        <f t="shared" si="5"/>
        <v>0</v>
      </c>
      <c r="F34" s="50"/>
      <c r="G34" s="51"/>
      <c r="H34" s="43"/>
      <c r="I34" s="43"/>
      <c r="J34" s="43"/>
      <c r="K34" s="44">
        <f t="shared" si="2"/>
        <v>0</v>
      </c>
      <c r="L34" s="44">
        <f t="shared" si="3"/>
        <v>0</v>
      </c>
      <c r="M34" s="43"/>
      <c r="N34" s="45">
        <f>(I34*24/15)+H34</f>
        <v>0</v>
      </c>
      <c r="O34" s="45" t="e">
        <f t="shared" si="6"/>
        <v>#DIV/0!</v>
      </c>
      <c r="P34" s="46">
        <f t="shared" si="8"/>
        <v>0</v>
      </c>
      <c r="Q34" s="41" t="s">
        <v>30</v>
      </c>
      <c r="R34" s="47"/>
    </row>
    <row r="35" spans="1:18" s="48" customFormat="1" x14ac:dyDescent="0.2">
      <c r="A35" s="37"/>
      <c r="B35" s="38"/>
      <c r="C35" s="38"/>
      <c r="D35" s="39">
        <f t="shared" si="9"/>
        <v>0</v>
      </c>
      <c r="E35" s="49">
        <f t="shared" si="5"/>
        <v>0</v>
      </c>
      <c r="F35" s="50"/>
      <c r="G35" s="51"/>
      <c r="H35" s="43"/>
      <c r="I35" s="43"/>
      <c r="J35" s="43"/>
      <c r="K35" s="44">
        <f t="shared" si="2"/>
        <v>0</v>
      </c>
      <c r="L35" s="44">
        <f t="shared" si="3"/>
        <v>0</v>
      </c>
      <c r="M35" s="43"/>
      <c r="N35" s="45">
        <f>(I35*24/15)+H35</f>
        <v>0</v>
      </c>
      <c r="O35" s="45" t="e">
        <f t="shared" si="6"/>
        <v>#DIV/0!</v>
      </c>
      <c r="P35" s="46">
        <f t="shared" si="8"/>
        <v>0</v>
      </c>
      <c r="Q35" s="41"/>
      <c r="R35" s="47"/>
    </row>
    <row r="36" spans="1:18" s="48" customFormat="1" x14ac:dyDescent="0.2">
      <c r="A36" s="37"/>
      <c r="B36" s="38"/>
      <c r="C36" s="38"/>
      <c r="D36" s="39">
        <f t="shared" si="9"/>
        <v>0</v>
      </c>
      <c r="E36" s="49">
        <f t="shared" si="5"/>
        <v>0</v>
      </c>
      <c r="F36" s="50"/>
      <c r="G36" s="51"/>
      <c r="H36" s="43"/>
      <c r="I36" s="43"/>
      <c r="J36" s="43"/>
      <c r="K36" s="44">
        <f t="shared" si="2"/>
        <v>0</v>
      </c>
      <c r="L36" s="44">
        <f t="shared" si="3"/>
        <v>0</v>
      </c>
      <c r="M36" s="43"/>
      <c r="N36" s="45">
        <f t="shared" ref="N36:N66" si="10">(I36*24/15)+H36</f>
        <v>0</v>
      </c>
      <c r="O36" s="45" t="e">
        <f t="shared" si="6"/>
        <v>#DIV/0!</v>
      </c>
      <c r="P36" s="46">
        <f t="shared" si="8"/>
        <v>0</v>
      </c>
      <c r="Q36" s="41"/>
      <c r="R36" s="47"/>
    </row>
    <row r="37" spans="1:18" s="48" customFormat="1" x14ac:dyDescent="0.2">
      <c r="A37" s="37"/>
      <c r="B37" s="38"/>
      <c r="C37" s="38"/>
      <c r="D37" s="39">
        <f t="shared" si="9"/>
        <v>0</v>
      </c>
      <c r="E37" s="49">
        <f t="shared" si="5"/>
        <v>0</v>
      </c>
      <c r="F37" s="50"/>
      <c r="G37" s="51"/>
      <c r="H37" s="43"/>
      <c r="I37" s="43"/>
      <c r="J37" s="43"/>
      <c r="K37" s="44">
        <f t="shared" si="2"/>
        <v>0</v>
      </c>
      <c r="L37" s="44">
        <f t="shared" si="3"/>
        <v>0</v>
      </c>
      <c r="M37" s="43"/>
      <c r="N37" s="45">
        <f t="shared" si="10"/>
        <v>0</v>
      </c>
      <c r="O37" s="45" t="e">
        <f t="shared" si="6"/>
        <v>#DIV/0!</v>
      </c>
      <c r="P37" s="46">
        <f t="shared" si="8"/>
        <v>0</v>
      </c>
      <c r="Q37" s="41"/>
      <c r="R37" s="47"/>
    </row>
    <row r="38" spans="1:18" s="48" customFormat="1" x14ac:dyDescent="0.2">
      <c r="A38" s="37"/>
      <c r="B38" s="38"/>
      <c r="C38" s="38"/>
      <c r="D38" s="39">
        <f t="shared" si="9"/>
        <v>0</v>
      </c>
      <c r="E38" s="49">
        <f t="shared" si="5"/>
        <v>0</v>
      </c>
      <c r="F38" s="50"/>
      <c r="G38" s="51"/>
      <c r="H38" s="43"/>
      <c r="I38" s="43"/>
      <c r="J38" s="43"/>
      <c r="K38" s="44">
        <f t="shared" si="2"/>
        <v>0</v>
      </c>
      <c r="L38" s="44">
        <f t="shared" si="3"/>
        <v>0</v>
      </c>
      <c r="M38" s="43"/>
      <c r="N38" s="45">
        <f t="shared" si="10"/>
        <v>0</v>
      </c>
      <c r="O38" s="45" t="e">
        <f t="shared" si="6"/>
        <v>#DIV/0!</v>
      </c>
      <c r="P38" s="46">
        <f t="shared" si="8"/>
        <v>0</v>
      </c>
      <c r="Q38" s="41"/>
      <c r="R38" s="47"/>
    </row>
    <row r="39" spans="1:18" s="48" customFormat="1" x14ac:dyDescent="0.2">
      <c r="A39" s="37"/>
      <c r="B39" s="38"/>
      <c r="C39" s="38"/>
      <c r="D39" s="39">
        <f t="shared" si="9"/>
        <v>0</v>
      </c>
      <c r="E39" s="49">
        <f t="shared" si="5"/>
        <v>0</v>
      </c>
      <c r="F39" s="50"/>
      <c r="G39" s="51"/>
      <c r="H39" s="43"/>
      <c r="I39" s="43"/>
      <c r="J39" s="43"/>
      <c r="K39" s="44">
        <f t="shared" si="2"/>
        <v>0</v>
      </c>
      <c r="L39" s="44">
        <f t="shared" si="3"/>
        <v>0</v>
      </c>
      <c r="M39" s="43"/>
      <c r="N39" s="45">
        <f t="shared" si="10"/>
        <v>0</v>
      </c>
      <c r="O39" s="45" t="e">
        <f t="shared" si="6"/>
        <v>#DIV/0!</v>
      </c>
      <c r="P39" s="46">
        <f t="shared" si="8"/>
        <v>0</v>
      </c>
      <c r="Q39" s="41"/>
      <c r="R39" s="47"/>
    </row>
    <row r="40" spans="1:18" s="48" customFormat="1" x14ac:dyDescent="0.2">
      <c r="A40" s="37"/>
      <c r="B40" s="38"/>
      <c r="C40" s="38"/>
      <c r="D40" s="39">
        <f t="shared" si="9"/>
        <v>0</v>
      </c>
      <c r="E40" s="49">
        <f t="shared" si="5"/>
        <v>0</v>
      </c>
      <c r="F40" s="50"/>
      <c r="G40" s="51"/>
      <c r="H40" s="43"/>
      <c r="I40" s="43"/>
      <c r="J40" s="43"/>
      <c r="K40" s="44">
        <f t="shared" si="2"/>
        <v>0</v>
      </c>
      <c r="L40" s="44">
        <f t="shared" si="3"/>
        <v>0</v>
      </c>
      <c r="M40" s="43"/>
      <c r="N40" s="45">
        <f t="shared" si="10"/>
        <v>0</v>
      </c>
      <c r="O40" s="45" t="e">
        <f t="shared" si="6"/>
        <v>#DIV/0!</v>
      </c>
      <c r="P40" s="46">
        <f t="shared" si="8"/>
        <v>0</v>
      </c>
      <c r="Q40" s="41"/>
      <c r="R40" s="47"/>
    </row>
    <row r="41" spans="1:18" s="48" customFormat="1" x14ac:dyDescent="0.2">
      <c r="A41" s="37"/>
      <c r="B41" s="38"/>
      <c r="C41" s="38"/>
      <c r="D41" s="39">
        <f t="shared" si="9"/>
        <v>0</v>
      </c>
      <c r="E41" s="49">
        <f t="shared" si="5"/>
        <v>0</v>
      </c>
      <c r="F41" s="50"/>
      <c r="G41" s="51"/>
      <c r="H41" s="43"/>
      <c r="I41" s="43"/>
      <c r="J41" s="43"/>
      <c r="K41" s="44">
        <f t="shared" si="2"/>
        <v>0</v>
      </c>
      <c r="L41" s="44">
        <f t="shared" si="3"/>
        <v>0</v>
      </c>
      <c r="M41" s="43"/>
      <c r="N41" s="45">
        <f t="shared" si="10"/>
        <v>0</v>
      </c>
      <c r="O41" s="45" t="e">
        <f t="shared" si="6"/>
        <v>#DIV/0!</v>
      </c>
      <c r="P41" s="46">
        <f t="shared" si="8"/>
        <v>0</v>
      </c>
      <c r="Q41" s="41"/>
      <c r="R41" s="47"/>
    </row>
    <row r="42" spans="1:18" s="48" customFormat="1" x14ac:dyDescent="0.2">
      <c r="A42" s="37"/>
      <c r="B42" s="38"/>
      <c r="C42" s="38"/>
      <c r="D42" s="39">
        <f t="shared" si="9"/>
        <v>0</v>
      </c>
      <c r="E42" s="49">
        <f t="shared" si="5"/>
        <v>0</v>
      </c>
      <c r="F42" s="50"/>
      <c r="G42" s="51"/>
      <c r="H42" s="43"/>
      <c r="I42" s="43"/>
      <c r="J42" s="43"/>
      <c r="K42" s="44">
        <f t="shared" si="2"/>
        <v>0</v>
      </c>
      <c r="L42" s="44">
        <f t="shared" si="3"/>
        <v>0</v>
      </c>
      <c r="M42" s="43"/>
      <c r="N42" s="45">
        <f t="shared" si="10"/>
        <v>0</v>
      </c>
      <c r="O42" s="45" t="e">
        <f t="shared" si="6"/>
        <v>#DIV/0!</v>
      </c>
      <c r="P42" s="46">
        <f t="shared" si="8"/>
        <v>0</v>
      </c>
      <c r="Q42" s="41"/>
      <c r="R42" s="47"/>
    </row>
    <row r="43" spans="1:18" s="48" customFormat="1" hidden="1" x14ac:dyDescent="0.2">
      <c r="A43" s="37"/>
      <c r="B43" s="38"/>
      <c r="C43" s="38"/>
      <c r="D43" s="39">
        <f t="shared" si="9"/>
        <v>0</v>
      </c>
      <c r="E43" s="49">
        <f t="shared" si="5"/>
        <v>0</v>
      </c>
      <c r="F43" s="50"/>
      <c r="G43" s="51"/>
      <c r="H43" s="43"/>
      <c r="I43" s="43"/>
      <c r="J43" s="43"/>
      <c r="K43" s="44">
        <f t="shared" si="2"/>
        <v>0</v>
      </c>
      <c r="L43" s="44">
        <f t="shared" si="3"/>
        <v>0</v>
      </c>
      <c r="M43" s="43"/>
      <c r="N43" s="45">
        <f t="shared" si="10"/>
        <v>0</v>
      </c>
      <c r="O43" s="45" t="e">
        <f t="shared" si="6"/>
        <v>#DIV/0!</v>
      </c>
      <c r="P43" s="46">
        <v>0</v>
      </c>
      <c r="Q43" s="41"/>
      <c r="R43" s="47"/>
    </row>
    <row r="44" spans="1:18" s="48" customFormat="1" hidden="1" x14ac:dyDescent="0.2">
      <c r="A44" s="37"/>
      <c r="B44" s="38"/>
      <c r="C44" s="38"/>
      <c r="D44" s="39">
        <f t="shared" si="9"/>
        <v>0</v>
      </c>
      <c r="E44" s="49">
        <f t="shared" si="5"/>
        <v>0</v>
      </c>
      <c r="F44" s="50"/>
      <c r="G44" s="51"/>
      <c r="H44" s="43"/>
      <c r="I44" s="43"/>
      <c r="J44" s="43"/>
      <c r="K44" s="44">
        <f t="shared" si="2"/>
        <v>0</v>
      </c>
      <c r="L44" s="44">
        <f t="shared" si="3"/>
        <v>0</v>
      </c>
      <c r="M44" s="43"/>
      <c r="N44" s="45">
        <f t="shared" si="10"/>
        <v>0</v>
      </c>
      <c r="O44" s="45" t="e">
        <f t="shared" si="6"/>
        <v>#DIV/0!</v>
      </c>
      <c r="P44" s="46">
        <v>0.246</v>
      </c>
      <c r="Q44" s="41"/>
      <c r="R44" s="47"/>
    </row>
    <row r="45" spans="1:18" s="48" customFormat="1" hidden="1" x14ac:dyDescent="0.2">
      <c r="A45" s="37"/>
      <c r="B45" s="38"/>
      <c r="C45" s="38"/>
      <c r="D45" s="39">
        <f t="shared" si="9"/>
        <v>0</v>
      </c>
      <c r="E45" s="49">
        <f t="shared" si="5"/>
        <v>0</v>
      </c>
      <c r="F45" s="50"/>
      <c r="G45" s="51"/>
      <c r="H45" s="43"/>
      <c r="I45" s="43"/>
      <c r="J45" s="43"/>
      <c r="K45" s="44">
        <f t="shared" si="2"/>
        <v>0</v>
      </c>
      <c r="L45" s="44">
        <f t="shared" si="3"/>
        <v>0</v>
      </c>
      <c r="M45" s="43"/>
      <c r="N45" s="45">
        <f t="shared" si="10"/>
        <v>0</v>
      </c>
      <c r="O45" s="45" t="e">
        <f t="shared" si="6"/>
        <v>#DIV/0!</v>
      </c>
      <c r="P45" s="46">
        <v>0</v>
      </c>
      <c r="Q45" s="41"/>
      <c r="R45" s="47"/>
    </row>
    <row r="46" spans="1:18" s="48" customFormat="1" hidden="1" x14ac:dyDescent="0.2">
      <c r="A46" s="37"/>
      <c r="B46" s="38"/>
      <c r="C46" s="38"/>
      <c r="D46" s="39">
        <f t="shared" si="9"/>
        <v>0</v>
      </c>
      <c r="E46" s="49">
        <f t="shared" si="5"/>
        <v>0</v>
      </c>
      <c r="F46" s="50"/>
      <c r="G46" s="51"/>
      <c r="H46" s="43"/>
      <c r="I46" s="43"/>
      <c r="J46" s="43"/>
      <c r="K46" s="44">
        <f t="shared" si="2"/>
        <v>0</v>
      </c>
      <c r="L46" s="44">
        <f t="shared" si="3"/>
        <v>0</v>
      </c>
      <c r="M46" s="43"/>
      <c r="N46" s="45">
        <f t="shared" si="10"/>
        <v>0</v>
      </c>
      <c r="O46" s="45" t="e">
        <f t="shared" si="6"/>
        <v>#DIV/0!</v>
      </c>
      <c r="P46" s="46">
        <f t="shared" ref="P46:P66" si="11">+F46*0.003</f>
        <v>0</v>
      </c>
      <c r="Q46" s="41"/>
      <c r="R46" s="47"/>
    </row>
    <row r="47" spans="1:18" s="48" customFormat="1" x14ac:dyDescent="0.2">
      <c r="A47" s="37"/>
      <c r="B47" s="38"/>
      <c r="C47" s="38"/>
      <c r="D47" s="39">
        <f t="shared" si="9"/>
        <v>0</v>
      </c>
      <c r="E47" s="49">
        <f t="shared" si="5"/>
        <v>0</v>
      </c>
      <c r="F47" s="50"/>
      <c r="G47" s="51"/>
      <c r="H47" s="43"/>
      <c r="I47" s="43"/>
      <c r="J47" s="43"/>
      <c r="K47" s="44">
        <f t="shared" si="2"/>
        <v>0</v>
      </c>
      <c r="L47" s="44">
        <f t="shared" si="3"/>
        <v>0</v>
      </c>
      <c r="M47" s="43"/>
      <c r="N47" s="45">
        <f t="shared" si="10"/>
        <v>0</v>
      </c>
      <c r="O47" s="45" t="e">
        <f>+N47/M47</f>
        <v>#DIV/0!</v>
      </c>
      <c r="P47" s="46">
        <f t="shared" si="11"/>
        <v>0</v>
      </c>
      <c r="Q47" s="41"/>
      <c r="R47" s="47"/>
    </row>
    <row r="48" spans="1:18" s="48" customFormat="1" x14ac:dyDescent="0.2">
      <c r="A48" s="37"/>
      <c r="B48" s="38"/>
      <c r="C48" s="38"/>
      <c r="D48" s="39">
        <f t="shared" si="9"/>
        <v>0</v>
      </c>
      <c r="E48" s="49">
        <f t="shared" si="5"/>
        <v>0</v>
      </c>
      <c r="F48" s="50"/>
      <c r="G48" s="51"/>
      <c r="H48" s="43"/>
      <c r="I48" s="43"/>
      <c r="J48" s="43"/>
      <c r="K48" s="44">
        <f t="shared" si="2"/>
        <v>0</v>
      </c>
      <c r="L48" s="44">
        <f t="shared" si="3"/>
        <v>0</v>
      </c>
      <c r="M48" s="43"/>
      <c r="N48" s="45">
        <f t="shared" si="10"/>
        <v>0</v>
      </c>
      <c r="O48" s="45" t="e">
        <f>+N48/M48</f>
        <v>#DIV/0!</v>
      </c>
      <c r="P48" s="46">
        <f t="shared" si="11"/>
        <v>0</v>
      </c>
      <c r="Q48" s="41"/>
      <c r="R48" s="47"/>
    </row>
    <row r="49" spans="1:18" s="48" customFormat="1" x14ac:dyDescent="0.2">
      <c r="A49" s="37"/>
      <c r="B49" s="38"/>
      <c r="C49" s="38"/>
      <c r="D49" s="39">
        <f t="shared" si="9"/>
        <v>0</v>
      </c>
      <c r="E49" s="49">
        <f t="shared" si="5"/>
        <v>0</v>
      </c>
      <c r="F49" s="50"/>
      <c r="G49" s="51"/>
      <c r="H49" s="43"/>
      <c r="I49" s="43"/>
      <c r="J49" s="43"/>
      <c r="K49" s="44">
        <f t="shared" si="2"/>
        <v>0</v>
      </c>
      <c r="L49" s="44">
        <f t="shared" si="3"/>
        <v>0</v>
      </c>
      <c r="M49" s="43"/>
      <c r="N49" s="45">
        <f t="shared" si="10"/>
        <v>0</v>
      </c>
      <c r="O49" s="45" t="e">
        <f>+N49/M49</f>
        <v>#DIV/0!</v>
      </c>
      <c r="P49" s="46">
        <f t="shared" si="11"/>
        <v>0</v>
      </c>
      <c r="Q49" s="41"/>
      <c r="R49" s="47"/>
    </row>
    <row r="50" spans="1:18" s="48" customFormat="1" x14ac:dyDescent="0.2">
      <c r="A50" s="37"/>
      <c r="B50" s="38"/>
      <c r="C50" s="38"/>
      <c r="D50" s="39">
        <f t="shared" si="9"/>
        <v>0</v>
      </c>
      <c r="E50" s="49">
        <f t="shared" si="5"/>
        <v>0</v>
      </c>
      <c r="F50" s="50"/>
      <c r="G50" s="51"/>
      <c r="H50" s="43"/>
      <c r="I50" s="43"/>
      <c r="J50" s="43"/>
      <c r="K50" s="44">
        <f t="shared" si="2"/>
        <v>0</v>
      </c>
      <c r="L50" s="44">
        <f t="shared" si="3"/>
        <v>0</v>
      </c>
      <c r="M50" s="43"/>
      <c r="N50" s="45">
        <f t="shared" si="10"/>
        <v>0</v>
      </c>
      <c r="O50" s="45" t="e">
        <f>+N50/M50</f>
        <v>#DIV/0!</v>
      </c>
      <c r="P50" s="46">
        <f t="shared" si="11"/>
        <v>0</v>
      </c>
      <c r="Q50" s="41"/>
      <c r="R50" s="47"/>
    </row>
    <row r="51" spans="1:18" ht="15.75" x14ac:dyDescent="0.25">
      <c r="A51" s="52"/>
      <c r="B51" s="38"/>
      <c r="C51" s="38"/>
      <c r="D51" s="39">
        <f t="shared" si="9"/>
        <v>0</v>
      </c>
      <c r="E51" s="49">
        <f t="shared" si="5"/>
        <v>0</v>
      </c>
      <c r="F51" s="50"/>
      <c r="G51" s="51"/>
      <c r="H51" s="43"/>
      <c r="I51" s="43"/>
      <c r="J51" s="43"/>
      <c r="K51" s="44">
        <f t="shared" si="2"/>
        <v>0</v>
      </c>
      <c r="L51" s="44">
        <f t="shared" si="3"/>
        <v>0</v>
      </c>
      <c r="M51" s="43"/>
      <c r="N51" s="45">
        <f t="shared" si="10"/>
        <v>0</v>
      </c>
      <c r="O51" s="45" t="e">
        <f>+N51/M51</f>
        <v>#DIV/0!</v>
      </c>
      <c r="P51" s="46">
        <f t="shared" si="11"/>
        <v>0</v>
      </c>
      <c r="Q51" s="47"/>
      <c r="R51" s="47"/>
    </row>
    <row r="52" spans="1:18" ht="15.75" x14ac:dyDescent="0.25">
      <c r="A52" s="52"/>
      <c r="B52" s="38"/>
      <c r="C52" s="38"/>
      <c r="D52" s="39">
        <f t="shared" si="9"/>
        <v>0</v>
      </c>
      <c r="E52" s="49">
        <f t="shared" si="5"/>
        <v>0</v>
      </c>
      <c r="F52" s="50"/>
      <c r="G52" s="51"/>
      <c r="H52" s="43"/>
      <c r="I52" s="43"/>
      <c r="J52" s="43"/>
      <c r="K52" s="44" t="s">
        <v>31</v>
      </c>
      <c r="L52" s="44">
        <f t="shared" si="3"/>
        <v>0</v>
      </c>
      <c r="M52" s="43"/>
      <c r="N52" s="45">
        <f t="shared" si="10"/>
        <v>0</v>
      </c>
      <c r="O52" s="45" t="e">
        <f t="shared" ref="O52:O66" si="12">+N52/M52</f>
        <v>#DIV/0!</v>
      </c>
      <c r="P52" s="46">
        <f t="shared" si="11"/>
        <v>0</v>
      </c>
      <c r="Q52" s="47"/>
      <c r="R52" s="47"/>
    </row>
    <row r="53" spans="1:18" ht="15.75" x14ac:dyDescent="0.25">
      <c r="A53" s="52"/>
      <c r="B53" s="38"/>
      <c r="C53" s="38"/>
      <c r="D53" s="39">
        <f t="shared" si="9"/>
        <v>0</v>
      </c>
      <c r="E53" s="49">
        <f t="shared" si="5"/>
        <v>0</v>
      </c>
      <c r="F53" s="50">
        <f t="shared" ref="F53:F60" si="13">G53-E53</f>
        <v>0</v>
      </c>
      <c r="G53" s="51"/>
      <c r="H53" s="43"/>
      <c r="I53" s="43"/>
      <c r="J53" s="43"/>
      <c r="K53" s="44">
        <f t="shared" ref="K53:K67" si="14">H53*15</f>
        <v>0</v>
      </c>
      <c r="L53" s="44">
        <f t="shared" si="3"/>
        <v>0</v>
      </c>
      <c r="M53" s="43"/>
      <c r="N53" s="45">
        <f t="shared" si="10"/>
        <v>0</v>
      </c>
      <c r="O53" s="45" t="e">
        <f t="shared" si="12"/>
        <v>#DIV/0!</v>
      </c>
      <c r="P53" s="46">
        <f t="shared" si="11"/>
        <v>0</v>
      </c>
      <c r="Q53" s="47"/>
      <c r="R53" s="47"/>
    </row>
    <row r="54" spans="1:18" ht="15.75" x14ac:dyDescent="0.25">
      <c r="A54" s="52"/>
      <c r="B54" s="38"/>
      <c r="C54" s="38"/>
      <c r="D54" s="39">
        <f t="shared" si="9"/>
        <v>0</v>
      </c>
      <c r="E54" s="49">
        <f t="shared" si="5"/>
        <v>0</v>
      </c>
      <c r="F54" s="50">
        <f t="shared" si="13"/>
        <v>0</v>
      </c>
      <c r="G54" s="51"/>
      <c r="H54" s="43"/>
      <c r="I54" s="43"/>
      <c r="J54" s="43"/>
      <c r="K54" s="44">
        <f t="shared" si="14"/>
        <v>0</v>
      </c>
      <c r="L54" s="44">
        <f t="shared" si="3"/>
        <v>0</v>
      </c>
      <c r="M54" s="43"/>
      <c r="N54" s="45">
        <f t="shared" si="10"/>
        <v>0</v>
      </c>
      <c r="O54" s="45" t="e">
        <f t="shared" si="12"/>
        <v>#DIV/0!</v>
      </c>
      <c r="P54" s="46">
        <f t="shared" si="11"/>
        <v>0</v>
      </c>
      <c r="Q54" s="47"/>
      <c r="R54" s="47"/>
    </row>
    <row r="55" spans="1:18" ht="15.75" x14ac:dyDescent="0.25">
      <c r="A55" s="52"/>
      <c r="B55" s="38"/>
      <c r="C55" s="38"/>
      <c r="D55" s="39">
        <f t="shared" si="9"/>
        <v>0</v>
      </c>
      <c r="E55" s="49">
        <f t="shared" si="5"/>
        <v>0</v>
      </c>
      <c r="F55" s="50">
        <f t="shared" si="13"/>
        <v>0</v>
      </c>
      <c r="G55" s="51"/>
      <c r="H55" s="43"/>
      <c r="I55" s="43"/>
      <c r="J55" s="43"/>
      <c r="K55" s="44">
        <f t="shared" si="14"/>
        <v>0</v>
      </c>
      <c r="L55" s="44">
        <f t="shared" si="3"/>
        <v>0</v>
      </c>
      <c r="M55" s="43"/>
      <c r="N55" s="45">
        <f t="shared" si="10"/>
        <v>0</v>
      </c>
      <c r="O55" s="45" t="e">
        <f t="shared" si="12"/>
        <v>#DIV/0!</v>
      </c>
      <c r="P55" s="46">
        <f t="shared" si="11"/>
        <v>0</v>
      </c>
      <c r="Q55" s="47"/>
      <c r="R55" s="47"/>
    </row>
    <row r="56" spans="1:18" ht="15.75" x14ac:dyDescent="0.25">
      <c r="A56" s="52"/>
      <c r="B56" s="38"/>
      <c r="C56" s="38"/>
      <c r="D56" s="39">
        <f t="shared" si="9"/>
        <v>0</v>
      </c>
      <c r="E56" s="49">
        <f t="shared" si="5"/>
        <v>0</v>
      </c>
      <c r="F56" s="50">
        <f t="shared" si="13"/>
        <v>0</v>
      </c>
      <c r="G56" s="42"/>
      <c r="H56" s="43"/>
      <c r="I56" s="43"/>
      <c r="J56" s="43"/>
      <c r="K56" s="44">
        <f t="shared" si="14"/>
        <v>0</v>
      </c>
      <c r="L56" s="44">
        <f t="shared" si="3"/>
        <v>0</v>
      </c>
      <c r="M56" s="43"/>
      <c r="N56" s="45">
        <f t="shared" si="10"/>
        <v>0</v>
      </c>
      <c r="O56" s="45" t="e">
        <f t="shared" si="12"/>
        <v>#DIV/0!</v>
      </c>
      <c r="P56" s="46">
        <f t="shared" si="11"/>
        <v>0</v>
      </c>
      <c r="Q56" s="47"/>
      <c r="R56" s="47"/>
    </row>
    <row r="57" spans="1:18" ht="15.75" x14ac:dyDescent="0.25">
      <c r="A57" s="52"/>
      <c r="B57" s="38"/>
      <c r="C57" s="38"/>
      <c r="D57" s="39">
        <f t="shared" si="9"/>
        <v>0</v>
      </c>
      <c r="E57" s="49">
        <f t="shared" si="5"/>
        <v>0</v>
      </c>
      <c r="F57" s="50">
        <f t="shared" si="13"/>
        <v>0</v>
      </c>
      <c r="G57" s="42"/>
      <c r="H57" s="43"/>
      <c r="I57" s="43"/>
      <c r="J57" s="43"/>
      <c r="K57" s="44">
        <f t="shared" si="14"/>
        <v>0</v>
      </c>
      <c r="L57" s="44">
        <f t="shared" si="3"/>
        <v>0</v>
      </c>
      <c r="M57" s="43"/>
      <c r="N57" s="45">
        <f t="shared" si="10"/>
        <v>0</v>
      </c>
      <c r="O57" s="45" t="e">
        <f t="shared" si="12"/>
        <v>#DIV/0!</v>
      </c>
      <c r="P57" s="46">
        <f t="shared" si="11"/>
        <v>0</v>
      </c>
      <c r="Q57" s="47"/>
      <c r="R57" s="47"/>
    </row>
    <row r="58" spans="1:18" ht="15.75" x14ac:dyDescent="0.25">
      <c r="A58" s="52"/>
      <c r="B58" s="38"/>
      <c r="C58" s="38"/>
      <c r="D58" s="39">
        <f t="shared" si="9"/>
        <v>0</v>
      </c>
      <c r="E58" s="49">
        <f t="shared" si="5"/>
        <v>0</v>
      </c>
      <c r="F58" s="50">
        <f t="shared" si="13"/>
        <v>0</v>
      </c>
      <c r="G58" s="42"/>
      <c r="H58" s="43"/>
      <c r="I58" s="43"/>
      <c r="J58" s="43"/>
      <c r="K58" s="44">
        <f t="shared" si="14"/>
        <v>0</v>
      </c>
      <c r="L58" s="44">
        <f t="shared" si="3"/>
        <v>0</v>
      </c>
      <c r="M58" s="43"/>
      <c r="N58" s="45">
        <f t="shared" si="10"/>
        <v>0</v>
      </c>
      <c r="O58" s="45" t="e">
        <f t="shared" si="12"/>
        <v>#DIV/0!</v>
      </c>
      <c r="P58" s="46">
        <f t="shared" si="11"/>
        <v>0</v>
      </c>
      <c r="Q58" s="47"/>
      <c r="R58" s="47"/>
    </row>
    <row r="59" spans="1:18" ht="15.75" x14ac:dyDescent="0.25">
      <c r="A59" s="52"/>
      <c r="B59" s="38"/>
      <c r="C59" s="38"/>
      <c r="D59" s="39"/>
      <c r="E59" s="49">
        <f t="shared" si="5"/>
        <v>0</v>
      </c>
      <c r="F59" s="50">
        <f t="shared" si="13"/>
        <v>0</v>
      </c>
      <c r="G59" s="42"/>
      <c r="H59" s="43"/>
      <c r="I59" s="43"/>
      <c r="J59" s="43"/>
      <c r="K59" s="44">
        <f t="shared" si="14"/>
        <v>0</v>
      </c>
      <c r="L59" s="44">
        <f t="shared" si="3"/>
        <v>0</v>
      </c>
      <c r="M59" s="43"/>
      <c r="N59" s="45">
        <f t="shared" si="10"/>
        <v>0</v>
      </c>
      <c r="O59" s="45" t="e">
        <f t="shared" si="12"/>
        <v>#DIV/0!</v>
      </c>
      <c r="P59" s="46">
        <f t="shared" si="11"/>
        <v>0</v>
      </c>
      <c r="Q59" s="47"/>
      <c r="R59" s="47"/>
    </row>
    <row r="60" spans="1:18" ht="15.75" x14ac:dyDescent="0.25">
      <c r="A60" s="52"/>
      <c r="B60" s="38"/>
      <c r="C60" s="38"/>
      <c r="D60" s="39"/>
      <c r="E60" s="49">
        <f t="shared" si="5"/>
        <v>0</v>
      </c>
      <c r="F60" s="50">
        <f t="shared" si="13"/>
        <v>0</v>
      </c>
      <c r="G60" s="42"/>
      <c r="H60" s="43"/>
      <c r="I60" s="43"/>
      <c r="J60" s="43"/>
      <c r="K60" s="44">
        <f t="shared" si="14"/>
        <v>0</v>
      </c>
      <c r="L60" s="44">
        <f t="shared" si="3"/>
        <v>0</v>
      </c>
      <c r="M60" s="43"/>
      <c r="N60" s="45">
        <f t="shared" si="10"/>
        <v>0</v>
      </c>
      <c r="O60" s="45" t="e">
        <f t="shared" si="12"/>
        <v>#DIV/0!</v>
      </c>
      <c r="P60" s="46">
        <f t="shared" si="11"/>
        <v>0</v>
      </c>
      <c r="Q60" s="23"/>
      <c r="R60" s="47"/>
    </row>
    <row r="61" spans="1:18" ht="15.75" x14ac:dyDescent="0.25">
      <c r="A61" s="52"/>
      <c r="B61" s="38"/>
      <c r="C61" s="38"/>
      <c r="D61" s="39"/>
      <c r="E61" s="49">
        <f>H61*15+I61*24</f>
        <v>0</v>
      </c>
      <c r="F61" s="50"/>
      <c r="G61" s="42"/>
      <c r="H61" s="43"/>
      <c r="I61" s="43"/>
      <c r="J61" s="43"/>
      <c r="K61" s="44">
        <f t="shared" si="14"/>
        <v>0</v>
      </c>
      <c r="L61" s="44">
        <f t="shared" si="3"/>
        <v>0</v>
      </c>
      <c r="M61" s="43"/>
      <c r="N61" s="45">
        <f t="shared" si="10"/>
        <v>0</v>
      </c>
      <c r="O61" s="45" t="e">
        <f t="shared" si="12"/>
        <v>#DIV/0!</v>
      </c>
      <c r="P61" s="46">
        <f t="shared" si="11"/>
        <v>0</v>
      </c>
      <c r="Q61" s="23"/>
      <c r="R61" s="47"/>
    </row>
    <row r="62" spans="1:18" ht="15.75" x14ac:dyDescent="0.25">
      <c r="A62" s="52"/>
      <c r="B62" s="38"/>
      <c r="C62" s="38"/>
      <c r="D62" s="39"/>
      <c r="E62" s="49">
        <f>H62*15+I62*24</f>
        <v>0</v>
      </c>
      <c r="F62" s="50"/>
      <c r="G62" s="42"/>
      <c r="H62" s="43"/>
      <c r="I62" s="43"/>
      <c r="J62" s="43"/>
      <c r="K62" s="44">
        <f t="shared" si="14"/>
        <v>0</v>
      </c>
      <c r="L62" s="44">
        <f t="shared" si="3"/>
        <v>0</v>
      </c>
      <c r="M62" s="43"/>
      <c r="N62" s="45">
        <f t="shared" si="10"/>
        <v>0</v>
      </c>
      <c r="O62" s="45" t="e">
        <f t="shared" si="12"/>
        <v>#DIV/0!</v>
      </c>
      <c r="P62" s="46">
        <f t="shared" si="11"/>
        <v>0</v>
      </c>
      <c r="Q62" s="23"/>
      <c r="R62" s="47"/>
    </row>
    <row r="63" spans="1:18" ht="15.75" x14ac:dyDescent="0.25">
      <c r="A63" s="52"/>
      <c r="B63" s="38"/>
      <c r="C63" s="38"/>
      <c r="D63" s="39"/>
      <c r="E63" s="49">
        <f>H63*15+I63*24</f>
        <v>0</v>
      </c>
      <c r="F63" s="50"/>
      <c r="G63" s="42"/>
      <c r="H63" s="43"/>
      <c r="I63" s="43"/>
      <c r="J63" s="43"/>
      <c r="K63" s="44">
        <f t="shared" si="14"/>
        <v>0</v>
      </c>
      <c r="L63" s="44">
        <f t="shared" si="3"/>
        <v>0</v>
      </c>
      <c r="M63" s="43"/>
      <c r="N63" s="45">
        <f t="shared" si="10"/>
        <v>0</v>
      </c>
      <c r="O63" s="45" t="e">
        <f t="shared" si="12"/>
        <v>#DIV/0!</v>
      </c>
      <c r="P63" s="46">
        <f t="shared" si="11"/>
        <v>0</v>
      </c>
      <c r="Q63" s="23"/>
      <c r="R63" s="47"/>
    </row>
    <row r="64" spans="1:18" ht="15.75" x14ac:dyDescent="0.25">
      <c r="A64" s="52"/>
      <c r="B64" s="38"/>
      <c r="C64" s="38"/>
      <c r="D64" s="39"/>
      <c r="E64" s="40"/>
      <c r="F64" s="41"/>
      <c r="G64" s="42"/>
      <c r="H64" s="43"/>
      <c r="I64" s="43"/>
      <c r="J64" s="43"/>
      <c r="K64" s="44">
        <f t="shared" si="14"/>
        <v>0</v>
      </c>
      <c r="L64" s="44">
        <f t="shared" si="3"/>
        <v>0</v>
      </c>
      <c r="M64" s="43"/>
      <c r="N64" s="45">
        <f t="shared" si="10"/>
        <v>0</v>
      </c>
      <c r="O64" s="45" t="e">
        <f t="shared" si="12"/>
        <v>#DIV/0!</v>
      </c>
      <c r="P64" s="46">
        <f t="shared" si="11"/>
        <v>0</v>
      </c>
      <c r="Q64" s="23"/>
      <c r="R64" s="47"/>
    </row>
    <row r="65" spans="1:18" ht="15.75" x14ac:dyDescent="0.25">
      <c r="A65" s="52"/>
      <c r="B65" s="38"/>
      <c r="C65" s="38"/>
      <c r="D65" s="39"/>
      <c r="E65" s="40"/>
      <c r="F65" s="41"/>
      <c r="G65" s="42"/>
      <c r="H65" s="43"/>
      <c r="I65" s="43"/>
      <c r="J65" s="43"/>
      <c r="K65" s="44">
        <f t="shared" si="14"/>
        <v>0</v>
      </c>
      <c r="L65" s="44">
        <f t="shared" si="3"/>
        <v>0</v>
      </c>
      <c r="M65" s="43"/>
      <c r="N65" s="45">
        <f t="shared" si="10"/>
        <v>0</v>
      </c>
      <c r="O65" s="45" t="e">
        <f t="shared" si="12"/>
        <v>#DIV/0!</v>
      </c>
      <c r="P65" s="46">
        <f t="shared" si="11"/>
        <v>0</v>
      </c>
      <c r="Q65" s="23"/>
      <c r="R65" s="47"/>
    </row>
    <row r="66" spans="1:18" ht="15.75" x14ac:dyDescent="0.25">
      <c r="A66" s="52"/>
      <c r="B66" s="38"/>
      <c r="C66" s="38"/>
      <c r="D66" s="39"/>
      <c r="E66" s="40"/>
      <c r="F66" s="41"/>
      <c r="G66" s="42"/>
      <c r="H66" s="43"/>
      <c r="I66" s="43"/>
      <c r="J66" s="43"/>
      <c r="K66" s="44">
        <f t="shared" si="14"/>
        <v>0</v>
      </c>
      <c r="L66" s="44">
        <f t="shared" si="3"/>
        <v>0</v>
      </c>
      <c r="M66" s="43"/>
      <c r="N66" s="45">
        <f t="shared" si="10"/>
        <v>0</v>
      </c>
      <c r="O66" s="45" t="e">
        <f t="shared" si="12"/>
        <v>#DIV/0!</v>
      </c>
      <c r="P66" s="46">
        <f t="shared" si="11"/>
        <v>0</v>
      </c>
      <c r="Q66" s="23"/>
      <c r="R66" s="47"/>
    </row>
    <row r="67" spans="1:18" ht="15.75" x14ac:dyDescent="0.25">
      <c r="A67" s="52"/>
      <c r="B67" s="38"/>
      <c r="C67" s="38"/>
      <c r="D67" s="39"/>
      <c r="E67" s="40"/>
      <c r="F67" s="41"/>
      <c r="G67" s="42"/>
      <c r="H67" s="43"/>
      <c r="I67" s="43"/>
      <c r="J67" s="43"/>
      <c r="K67" s="44">
        <f t="shared" si="14"/>
        <v>0</v>
      </c>
      <c r="L67" s="44">
        <f t="shared" si="3"/>
        <v>0</v>
      </c>
      <c r="M67" s="43"/>
      <c r="N67" s="45">
        <f>(I67*24/15)+H67</f>
        <v>0</v>
      </c>
      <c r="O67" s="45" t="e">
        <f>+N67/M67</f>
        <v>#DIV/0!</v>
      </c>
      <c r="P67" s="46">
        <f>+F67*0.003</f>
        <v>0</v>
      </c>
      <c r="Q67" s="23"/>
      <c r="R67" s="47"/>
    </row>
    <row r="68" spans="1:18" ht="15.75" x14ac:dyDescent="0.25">
      <c r="A68" s="52"/>
      <c r="B68" s="38"/>
      <c r="C68" s="38"/>
      <c r="D68" s="39"/>
      <c r="E68" s="40"/>
      <c r="F68" s="41"/>
      <c r="G68" s="42"/>
      <c r="H68" s="43"/>
      <c r="I68" s="43"/>
      <c r="J68" s="43"/>
      <c r="K68" s="44"/>
      <c r="L68" s="44"/>
      <c r="M68" s="43"/>
      <c r="N68" s="45"/>
      <c r="O68" s="45"/>
      <c r="P68" s="46"/>
      <c r="Q68" s="23"/>
      <c r="R68" s="47"/>
    </row>
    <row r="69" spans="1:18" ht="15.75" x14ac:dyDescent="0.25">
      <c r="A69" s="52"/>
      <c r="B69" s="38"/>
      <c r="C69" s="38"/>
      <c r="D69" s="39"/>
      <c r="E69" s="40"/>
      <c r="F69" s="41"/>
      <c r="G69" s="42"/>
      <c r="H69" s="43"/>
      <c r="I69" s="43"/>
      <c r="J69" s="43"/>
      <c r="K69" s="44"/>
      <c r="L69" s="44"/>
      <c r="M69" s="43"/>
      <c r="N69" s="45"/>
      <c r="O69" s="45"/>
      <c r="P69" s="46"/>
      <c r="Q69" s="23"/>
      <c r="R69" s="47"/>
    </row>
    <row r="70" spans="1:18" ht="15.75" x14ac:dyDescent="0.25">
      <c r="A70" s="52"/>
      <c r="B70" s="38"/>
      <c r="C70" s="38"/>
      <c r="D70" s="39"/>
      <c r="E70" s="40"/>
      <c r="F70" s="41"/>
      <c r="G70" s="42"/>
      <c r="H70" s="43"/>
      <c r="I70" s="43"/>
      <c r="J70" s="43"/>
      <c r="K70" s="44"/>
      <c r="L70" s="44"/>
      <c r="M70" s="43"/>
      <c r="N70" s="45"/>
      <c r="O70" s="45"/>
      <c r="P70" s="46"/>
      <c r="Q70" s="23"/>
      <c r="R70" s="47"/>
    </row>
    <row r="71" spans="1:18" x14ac:dyDescent="0.25">
      <c r="A71" s="53"/>
      <c r="B71" s="54"/>
      <c r="C71" s="54"/>
      <c r="D71" s="55"/>
      <c r="E71" s="56"/>
      <c r="F71" s="56"/>
      <c r="G71" s="57"/>
      <c r="H71" s="58"/>
      <c r="I71" s="58"/>
      <c r="J71" s="58"/>
      <c r="K71" s="59"/>
      <c r="L71" s="58"/>
      <c r="M71" s="58"/>
      <c r="N71" s="58"/>
      <c r="O71" s="58"/>
      <c r="P71" s="60"/>
      <c r="Q71" s="61"/>
      <c r="R71" s="61"/>
    </row>
    <row r="72" spans="1:18" x14ac:dyDescent="0.25">
      <c r="A72" s="53"/>
      <c r="B72" s="54"/>
      <c r="C72" s="54"/>
      <c r="D72" s="55"/>
      <c r="E72" s="56"/>
      <c r="F72" s="56"/>
      <c r="G72" s="57"/>
      <c r="H72" s="58"/>
      <c r="I72" s="58"/>
      <c r="J72" s="58"/>
      <c r="K72" s="62"/>
      <c r="L72" s="58"/>
      <c r="M72" s="58"/>
      <c r="N72" s="58"/>
      <c r="O72" s="58"/>
      <c r="P72" s="60"/>
      <c r="Q72" s="61"/>
      <c r="R72" s="61"/>
    </row>
    <row r="73" spans="1:18" x14ac:dyDescent="0.25">
      <c r="A73" s="53"/>
      <c r="B73" s="54"/>
      <c r="C73" s="54"/>
      <c r="D73" s="55"/>
      <c r="E73" s="56"/>
      <c r="F73" s="56"/>
      <c r="G73" s="57"/>
      <c r="H73" s="58"/>
      <c r="I73" s="58"/>
      <c r="J73" s="58"/>
      <c r="K73" s="62"/>
      <c r="L73" s="58"/>
      <c r="M73" s="58"/>
      <c r="N73" s="58"/>
      <c r="O73" s="58"/>
      <c r="P73" s="60"/>
      <c r="Q73" s="61"/>
      <c r="R73" s="61"/>
    </row>
    <row r="74" spans="1:18" x14ac:dyDescent="0.25">
      <c r="A74" s="53"/>
      <c r="B74" s="54"/>
      <c r="C74" s="54"/>
      <c r="D74" s="55"/>
      <c r="E74" s="56"/>
      <c r="F74" s="56"/>
      <c r="G74" s="57"/>
      <c r="H74" s="58"/>
      <c r="I74" s="58"/>
      <c r="J74" s="58"/>
      <c r="K74" s="62"/>
      <c r="L74" s="58"/>
      <c r="M74" s="58"/>
      <c r="N74" s="58"/>
      <c r="O74" s="58"/>
      <c r="P74" s="60"/>
      <c r="Q74" s="61"/>
      <c r="R74" s="61"/>
    </row>
    <row r="75" spans="1:18" x14ac:dyDescent="0.25">
      <c r="A75" s="53"/>
      <c r="B75" s="54"/>
      <c r="C75" s="54"/>
      <c r="D75" s="55"/>
      <c r="E75" s="56"/>
      <c r="F75" s="56"/>
      <c r="G75" s="57"/>
      <c r="H75" s="58"/>
      <c r="I75" s="58"/>
      <c r="J75" s="58"/>
      <c r="K75" s="62"/>
      <c r="L75" s="58"/>
      <c r="M75" s="58"/>
      <c r="N75" s="58"/>
      <c r="O75" s="58"/>
      <c r="P75" s="60"/>
      <c r="Q75" s="61"/>
      <c r="R75" s="61"/>
    </row>
    <row r="76" spans="1:18" x14ac:dyDescent="0.25">
      <c r="A76" s="53"/>
      <c r="B76" s="54"/>
      <c r="C76" s="54"/>
      <c r="D76" s="55"/>
      <c r="E76" s="56"/>
      <c r="F76" s="56"/>
      <c r="G76" s="57"/>
      <c r="H76" s="58"/>
      <c r="I76" s="58"/>
      <c r="J76" s="58"/>
      <c r="K76" s="62"/>
      <c r="L76" s="58"/>
      <c r="M76" s="58"/>
      <c r="N76" s="58"/>
      <c r="O76" s="58"/>
      <c r="P76" s="60"/>
      <c r="Q76" s="61"/>
      <c r="R76" s="61"/>
    </row>
    <row r="77" spans="1:18" x14ac:dyDescent="0.25">
      <c r="A77" s="53"/>
      <c r="B77" s="54"/>
      <c r="C77" s="54"/>
      <c r="D77" s="55"/>
      <c r="E77" s="56"/>
      <c r="F77" s="56"/>
      <c r="G77" s="57"/>
      <c r="H77" s="58"/>
      <c r="I77" s="58"/>
      <c r="J77" s="58"/>
      <c r="K77" s="62"/>
      <c r="L77" s="58"/>
      <c r="M77" s="58"/>
      <c r="N77" s="58"/>
      <c r="O77" s="58"/>
      <c r="P77" s="60"/>
      <c r="Q77" s="61"/>
      <c r="R77" s="61"/>
    </row>
    <row r="78" spans="1:18" x14ac:dyDescent="0.25">
      <c r="A78" s="53"/>
      <c r="B78" s="54"/>
      <c r="C78" s="54"/>
      <c r="D78" s="55"/>
      <c r="E78" s="56"/>
      <c r="F78" s="56"/>
      <c r="G78" s="57"/>
      <c r="H78" s="58"/>
      <c r="I78" s="58"/>
      <c r="J78" s="58"/>
      <c r="K78" s="62"/>
      <c r="L78" s="58"/>
      <c r="M78" s="58"/>
      <c r="N78" s="58"/>
      <c r="O78" s="58"/>
      <c r="P78" s="60"/>
      <c r="Q78" s="61"/>
      <c r="R78" s="61"/>
    </row>
    <row r="79" spans="1:18" x14ac:dyDescent="0.25">
      <c r="A79" s="53"/>
      <c r="B79" s="54"/>
      <c r="C79" s="54"/>
      <c r="D79" s="55"/>
      <c r="E79" s="56"/>
      <c r="F79" s="56"/>
      <c r="G79" s="57"/>
      <c r="H79" s="58"/>
      <c r="I79" s="58"/>
      <c r="J79" s="58"/>
      <c r="K79" s="62"/>
      <c r="L79" s="58"/>
      <c r="M79" s="58"/>
      <c r="N79" s="58"/>
      <c r="O79" s="58"/>
      <c r="P79" s="60"/>
      <c r="Q79" s="61"/>
      <c r="R79" s="61"/>
    </row>
    <row r="80" spans="1:18" x14ac:dyDescent="0.25">
      <c r="A80" s="53"/>
      <c r="B80" s="54"/>
      <c r="C80" s="54"/>
      <c r="D80" s="55"/>
      <c r="E80" s="56"/>
      <c r="F80" s="56"/>
      <c r="G80" s="57"/>
      <c r="H80" s="58"/>
      <c r="I80" s="58"/>
      <c r="J80" s="58"/>
      <c r="K80" s="62"/>
      <c r="L80" s="58"/>
      <c r="M80" s="58"/>
      <c r="N80" s="58"/>
      <c r="O80" s="58"/>
      <c r="P80" s="60"/>
      <c r="Q80" s="61"/>
      <c r="R80" s="61"/>
    </row>
    <row r="81" spans="1:18" x14ac:dyDescent="0.25">
      <c r="A81" s="53"/>
      <c r="B81" s="54"/>
      <c r="C81" s="54"/>
      <c r="D81" s="55"/>
      <c r="E81" s="56"/>
      <c r="F81" s="56"/>
      <c r="G81" s="57"/>
      <c r="H81" s="58"/>
      <c r="I81" s="58"/>
      <c r="J81" s="58"/>
      <c r="K81" s="62"/>
      <c r="L81" s="58"/>
      <c r="M81" s="58"/>
      <c r="N81" s="58"/>
      <c r="O81" s="58"/>
      <c r="P81" s="60"/>
      <c r="Q81" s="61"/>
      <c r="R81" s="61"/>
    </row>
    <row r="82" spans="1:18" x14ac:dyDescent="0.25">
      <c r="A82" s="53"/>
      <c r="B82" s="54"/>
      <c r="C82" s="54"/>
      <c r="D82" s="55"/>
      <c r="E82" s="56"/>
      <c r="F82" s="56"/>
      <c r="G82" s="57"/>
      <c r="H82" s="58"/>
      <c r="I82" s="58"/>
      <c r="J82" s="58"/>
      <c r="K82" s="62"/>
      <c r="L82" s="58"/>
      <c r="M82" s="58"/>
      <c r="N82" s="58"/>
      <c r="O82" s="58"/>
      <c r="P82" s="60"/>
      <c r="Q82" s="61"/>
      <c r="R82" s="61"/>
    </row>
    <row r="83" spans="1:18" x14ac:dyDescent="0.25">
      <c r="A83" s="53"/>
      <c r="B83" s="54"/>
      <c r="C83" s="54"/>
      <c r="D83" s="55"/>
      <c r="E83" s="56"/>
      <c r="F83" s="56"/>
      <c r="G83" s="57"/>
      <c r="H83" s="58"/>
      <c r="I83" s="58"/>
      <c r="J83" s="58"/>
      <c r="K83" s="62"/>
      <c r="L83" s="58"/>
      <c r="M83" s="58"/>
      <c r="N83" s="58"/>
      <c r="O83" s="58"/>
      <c r="P83" s="60"/>
      <c r="Q83" s="61"/>
      <c r="R83" s="61"/>
    </row>
    <row r="84" spans="1:18" x14ac:dyDescent="0.25">
      <c r="A84" s="53"/>
      <c r="B84" s="54"/>
      <c r="C84" s="54"/>
      <c r="D84" s="55"/>
      <c r="E84" s="56"/>
      <c r="F84" s="56"/>
      <c r="G84" s="57"/>
      <c r="H84" s="58"/>
      <c r="I84" s="58"/>
      <c r="J84" s="58"/>
      <c r="K84" s="62"/>
      <c r="L84" s="58"/>
      <c r="M84" s="58"/>
      <c r="N84" s="58"/>
      <c r="O84" s="58"/>
      <c r="P84" s="60"/>
      <c r="Q84" s="61"/>
      <c r="R84" s="61"/>
    </row>
    <row r="85" spans="1:18" x14ac:dyDescent="0.25">
      <c r="A85" s="53"/>
      <c r="B85" s="54"/>
      <c r="C85" s="54"/>
      <c r="D85" s="55"/>
      <c r="E85" s="56"/>
      <c r="F85" s="56"/>
      <c r="G85" s="57"/>
      <c r="H85" s="58"/>
      <c r="I85" s="58"/>
      <c r="J85" s="58"/>
      <c r="K85" s="62"/>
      <c r="L85" s="58"/>
      <c r="M85" s="58"/>
      <c r="N85" s="58"/>
      <c r="O85" s="58"/>
      <c r="P85" s="60"/>
      <c r="Q85" s="61"/>
      <c r="R85" s="61"/>
    </row>
    <row r="86" spans="1:18" x14ac:dyDescent="0.25">
      <c r="A86" s="53"/>
      <c r="B86" s="54"/>
      <c r="C86" s="54"/>
      <c r="D86" s="55"/>
      <c r="E86" s="56"/>
      <c r="F86" s="56"/>
      <c r="G86" s="57"/>
      <c r="H86" s="58"/>
      <c r="I86" s="58"/>
      <c r="J86" s="58"/>
      <c r="K86" s="62"/>
      <c r="L86" s="58"/>
      <c r="M86" s="58"/>
      <c r="N86" s="58"/>
      <c r="O86" s="58"/>
      <c r="P86" s="60"/>
      <c r="Q86" s="61"/>
      <c r="R86" s="61"/>
    </row>
    <row r="87" spans="1:18" x14ac:dyDescent="0.25">
      <c r="A87" s="53"/>
      <c r="B87" s="54"/>
      <c r="C87" s="54"/>
      <c r="D87" s="55"/>
      <c r="E87" s="56"/>
      <c r="F87" s="56"/>
      <c r="G87" s="57"/>
      <c r="H87" s="58"/>
      <c r="I87" s="58"/>
      <c r="J87" s="58"/>
      <c r="K87" s="62"/>
      <c r="L87" s="58"/>
      <c r="M87" s="58"/>
      <c r="N87" s="58"/>
      <c r="O87" s="58"/>
      <c r="P87" s="60"/>
      <c r="Q87" s="61"/>
      <c r="R87" s="61"/>
    </row>
    <row r="88" spans="1:18" x14ac:dyDescent="0.25">
      <c r="A88" s="53"/>
      <c r="B88" s="54"/>
      <c r="C88" s="54"/>
      <c r="D88" s="55"/>
      <c r="E88" s="56"/>
      <c r="F88" s="56"/>
      <c r="G88" s="57"/>
      <c r="H88" s="58"/>
      <c r="I88" s="58"/>
      <c r="J88" s="58"/>
      <c r="K88" s="62"/>
      <c r="L88" s="58"/>
      <c r="M88" s="58"/>
      <c r="N88" s="58"/>
      <c r="O88" s="58"/>
      <c r="P88" s="60"/>
      <c r="Q88" s="61"/>
      <c r="R88" s="61"/>
    </row>
    <row r="89" spans="1:18" x14ac:dyDescent="0.25">
      <c r="A89" s="53"/>
      <c r="B89" s="54"/>
      <c r="C89" s="54"/>
      <c r="D89" s="55"/>
      <c r="E89" s="56"/>
      <c r="F89" s="56"/>
      <c r="G89" s="57"/>
      <c r="H89" s="58"/>
      <c r="I89" s="58"/>
      <c r="J89" s="58"/>
      <c r="K89" s="62"/>
      <c r="L89" s="58"/>
      <c r="M89" s="58"/>
      <c r="N89" s="58"/>
      <c r="O89" s="58"/>
      <c r="P89" s="60"/>
      <c r="Q89" s="61"/>
      <c r="R89" s="61"/>
    </row>
    <row r="90" spans="1:18" x14ac:dyDescent="0.25">
      <c r="A90" s="53"/>
      <c r="B90" s="54"/>
      <c r="C90" s="54"/>
      <c r="D90" s="55"/>
      <c r="E90" s="56"/>
      <c r="F90" s="56"/>
      <c r="G90" s="57"/>
      <c r="H90" s="58"/>
      <c r="I90" s="58"/>
      <c r="J90" s="58"/>
      <c r="K90" s="62"/>
      <c r="L90" s="58"/>
      <c r="M90" s="58"/>
      <c r="N90" s="58"/>
      <c r="O90" s="58"/>
      <c r="P90" s="60"/>
      <c r="Q90" s="61"/>
      <c r="R90" s="61"/>
    </row>
    <row r="91" spans="1:18" x14ac:dyDescent="0.25">
      <c r="A91" s="53"/>
      <c r="B91" s="54"/>
      <c r="C91" s="54"/>
      <c r="D91" s="55"/>
      <c r="E91" s="56"/>
      <c r="F91" s="56"/>
      <c r="G91" s="57"/>
      <c r="H91" s="58"/>
      <c r="I91" s="58"/>
      <c r="J91" s="58"/>
      <c r="K91" s="62"/>
      <c r="L91" s="58"/>
      <c r="M91" s="58"/>
      <c r="N91" s="58"/>
      <c r="O91" s="58"/>
      <c r="P91" s="60"/>
      <c r="Q91" s="61"/>
      <c r="R91" s="61"/>
    </row>
    <row r="92" spans="1:18" x14ac:dyDescent="0.25">
      <c r="A92" s="53"/>
      <c r="B92" s="54"/>
      <c r="C92" s="54"/>
      <c r="D92" s="55"/>
      <c r="E92" s="56"/>
      <c r="F92" s="56"/>
      <c r="G92" s="57"/>
      <c r="H92" s="58"/>
      <c r="I92" s="58"/>
      <c r="J92" s="58"/>
      <c r="K92" s="62"/>
      <c r="L92" s="58"/>
      <c r="M92" s="58"/>
      <c r="N92" s="58"/>
      <c r="O92" s="58"/>
      <c r="P92" s="60"/>
      <c r="Q92" s="61"/>
      <c r="R92" s="61"/>
    </row>
    <row r="93" spans="1:18" x14ac:dyDescent="0.25">
      <c r="A93" s="53"/>
      <c r="B93" s="54"/>
      <c r="C93" s="54"/>
      <c r="D93" s="55"/>
      <c r="E93" s="56"/>
      <c r="F93" s="56"/>
      <c r="G93" s="57"/>
      <c r="H93" s="58"/>
      <c r="I93" s="58"/>
      <c r="J93" s="58"/>
      <c r="K93" s="62"/>
      <c r="L93" s="58"/>
      <c r="M93" s="58"/>
      <c r="N93" s="58"/>
      <c r="O93" s="58"/>
      <c r="P93" s="60"/>
      <c r="Q93" s="61"/>
      <c r="R93" s="61"/>
    </row>
    <row r="94" spans="1:18" x14ac:dyDescent="0.25">
      <c r="A94" s="53"/>
      <c r="B94" s="54"/>
      <c r="C94" s="54"/>
      <c r="D94" s="55"/>
      <c r="E94" s="56"/>
      <c r="F94" s="56"/>
      <c r="G94" s="57"/>
      <c r="H94" s="58"/>
      <c r="I94" s="58"/>
      <c r="J94" s="58"/>
      <c r="K94" s="62"/>
      <c r="L94" s="58"/>
      <c r="M94" s="58"/>
      <c r="N94" s="58"/>
      <c r="O94" s="58"/>
      <c r="P94" s="60"/>
      <c r="Q94" s="61"/>
      <c r="R94" s="61"/>
    </row>
    <row r="95" spans="1:18" x14ac:dyDescent="0.25">
      <c r="A95" s="53"/>
      <c r="B95" s="54"/>
      <c r="C95" s="54"/>
      <c r="D95" s="55"/>
      <c r="E95" s="56"/>
      <c r="F95" s="56"/>
      <c r="G95" s="57"/>
      <c r="H95" s="58"/>
      <c r="I95" s="58"/>
      <c r="J95" s="58"/>
      <c r="K95" s="62"/>
      <c r="L95" s="58"/>
      <c r="M95" s="58"/>
      <c r="N95" s="58"/>
      <c r="O95" s="58"/>
      <c r="P95" s="60"/>
      <c r="Q95" s="61"/>
      <c r="R95" s="61"/>
    </row>
    <row r="96" spans="1:18" x14ac:dyDescent="0.25">
      <c r="A96" s="53"/>
      <c r="B96" s="54"/>
      <c r="C96" s="54"/>
      <c r="D96" s="55"/>
      <c r="E96" s="56"/>
      <c r="F96" s="56"/>
      <c r="G96" s="57"/>
      <c r="H96" s="58"/>
      <c r="I96" s="58"/>
      <c r="J96" s="58"/>
      <c r="K96" s="62"/>
      <c r="L96" s="58"/>
      <c r="M96" s="58"/>
      <c r="N96" s="58"/>
      <c r="O96" s="58"/>
      <c r="P96" s="60"/>
      <c r="Q96" s="61"/>
      <c r="R96" s="61"/>
    </row>
    <row r="97" spans="1:18" x14ac:dyDescent="0.25">
      <c r="A97" s="53"/>
      <c r="B97" s="54"/>
      <c r="C97" s="54"/>
      <c r="D97" s="55"/>
      <c r="E97" s="56"/>
      <c r="F97" s="56"/>
      <c r="G97" s="57"/>
      <c r="H97" s="58"/>
      <c r="I97" s="58"/>
      <c r="J97" s="58"/>
      <c r="K97" s="62"/>
      <c r="L97" s="58"/>
      <c r="M97" s="58"/>
      <c r="N97" s="58"/>
      <c r="O97" s="58"/>
      <c r="P97" s="60"/>
      <c r="Q97" s="61"/>
      <c r="R97" s="61"/>
    </row>
    <row r="98" spans="1:18" x14ac:dyDescent="0.25">
      <c r="A98" s="53"/>
      <c r="B98" s="54"/>
      <c r="C98" s="54"/>
      <c r="D98" s="55"/>
      <c r="E98" s="56"/>
      <c r="F98" s="56"/>
      <c r="G98" s="57"/>
      <c r="H98" s="58"/>
      <c r="I98" s="58"/>
      <c r="J98" s="58"/>
      <c r="K98" s="62"/>
      <c r="L98" s="58"/>
      <c r="M98" s="58"/>
      <c r="N98" s="58"/>
      <c r="O98" s="58"/>
      <c r="P98" s="60"/>
      <c r="Q98" s="61"/>
      <c r="R98" s="61"/>
    </row>
    <row r="99" spans="1:18" x14ac:dyDescent="0.25">
      <c r="A99" s="53"/>
      <c r="B99" s="54"/>
      <c r="C99" s="54"/>
      <c r="D99" s="55"/>
      <c r="E99" s="56"/>
      <c r="F99" s="56"/>
      <c r="G99" s="57"/>
      <c r="H99" s="58"/>
      <c r="I99" s="58"/>
      <c r="J99" s="58"/>
      <c r="K99" s="62"/>
      <c r="L99" s="58"/>
      <c r="M99" s="58"/>
      <c r="N99" s="58"/>
      <c r="O99" s="58"/>
      <c r="P99" s="60"/>
      <c r="Q99" s="61"/>
      <c r="R99" s="61"/>
    </row>
    <row r="100" spans="1:18" x14ac:dyDescent="0.25">
      <c r="A100" s="53"/>
      <c r="B100" s="54"/>
      <c r="C100" s="54"/>
      <c r="D100" s="55"/>
      <c r="E100" s="56"/>
      <c r="F100" s="56"/>
      <c r="G100" s="57"/>
      <c r="H100" s="58"/>
      <c r="I100" s="58"/>
      <c r="J100" s="58"/>
      <c r="K100" s="62"/>
      <c r="L100" s="58"/>
      <c r="M100" s="58"/>
      <c r="N100" s="58"/>
      <c r="O100" s="58"/>
      <c r="P100" s="60"/>
      <c r="Q100" s="61"/>
      <c r="R100" s="61"/>
    </row>
    <row r="101" spans="1:18" x14ac:dyDescent="0.25">
      <c r="A101" s="53"/>
      <c r="B101" s="54"/>
      <c r="C101" s="54"/>
      <c r="D101" s="55"/>
      <c r="E101" s="56"/>
      <c r="F101" s="56"/>
      <c r="G101" s="57"/>
      <c r="H101" s="58"/>
      <c r="I101" s="58"/>
      <c r="J101" s="58"/>
      <c r="K101" s="62"/>
      <c r="L101" s="58"/>
      <c r="M101" s="58"/>
      <c r="N101" s="58"/>
      <c r="O101" s="58"/>
      <c r="P101" s="60"/>
      <c r="Q101" s="61"/>
      <c r="R101" s="61"/>
    </row>
    <row r="102" spans="1:18" x14ac:dyDescent="0.25">
      <c r="A102" s="53"/>
      <c r="B102" s="54"/>
      <c r="C102" s="54"/>
      <c r="D102" s="55"/>
      <c r="E102" s="56"/>
      <c r="F102" s="56"/>
      <c r="G102" s="57"/>
      <c r="H102" s="58"/>
      <c r="I102" s="58"/>
      <c r="J102" s="58"/>
      <c r="K102" s="62"/>
      <c r="L102" s="58"/>
      <c r="M102" s="58"/>
      <c r="N102" s="58"/>
      <c r="O102" s="58"/>
      <c r="P102" s="60"/>
      <c r="Q102" s="61"/>
      <c r="R102" s="61"/>
    </row>
    <row r="103" spans="1:18" x14ac:dyDescent="0.25">
      <c r="A103" s="53"/>
      <c r="B103" s="54"/>
      <c r="C103" s="54"/>
      <c r="D103" s="55"/>
      <c r="E103" s="56"/>
      <c r="F103" s="56"/>
      <c r="G103" s="57"/>
      <c r="H103" s="58"/>
      <c r="I103" s="58"/>
      <c r="J103" s="58"/>
      <c r="K103" s="62"/>
      <c r="L103" s="58"/>
      <c r="M103" s="58"/>
      <c r="N103" s="58"/>
      <c r="O103" s="58"/>
      <c r="P103" s="60"/>
      <c r="Q103" s="61"/>
      <c r="R103" s="61"/>
    </row>
    <row r="104" spans="1:18" x14ac:dyDescent="0.25">
      <c r="A104" s="53"/>
      <c r="B104" s="54"/>
      <c r="C104" s="54"/>
      <c r="D104" s="55"/>
      <c r="E104" s="56"/>
      <c r="F104" s="56"/>
      <c r="G104" s="57"/>
      <c r="H104" s="58"/>
      <c r="I104" s="58"/>
      <c r="J104" s="58"/>
      <c r="K104" s="62"/>
      <c r="L104" s="58"/>
      <c r="M104" s="58"/>
      <c r="N104" s="58"/>
      <c r="O104" s="58"/>
      <c r="P104" s="60"/>
      <c r="Q104" s="61"/>
      <c r="R104" s="61"/>
    </row>
    <row r="105" spans="1:18" x14ac:dyDescent="0.25">
      <c r="A105" s="53"/>
      <c r="B105" s="54"/>
      <c r="C105" s="54"/>
      <c r="D105" s="55"/>
      <c r="E105" s="56"/>
      <c r="F105" s="56"/>
      <c r="G105" s="57"/>
      <c r="H105" s="58"/>
      <c r="I105" s="58"/>
      <c r="J105" s="58"/>
      <c r="K105" s="62"/>
      <c r="L105" s="58"/>
      <c r="M105" s="58"/>
      <c r="N105" s="58"/>
      <c r="O105" s="58"/>
      <c r="P105" s="60"/>
      <c r="Q105" s="61"/>
      <c r="R105" s="61"/>
    </row>
    <row r="106" spans="1:18" x14ac:dyDescent="0.25">
      <c r="A106" s="53"/>
      <c r="B106" s="54"/>
      <c r="C106" s="54"/>
      <c r="D106" s="55"/>
      <c r="E106" s="56"/>
      <c r="F106" s="56"/>
      <c r="G106" s="57"/>
      <c r="H106" s="58"/>
      <c r="I106" s="58"/>
      <c r="J106" s="58"/>
      <c r="K106" s="62"/>
      <c r="L106" s="58"/>
      <c r="M106" s="58"/>
      <c r="N106" s="58"/>
      <c r="O106" s="58"/>
      <c r="P106" s="60"/>
      <c r="Q106" s="61"/>
      <c r="R106" s="61"/>
    </row>
    <row r="107" spans="1:18" x14ac:dyDescent="0.25">
      <c r="A107" s="53"/>
      <c r="B107" s="54"/>
      <c r="C107" s="54"/>
      <c r="D107" s="55"/>
      <c r="E107" s="56"/>
      <c r="F107" s="56"/>
      <c r="G107" s="57"/>
      <c r="H107" s="58"/>
      <c r="I107" s="58"/>
      <c r="J107" s="58"/>
      <c r="K107" s="62"/>
      <c r="L107" s="58"/>
      <c r="M107" s="58"/>
      <c r="N107" s="58"/>
      <c r="O107" s="58"/>
      <c r="P107" s="60"/>
      <c r="Q107" s="61"/>
      <c r="R107" s="61"/>
    </row>
    <row r="108" spans="1:18" x14ac:dyDescent="0.25">
      <c r="A108" s="53"/>
      <c r="B108" s="54"/>
      <c r="C108" s="54"/>
      <c r="D108" s="55"/>
      <c r="E108" s="56"/>
      <c r="F108" s="56"/>
      <c r="G108" s="57"/>
      <c r="H108" s="58"/>
      <c r="I108" s="58"/>
      <c r="J108" s="58"/>
      <c r="K108" s="62"/>
      <c r="L108" s="58"/>
      <c r="M108" s="58"/>
      <c r="N108" s="58"/>
      <c r="O108" s="58"/>
      <c r="P108" s="60"/>
      <c r="Q108" s="61"/>
      <c r="R108" s="61"/>
    </row>
    <row r="109" spans="1:18" x14ac:dyDescent="0.25">
      <c r="A109" s="53"/>
      <c r="B109" s="54"/>
      <c r="C109" s="54"/>
      <c r="D109" s="55"/>
      <c r="E109" s="56"/>
      <c r="F109" s="56"/>
      <c r="G109" s="57"/>
      <c r="H109" s="58"/>
      <c r="I109" s="58"/>
      <c r="J109" s="58"/>
      <c r="K109" s="62"/>
      <c r="L109" s="58"/>
      <c r="M109" s="58"/>
      <c r="N109" s="58"/>
      <c r="O109" s="58"/>
      <c r="P109" s="60"/>
      <c r="Q109" s="61"/>
      <c r="R109" s="61"/>
    </row>
    <row r="110" spans="1:18" x14ac:dyDescent="0.25">
      <c r="A110" s="53"/>
      <c r="B110" s="54"/>
      <c r="C110" s="54"/>
      <c r="D110" s="55"/>
      <c r="E110" s="56"/>
      <c r="F110" s="56"/>
      <c r="G110" s="57"/>
      <c r="H110" s="58"/>
      <c r="I110" s="58"/>
      <c r="J110" s="58"/>
      <c r="K110" s="62"/>
      <c r="L110" s="58"/>
      <c r="M110" s="58"/>
      <c r="N110" s="58"/>
      <c r="O110" s="58"/>
      <c r="P110" s="60"/>
      <c r="Q110" s="61"/>
      <c r="R110" s="61"/>
    </row>
    <row r="111" spans="1:18" x14ac:dyDescent="0.25">
      <c r="A111" s="53"/>
      <c r="B111" s="54"/>
      <c r="C111" s="54"/>
      <c r="D111" s="55"/>
      <c r="E111" s="56"/>
      <c r="F111" s="56"/>
      <c r="G111" s="57"/>
      <c r="H111" s="58"/>
      <c r="I111" s="58"/>
      <c r="J111" s="58"/>
      <c r="K111" s="62"/>
      <c r="L111" s="58"/>
      <c r="M111" s="58"/>
      <c r="N111" s="58"/>
      <c r="O111" s="58"/>
      <c r="P111" s="60"/>
      <c r="Q111" s="61"/>
      <c r="R111" s="61"/>
    </row>
    <row r="112" spans="1:18" x14ac:dyDescent="0.25">
      <c r="A112" s="53"/>
      <c r="B112" s="54"/>
      <c r="C112" s="54"/>
      <c r="D112" s="55"/>
      <c r="E112" s="56"/>
      <c r="F112" s="56"/>
      <c r="G112" s="57"/>
      <c r="H112" s="58"/>
      <c r="I112" s="58"/>
      <c r="J112" s="58"/>
      <c r="K112" s="62"/>
      <c r="L112" s="58"/>
      <c r="M112" s="58"/>
      <c r="N112" s="58"/>
      <c r="O112" s="58"/>
      <c r="P112" s="60"/>
      <c r="Q112" s="61"/>
      <c r="R112" s="61"/>
    </row>
    <row r="113" spans="1:18" x14ac:dyDescent="0.25">
      <c r="A113" s="53"/>
      <c r="B113" s="54"/>
      <c r="C113" s="54"/>
      <c r="D113" s="55"/>
      <c r="E113" s="56"/>
      <c r="F113" s="56"/>
      <c r="G113" s="57"/>
      <c r="H113" s="58"/>
      <c r="I113" s="58"/>
      <c r="J113" s="58"/>
      <c r="K113" s="62"/>
      <c r="L113" s="58"/>
      <c r="M113" s="58"/>
      <c r="N113" s="58"/>
      <c r="O113" s="58"/>
      <c r="P113" s="60"/>
      <c r="Q113" s="61"/>
      <c r="R113" s="61"/>
    </row>
    <row r="114" spans="1:18" x14ac:dyDescent="0.25">
      <c r="A114" s="53"/>
      <c r="B114" s="54"/>
      <c r="C114" s="54"/>
      <c r="D114" s="55"/>
      <c r="E114" s="56"/>
      <c r="F114" s="56"/>
      <c r="G114" s="57"/>
      <c r="H114" s="58"/>
      <c r="I114" s="58"/>
      <c r="J114" s="58"/>
      <c r="K114" s="62"/>
      <c r="L114" s="58"/>
      <c r="M114" s="58"/>
      <c r="N114" s="58"/>
      <c r="O114" s="58"/>
      <c r="P114" s="60"/>
      <c r="Q114" s="61"/>
      <c r="R114" s="61"/>
    </row>
    <row r="115" spans="1:18" x14ac:dyDescent="0.25">
      <c r="A115" s="53"/>
      <c r="B115" s="54"/>
      <c r="C115" s="54"/>
      <c r="D115" s="55"/>
      <c r="E115" s="56"/>
      <c r="F115" s="56"/>
      <c r="G115" s="57"/>
      <c r="H115" s="58"/>
      <c r="I115" s="58"/>
      <c r="J115" s="58"/>
      <c r="K115" s="62"/>
      <c r="L115" s="58"/>
      <c r="M115" s="58"/>
      <c r="N115" s="58"/>
      <c r="O115" s="58"/>
      <c r="P115" s="60"/>
      <c r="Q115" s="61"/>
      <c r="R115" s="61"/>
    </row>
    <row r="116" spans="1:18" x14ac:dyDescent="0.25">
      <c r="A116" s="53"/>
      <c r="B116" s="54"/>
      <c r="C116" s="54"/>
      <c r="D116" s="55"/>
      <c r="E116" s="56"/>
      <c r="F116" s="56"/>
      <c r="G116" s="57"/>
      <c r="H116" s="58"/>
      <c r="I116" s="58"/>
      <c r="J116" s="58"/>
      <c r="K116" s="62"/>
      <c r="L116" s="58"/>
      <c r="M116" s="58"/>
      <c r="N116" s="58"/>
      <c r="O116" s="58"/>
      <c r="P116" s="60"/>
      <c r="Q116" s="61"/>
      <c r="R116" s="61"/>
    </row>
    <row r="117" spans="1:18" x14ac:dyDescent="0.25">
      <c r="A117" s="53"/>
      <c r="B117" s="54"/>
      <c r="C117" s="54"/>
      <c r="D117" s="55"/>
      <c r="E117" s="56"/>
      <c r="F117" s="56"/>
      <c r="G117" s="57"/>
      <c r="H117" s="58"/>
      <c r="I117" s="58"/>
      <c r="J117" s="58"/>
      <c r="K117" s="62"/>
      <c r="L117" s="58"/>
      <c r="M117" s="58"/>
      <c r="N117" s="58"/>
      <c r="O117" s="58"/>
      <c r="P117" s="60"/>
      <c r="Q117" s="61"/>
      <c r="R117" s="61"/>
    </row>
    <row r="118" spans="1:18" x14ac:dyDescent="0.25">
      <c r="A118" s="53"/>
      <c r="B118" s="54"/>
      <c r="C118" s="54"/>
      <c r="D118" s="55"/>
      <c r="E118" s="56"/>
      <c r="F118" s="56"/>
      <c r="G118" s="57"/>
      <c r="H118" s="58"/>
      <c r="I118" s="58"/>
      <c r="J118" s="58"/>
      <c r="K118" s="62"/>
      <c r="L118" s="58"/>
      <c r="M118" s="58"/>
      <c r="N118" s="58"/>
      <c r="O118" s="58"/>
      <c r="P118" s="60"/>
      <c r="Q118" s="61"/>
      <c r="R118" s="61"/>
    </row>
    <row r="119" spans="1:18" x14ac:dyDescent="0.25">
      <c r="A119" s="53"/>
      <c r="B119" s="54"/>
      <c r="C119" s="54"/>
      <c r="D119" s="55"/>
      <c r="E119" s="56"/>
      <c r="F119" s="56"/>
      <c r="G119" s="57"/>
      <c r="H119" s="58"/>
      <c r="I119" s="58"/>
      <c r="J119" s="58"/>
      <c r="K119" s="62"/>
      <c r="L119" s="58"/>
      <c r="M119" s="58"/>
      <c r="N119" s="58"/>
      <c r="O119" s="58"/>
      <c r="P119" s="60"/>
      <c r="Q119" s="61"/>
      <c r="R119" s="61"/>
    </row>
    <row r="120" spans="1:18" x14ac:dyDescent="0.25">
      <c r="A120" s="53"/>
      <c r="B120" s="54"/>
      <c r="C120" s="54"/>
      <c r="D120" s="55"/>
      <c r="E120" s="56"/>
      <c r="F120" s="56"/>
      <c r="G120" s="57"/>
      <c r="H120" s="58"/>
      <c r="I120" s="58"/>
      <c r="J120" s="58"/>
      <c r="K120" s="62"/>
      <c r="L120" s="58"/>
      <c r="M120" s="58"/>
      <c r="N120" s="58"/>
      <c r="O120" s="58"/>
      <c r="P120" s="60"/>
      <c r="Q120" s="61"/>
      <c r="R120" s="61"/>
    </row>
    <row r="121" spans="1:18" x14ac:dyDescent="0.25">
      <c r="A121" s="53"/>
      <c r="B121" s="54"/>
      <c r="C121" s="54"/>
      <c r="D121" s="55"/>
      <c r="E121" s="56"/>
      <c r="F121" s="56"/>
      <c r="G121" s="57"/>
      <c r="H121" s="58"/>
      <c r="I121" s="58"/>
      <c r="J121" s="58"/>
      <c r="K121" s="62"/>
      <c r="L121" s="58"/>
      <c r="M121" s="58"/>
      <c r="N121" s="58"/>
      <c r="O121" s="58"/>
      <c r="P121" s="60"/>
      <c r="Q121" s="61"/>
      <c r="R121" s="61"/>
    </row>
    <row r="122" spans="1:18" x14ac:dyDescent="0.25">
      <c r="A122" s="53"/>
      <c r="B122" s="54"/>
      <c r="C122" s="54"/>
      <c r="D122" s="55"/>
      <c r="E122" s="56"/>
      <c r="F122" s="56"/>
      <c r="G122" s="57"/>
      <c r="H122" s="58"/>
      <c r="I122" s="58"/>
      <c r="J122" s="58"/>
      <c r="K122" s="62"/>
      <c r="L122" s="58"/>
      <c r="M122" s="58"/>
      <c r="N122" s="58"/>
      <c r="O122" s="58"/>
      <c r="P122" s="60"/>
      <c r="Q122" s="61"/>
      <c r="R122" s="61"/>
    </row>
    <row r="123" spans="1:18" x14ac:dyDescent="0.25">
      <c r="A123" s="53"/>
      <c r="B123" s="54"/>
      <c r="C123" s="54"/>
      <c r="D123" s="55"/>
      <c r="E123" s="56"/>
      <c r="F123" s="56"/>
      <c r="G123" s="57"/>
      <c r="H123" s="58"/>
      <c r="I123" s="58"/>
      <c r="J123" s="58"/>
      <c r="K123" s="62"/>
      <c r="L123" s="58"/>
      <c r="M123" s="58"/>
      <c r="N123" s="58"/>
      <c r="O123" s="58"/>
      <c r="P123" s="60"/>
      <c r="Q123" s="61"/>
      <c r="R123" s="61"/>
    </row>
    <row r="124" spans="1:18" x14ac:dyDescent="0.25">
      <c r="A124" s="53"/>
      <c r="B124" s="54"/>
      <c r="C124" s="54"/>
      <c r="D124" s="55"/>
      <c r="E124" s="56"/>
      <c r="F124" s="56"/>
      <c r="G124" s="57"/>
      <c r="H124" s="58"/>
      <c r="I124" s="58"/>
      <c r="J124" s="58"/>
      <c r="K124" s="62"/>
      <c r="L124" s="58"/>
      <c r="M124" s="58"/>
      <c r="N124" s="58"/>
      <c r="O124" s="58"/>
      <c r="P124" s="60"/>
      <c r="Q124" s="61"/>
      <c r="R124" s="61"/>
    </row>
    <row r="125" spans="1:18" x14ac:dyDescent="0.25">
      <c r="A125" s="53"/>
      <c r="B125" s="54"/>
      <c r="C125" s="54"/>
      <c r="D125" s="55"/>
      <c r="E125" s="56"/>
      <c r="F125" s="56"/>
      <c r="G125" s="57"/>
      <c r="H125" s="58"/>
      <c r="I125" s="58"/>
      <c r="J125" s="58"/>
      <c r="K125" s="62"/>
      <c r="L125" s="58"/>
      <c r="M125" s="58"/>
      <c r="N125" s="58"/>
      <c r="O125" s="58"/>
      <c r="P125" s="60"/>
      <c r="Q125" s="61"/>
      <c r="R125" s="61"/>
    </row>
    <row r="126" spans="1:18" x14ac:dyDescent="0.25">
      <c r="A126" s="53"/>
      <c r="B126" s="54"/>
      <c r="C126" s="54"/>
      <c r="D126" s="55"/>
      <c r="E126" s="56"/>
      <c r="F126" s="56"/>
      <c r="G126" s="57"/>
      <c r="H126" s="58"/>
      <c r="I126" s="58"/>
      <c r="J126" s="58"/>
      <c r="K126" s="62"/>
      <c r="L126" s="58"/>
      <c r="M126" s="58"/>
      <c r="N126" s="58"/>
      <c r="O126" s="58"/>
      <c r="P126" s="60"/>
      <c r="Q126" s="61"/>
      <c r="R126" s="61"/>
    </row>
    <row r="127" spans="1:18" x14ac:dyDescent="0.25">
      <c r="A127" s="53"/>
      <c r="B127" s="54"/>
      <c r="C127" s="54"/>
      <c r="D127" s="55"/>
      <c r="E127" s="56"/>
      <c r="F127" s="56"/>
      <c r="G127" s="57"/>
      <c r="H127" s="58"/>
      <c r="I127" s="58"/>
      <c r="J127" s="58"/>
      <c r="K127" s="62"/>
      <c r="L127" s="58"/>
      <c r="M127" s="58"/>
      <c r="N127" s="58"/>
      <c r="O127" s="58"/>
      <c r="P127" s="60"/>
      <c r="Q127" s="61"/>
      <c r="R127" s="61"/>
    </row>
    <row r="128" spans="1:18" x14ac:dyDescent="0.25">
      <c r="A128" s="53"/>
      <c r="B128" s="54"/>
      <c r="C128" s="54"/>
      <c r="D128" s="55"/>
      <c r="E128" s="56"/>
      <c r="F128" s="56"/>
      <c r="G128" s="57"/>
      <c r="H128" s="58"/>
      <c r="I128" s="58"/>
      <c r="J128" s="58"/>
      <c r="K128" s="62"/>
      <c r="L128" s="58"/>
      <c r="M128" s="58"/>
      <c r="N128" s="58"/>
      <c r="O128" s="58"/>
      <c r="P128" s="60"/>
      <c r="Q128" s="61"/>
      <c r="R128" s="61"/>
    </row>
    <row r="129" spans="1:18" x14ac:dyDescent="0.25">
      <c r="A129" s="53"/>
      <c r="B129" s="54"/>
      <c r="C129" s="54"/>
      <c r="D129" s="55"/>
      <c r="E129" s="56"/>
      <c r="F129" s="56"/>
      <c r="G129" s="57"/>
      <c r="H129" s="58"/>
      <c r="I129" s="58"/>
      <c r="J129" s="58"/>
      <c r="K129" s="62"/>
      <c r="L129" s="58"/>
      <c r="M129" s="58"/>
      <c r="N129" s="58"/>
      <c r="O129" s="58"/>
      <c r="P129" s="60"/>
      <c r="Q129" s="61"/>
      <c r="R129" s="61"/>
    </row>
    <row r="130" spans="1:18" x14ac:dyDescent="0.25">
      <c r="A130" s="53"/>
      <c r="B130" s="54"/>
      <c r="C130" s="54"/>
      <c r="D130" s="55"/>
      <c r="E130" s="56"/>
      <c r="F130" s="56"/>
      <c r="G130" s="57"/>
      <c r="H130" s="58"/>
      <c r="I130" s="58"/>
      <c r="J130" s="58"/>
      <c r="K130" s="62"/>
      <c r="L130" s="58"/>
      <c r="M130" s="58"/>
      <c r="N130" s="58"/>
      <c r="O130" s="58"/>
      <c r="P130" s="60"/>
      <c r="Q130" s="61"/>
      <c r="R130" s="61"/>
    </row>
    <row r="131" spans="1:18" x14ac:dyDescent="0.25">
      <c r="A131" s="53"/>
      <c r="B131" s="54"/>
      <c r="C131" s="54"/>
      <c r="D131" s="55"/>
      <c r="E131" s="56"/>
      <c r="F131" s="56"/>
      <c r="G131" s="57"/>
      <c r="H131" s="58"/>
      <c r="I131" s="58"/>
      <c r="J131" s="58"/>
      <c r="K131" s="62"/>
      <c r="L131" s="58"/>
      <c r="M131" s="58"/>
      <c r="N131" s="58"/>
      <c r="O131" s="58"/>
      <c r="P131" s="60"/>
      <c r="Q131" s="61"/>
      <c r="R131" s="61"/>
    </row>
    <row r="132" spans="1:18" x14ac:dyDescent="0.25">
      <c r="A132" s="53"/>
      <c r="B132" s="54"/>
      <c r="C132" s="54"/>
      <c r="D132" s="55"/>
      <c r="E132" s="56"/>
      <c r="F132" s="56"/>
      <c r="G132" s="57"/>
      <c r="H132" s="58"/>
      <c r="I132" s="58"/>
      <c r="J132" s="58"/>
      <c r="K132" s="62"/>
      <c r="L132" s="58"/>
      <c r="M132" s="58"/>
      <c r="N132" s="58"/>
      <c r="O132" s="58"/>
      <c r="P132" s="60"/>
      <c r="Q132" s="61"/>
      <c r="R132" s="61"/>
    </row>
    <row r="133" spans="1:18" x14ac:dyDescent="0.25">
      <c r="A133" s="53"/>
      <c r="B133" s="54"/>
      <c r="C133" s="54"/>
      <c r="D133" s="55"/>
      <c r="E133" s="56"/>
      <c r="F133" s="56"/>
      <c r="G133" s="57"/>
      <c r="H133" s="58"/>
      <c r="I133" s="58"/>
      <c r="J133" s="58"/>
      <c r="K133" s="62"/>
      <c r="L133" s="58"/>
      <c r="M133" s="58"/>
      <c r="N133" s="58"/>
      <c r="O133" s="58"/>
      <c r="P133" s="60"/>
      <c r="Q133" s="61"/>
      <c r="R133" s="61"/>
    </row>
    <row r="134" spans="1:18" x14ac:dyDescent="0.25">
      <c r="A134" s="53"/>
      <c r="B134" s="54"/>
      <c r="C134" s="54"/>
      <c r="D134" s="55"/>
      <c r="E134" s="56"/>
      <c r="F134" s="56"/>
      <c r="G134" s="57"/>
      <c r="H134" s="58"/>
      <c r="I134" s="58"/>
      <c r="J134" s="58"/>
      <c r="K134" s="62"/>
      <c r="L134" s="58"/>
      <c r="M134" s="58"/>
      <c r="N134" s="58"/>
      <c r="O134" s="58"/>
      <c r="P134" s="60"/>
      <c r="Q134" s="61"/>
      <c r="R134" s="61"/>
    </row>
    <row r="135" spans="1:18" x14ac:dyDescent="0.25">
      <c r="A135" s="53"/>
      <c r="B135" s="54"/>
      <c r="C135" s="54"/>
      <c r="D135" s="55"/>
      <c r="E135" s="56"/>
      <c r="F135" s="56"/>
      <c r="G135" s="57"/>
      <c r="H135" s="58"/>
      <c r="I135" s="58"/>
      <c r="J135" s="58"/>
      <c r="K135" s="62"/>
      <c r="L135" s="58"/>
      <c r="M135" s="58"/>
      <c r="N135" s="58"/>
      <c r="O135" s="58"/>
      <c r="P135" s="60"/>
      <c r="Q135" s="61"/>
      <c r="R135" s="61"/>
    </row>
    <row r="136" spans="1:18" x14ac:dyDescent="0.25">
      <c r="A136" s="53"/>
      <c r="B136" s="54"/>
      <c r="C136" s="54"/>
      <c r="D136" s="55"/>
      <c r="E136" s="56"/>
      <c r="F136" s="56"/>
      <c r="G136" s="57"/>
      <c r="H136" s="58"/>
      <c r="I136" s="58"/>
      <c r="J136" s="58"/>
      <c r="K136" s="62"/>
      <c r="L136" s="58"/>
      <c r="M136" s="58"/>
      <c r="N136" s="58"/>
      <c r="O136" s="58"/>
      <c r="P136" s="60"/>
      <c r="Q136" s="61"/>
      <c r="R136" s="61"/>
    </row>
    <row r="137" spans="1:18" x14ac:dyDescent="0.25">
      <c r="A137" s="53"/>
      <c r="B137" s="54"/>
      <c r="C137" s="54"/>
      <c r="D137" s="55"/>
      <c r="E137" s="56"/>
      <c r="F137" s="56"/>
      <c r="G137" s="57"/>
      <c r="H137" s="58"/>
      <c r="I137" s="58"/>
      <c r="J137" s="58"/>
      <c r="K137" s="62"/>
      <c r="L137" s="58"/>
      <c r="M137" s="58"/>
      <c r="N137" s="58"/>
      <c r="O137" s="58"/>
      <c r="P137" s="60"/>
      <c r="Q137" s="61"/>
      <c r="R137" s="61"/>
    </row>
    <row r="138" spans="1:18" x14ac:dyDescent="0.25">
      <c r="A138" s="53"/>
      <c r="B138" s="54"/>
      <c r="C138" s="54"/>
      <c r="D138" s="55"/>
      <c r="E138" s="56"/>
      <c r="F138" s="56"/>
      <c r="G138" s="57"/>
      <c r="H138" s="58"/>
      <c r="I138" s="58"/>
      <c r="J138" s="58"/>
      <c r="K138" s="62"/>
      <c r="L138" s="58"/>
      <c r="M138" s="58"/>
      <c r="N138" s="58"/>
      <c r="O138" s="58"/>
      <c r="P138" s="60"/>
      <c r="Q138" s="61"/>
      <c r="R138" s="61"/>
    </row>
    <row r="139" spans="1:18" x14ac:dyDescent="0.25">
      <c r="A139" s="53"/>
      <c r="B139" s="54"/>
      <c r="C139" s="54"/>
      <c r="D139" s="55"/>
      <c r="E139" s="56"/>
      <c r="F139" s="56"/>
      <c r="G139" s="57"/>
      <c r="H139" s="58"/>
      <c r="I139" s="58"/>
      <c r="J139" s="58"/>
      <c r="K139" s="62"/>
      <c r="L139" s="58"/>
      <c r="M139" s="58"/>
      <c r="N139" s="58"/>
      <c r="O139" s="58"/>
      <c r="P139" s="60"/>
      <c r="Q139" s="61"/>
      <c r="R139" s="61"/>
    </row>
    <row r="140" spans="1:18" x14ac:dyDescent="0.25">
      <c r="A140" s="53"/>
      <c r="B140" s="54"/>
      <c r="C140" s="54"/>
      <c r="D140" s="55"/>
      <c r="E140" s="56"/>
      <c r="F140" s="56"/>
      <c r="G140" s="57"/>
      <c r="H140" s="58"/>
      <c r="I140" s="58"/>
      <c r="J140" s="58"/>
      <c r="K140" s="62"/>
      <c r="L140" s="58"/>
      <c r="M140" s="58"/>
      <c r="N140" s="58"/>
      <c r="O140" s="58"/>
      <c r="P140" s="60"/>
      <c r="Q140" s="61"/>
      <c r="R140" s="61"/>
    </row>
    <row r="141" spans="1:18" x14ac:dyDescent="0.25">
      <c r="A141" s="53"/>
      <c r="B141" s="54"/>
      <c r="C141" s="54"/>
      <c r="D141" s="55"/>
      <c r="E141" s="56"/>
      <c r="F141" s="56"/>
      <c r="G141" s="57"/>
      <c r="H141" s="58"/>
      <c r="I141" s="58"/>
      <c r="J141" s="58"/>
      <c r="K141" s="62"/>
      <c r="L141" s="58"/>
      <c r="M141" s="58"/>
      <c r="N141" s="58"/>
      <c r="O141" s="58"/>
      <c r="P141" s="60"/>
      <c r="Q141" s="61"/>
      <c r="R141" s="61"/>
    </row>
    <row r="142" spans="1:18" x14ac:dyDescent="0.25">
      <c r="A142" s="53"/>
      <c r="B142" s="54"/>
      <c r="C142" s="54"/>
      <c r="D142" s="55"/>
      <c r="E142" s="56"/>
      <c r="F142" s="56"/>
      <c r="G142" s="57"/>
      <c r="H142" s="58"/>
      <c r="I142" s="58"/>
      <c r="J142" s="58"/>
      <c r="K142" s="62"/>
      <c r="L142" s="58"/>
      <c r="M142" s="58"/>
      <c r="N142" s="58"/>
      <c r="O142" s="58"/>
      <c r="P142" s="60"/>
      <c r="Q142" s="61"/>
      <c r="R142" s="61"/>
    </row>
    <row r="143" spans="1:18" x14ac:dyDescent="0.25">
      <c r="A143" s="53"/>
      <c r="B143" s="54"/>
      <c r="C143" s="54"/>
      <c r="D143" s="55"/>
      <c r="E143" s="56"/>
      <c r="F143" s="56"/>
      <c r="G143" s="57"/>
      <c r="H143" s="58"/>
      <c r="I143" s="58"/>
      <c r="J143" s="58"/>
      <c r="K143" s="62"/>
      <c r="L143" s="58"/>
      <c r="M143" s="58"/>
      <c r="N143" s="58"/>
      <c r="O143" s="58"/>
      <c r="P143" s="60"/>
      <c r="Q143" s="61"/>
      <c r="R143" s="61"/>
    </row>
    <row r="144" spans="1:18" x14ac:dyDescent="0.25">
      <c r="A144" s="53"/>
      <c r="B144" s="54"/>
      <c r="C144" s="54"/>
      <c r="D144" s="55"/>
      <c r="E144" s="56"/>
      <c r="F144" s="56"/>
      <c r="G144" s="57"/>
      <c r="H144" s="58"/>
      <c r="I144" s="58"/>
      <c r="J144" s="58"/>
      <c r="K144" s="62"/>
      <c r="L144" s="58"/>
      <c r="M144" s="58"/>
      <c r="N144" s="58"/>
      <c r="O144" s="58"/>
      <c r="P144" s="60"/>
      <c r="Q144" s="61"/>
      <c r="R144" s="61"/>
    </row>
    <row r="145" spans="1:18" x14ac:dyDescent="0.25">
      <c r="A145" s="53"/>
      <c r="B145" s="54"/>
      <c r="C145" s="54"/>
      <c r="D145" s="55"/>
      <c r="E145" s="56"/>
      <c r="F145" s="56"/>
      <c r="G145" s="57"/>
      <c r="H145" s="58"/>
      <c r="I145" s="58"/>
      <c r="J145" s="58"/>
      <c r="K145" s="62"/>
      <c r="L145" s="58"/>
      <c r="M145" s="58"/>
      <c r="N145" s="58"/>
      <c r="O145" s="58"/>
      <c r="P145" s="60"/>
      <c r="Q145" s="61"/>
      <c r="R145" s="61"/>
    </row>
    <row r="146" spans="1:18" x14ac:dyDescent="0.25">
      <c r="A146" s="53"/>
      <c r="B146" s="54"/>
      <c r="C146" s="54"/>
      <c r="D146" s="55"/>
      <c r="E146" s="56"/>
      <c r="F146" s="56"/>
      <c r="G146" s="57"/>
      <c r="H146" s="58"/>
      <c r="I146" s="58"/>
      <c r="J146" s="58"/>
      <c r="K146" s="62"/>
      <c r="L146" s="58"/>
      <c r="M146" s="58"/>
      <c r="N146" s="58"/>
      <c r="O146" s="58"/>
      <c r="P146" s="60"/>
      <c r="Q146" s="61"/>
      <c r="R146" s="61"/>
    </row>
    <row r="147" spans="1:18" x14ac:dyDescent="0.25">
      <c r="A147" s="53"/>
      <c r="B147" s="54"/>
      <c r="C147" s="54"/>
      <c r="D147" s="55"/>
      <c r="E147" s="56"/>
      <c r="F147" s="56"/>
      <c r="G147" s="57"/>
      <c r="H147" s="58"/>
      <c r="I147" s="58"/>
      <c r="J147" s="58"/>
      <c r="K147" s="62"/>
      <c r="L147" s="58"/>
      <c r="M147" s="58"/>
      <c r="N147" s="58"/>
      <c r="O147" s="58"/>
      <c r="P147" s="60"/>
      <c r="Q147" s="61"/>
      <c r="R147" s="61"/>
    </row>
    <row r="148" spans="1:18" x14ac:dyDescent="0.25">
      <c r="A148" s="53"/>
      <c r="B148" s="54"/>
      <c r="C148" s="54"/>
      <c r="D148" s="55"/>
      <c r="E148" s="56"/>
      <c r="F148" s="56"/>
      <c r="G148" s="57"/>
      <c r="H148" s="58"/>
      <c r="I148" s="58"/>
      <c r="J148" s="58"/>
      <c r="K148" s="62"/>
      <c r="L148" s="58"/>
      <c r="M148" s="58"/>
      <c r="N148" s="58"/>
      <c r="O148" s="58"/>
      <c r="P148" s="60"/>
      <c r="Q148" s="61"/>
      <c r="R148" s="61"/>
    </row>
    <row r="149" spans="1:18" x14ac:dyDescent="0.25">
      <c r="A149" s="53"/>
      <c r="B149" s="54"/>
      <c r="C149" s="54"/>
      <c r="D149" s="55"/>
      <c r="E149" s="56"/>
      <c r="F149" s="56"/>
      <c r="G149" s="57"/>
      <c r="H149" s="58"/>
      <c r="I149" s="58"/>
      <c r="J149" s="58"/>
      <c r="K149" s="62"/>
      <c r="L149" s="58"/>
      <c r="M149" s="58"/>
      <c r="N149" s="58"/>
      <c r="O149" s="58"/>
      <c r="P149" s="60"/>
      <c r="Q149" s="61"/>
      <c r="R149" s="61"/>
    </row>
    <row r="150" spans="1:18" x14ac:dyDescent="0.25">
      <c r="A150" s="53"/>
      <c r="B150" s="54"/>
      <c r="C150" s="54"/>
      <c r="D150" s="55"/>
      <c r="E150" s="56"/>
      <c r="F150" s="56"/>
      <c r="G150" s="57"/>
      <c r="H150" s="58"/>
      <c r="I150" s="58"/>
      <c r="J150" s="58"/>
      <c r="K150" s="62"/>
      <c r="L150" s="58"/>
      <c r="M150" s="58"/>
      <c r="N150" s="58"/>
      <c r="O150" s="58"/>
      <c r="P150" s="60"/>
      <c r="Q150" s="61"/>
      <c r="R150" s="61"/>
    </row>
    <row r="151" spans="1:18" x14ac:dyDescent="0.25">
      <c r="A151" s="53"/>
      <c r="B151" s="54"/>
      <c r="C151" s="54"/>
      <c r="D151" s="55"/>
      <c r="E151" s="56"/>
      <c r="F151" s="56"/>
      <c r="G151" s="57"/>
      <c r="H151" s="58"/>
      <c r="I151" s="58"/>
      <c r="J151" s="58"/>
      <c r="K151" s="62"/>
      <c r="L151" s="58"/>
      <c r="M151" s="58"/>
      <c r="N151" s="58"/>
      <c r="O151" s="58"/>
      <c r="P151" s="60"/>
      <c r="Q151" s="61"/>
      <c r="R151" s="61"/>
    </row>
    <row r="152" spans="1:18" x14ac:dyDescent="0.25">
      <c r="A152" s="63"/>
      <c r="B152" s="64"/>
      <c r="C152" s="64"/>
      <c r="D152" s="65"/>
      <c r="E152" s="66"/>
      <c r="F152" s="66"/>
      <c r="G152" s="67"/>
      <c r="H152" s="68"/>
      <c r="I152" s="68"/>
      <c r="J152" s="68"/>
      <c r="K152" s="69"/>
      <c r="L152" s="68"/>
      <c r="M152" s="68"/>
      <c r="N152" s="68"/>
      <c r="O152" s="68"/>
      <c r="P152" s="70"/>
      <c r="Q152" s="71"/>
      <c r="R152" s="71"/>
    </row>
    <row r="153" spans="1:18" x14ac:dyDescent="0.25">
      <c r="A153" s="63"/>
      <c r="B153" s="64"/>
      <c r="C153" s="64"/>
      <c r="D153" s="65"/>
      <c r="E153" s="66"/>
      <c r="F153" s="66"/>
      <c r="G153" s="67"/>
      <c r="H153" s="68"/>
      <c r="I153" s="68"/>
      <c r="J153" s="68"/>
      <c r="K153" s="69"/>
      <c r="L153" s="68"/>
      <c r="M153" s="68"/>
      <c r="N153" s="68"/>
      <c r="O153" s="68"/>
      <c r="P153" s="70"/>
      <c r="Q153" s="71"/>
      <c r="R153" s="71"/>
    </row>
    <row r="154" spans="1:18" x14ac:dyDescent="0.25">
      <c r="A154" s="63"/>
      <c r="B154" s="64"/>
      <c r="C154" s="64"/>
      <c r="D154" s="65"/>
      <c r="E154" s="66"/>
      <c r="F154" s="66"/>
      <c r="G154" s="67"/>
      <c r="H154" s="68"/>
      <c r="I154" s="68"/>
      <c r="J154" s="68"/>
      <c r="K154" s="69"/>
      <c r="L154" s="68"/>
      <c r="M154" s="68"/>
      <c r="N154" s="68"/>
      <c r="O154" s="68"/>
      <c r="P154" s="70"/>
      <c r="Q154" s="71"/>
      <c r="R154" s="71"/>
    </row>
    <row r="155" spans="1:18" x14ac:dyDescent="0.25">
      <c r="A155" s="63"/>
      <c r="B155" s="64"/>
      <c r="C155" s="64"/>
      <c r="D155" s="65"/>
      <c r="E155" s="66"/>
      <c r="F155" s="66"/>
      <c r="G155" s="67"/>
      <c r="H155" s="68"/>
      <c r="I155" s="68"/>
      <c r="J155" s="68"/>
      <c r="K155" s="69"/>
      <c r="L155" s="68"/>
      <c r="M155" s="68"/>
      <c r="N155" s="68"/>
      <c r="O155" s="68"/>
      <c r="P155" s="70"/>
      <c r="Q155" s="71"/>
      <c r="R155" s="71"/>
    </row>
    <row r="156" spans="1:18" x14ac:dyDescent="0.25">
      <c r="A156" s="63"/>
      <c r="B156" s="64"/>
      <c r="C156" s="64"/>
      <c r="D156" s="65"/>
      <c r="E156" s="66"/>
      <c r="F156" s="66"/>
      <c r="G156" s="67"/>
      <c r="H156" s="68"/>
      <c r="I156" s="68"/>
      <c r="J156" s="68"/>
      <c r="K156" s="69"/>
      <c r="L156" s="68"/>
      <c r="M156" s="68"/>
      <c r="N156" s="68"/>
      <c r="O156" s="68"/>
      <c r="P156" s="70"/>
      <c r="Q156" s="71"/>
      <c r="R156" s="71"/>
    </row>
    <row r="157" spans="1:18" x14ac:dyDescent="0.25">
      <c r="A157" s="63"/>
      <c r="B157" s="64"/>
      <c r="C157" s="64"/>
      <c r="D157" s="65"/>
      <c r="E157" s="66"/>
      <c r="F157" s="66"/>
      <c r="G157" s="67"/>
      <c r="H157" s="68"/>
      <c r="I157" s="68"/>
      <c r="J157" s="68"/>
      <c r="K157" s="69"/>
      <c r="L157" s="68"/>
      <c r="M157" s="68"/>
      <c r="N157" s="68"/>
      <c r="O157" s="68"/>
      <c r="P157" s="70"/>
      <c r="Q157" s="71"/>
      <c r="R157" s="71"/>
    </row>
    <row r="158" spans="1:18" x14ac:dyDescent="0.25">
      <c r="A158" s="63"/>
      <c r="B158" s="64"/>
      <c r="C158" s="64"/>
      <c r="D158" s="65"/>
      <c r="E158" s="66"/>
      <c r="F158" s="66"/>
      <c r="G158" s="67"/>
      <c r="H158" s="68"/>
      <c r="I158" s="68"/>
      <c r="J158" s="68"/>
      <c r="K158" s="69"/>
      <c r="L158" s="68"/>
      <c r="M158" s="68"/>
      <c r="N158" s="68"/>
      <c r="O158" s="68"/>
      <c r="P158" s="70"/>
      <c r="Q158" s="71"/>
      <c r="R158" s="71"/>
    </row>
    <row r="159" spans="1:18" x14ac:dyDescent="0.25">
      <c r="A159" s="63"/>
      <c r="B159" s="64"/>
      <c r="C159" s="64"/>
      <c r="D159" s="65"/>
      <c r="E159" s="66"/>
      <c r="F159" s="66"/>
      <c r="G159" s="67"/>
      <c r="H159" s="68"/>
      <c r="I159" s="68"/>
      <c r="J159" s="68"/>
      <c r="K159" s="69"/>
      <c r="L159" s="68"/>
      <c r="M159" s="68"/>
      <c r="N159" s="68"/>
      <c r="O159" s="68"/>
      <c r="P159" s="70"/>
      <c r="Q159" s="71"/>
      <c r="R159" s="71"/>
    </row>
    <row r="160" spans="1:18" x14ac:dyDescent="0.25">
      <c r="A160" s="63"/>
      <c r="B160" s="64"/>
      <c r="C160" s="64"/>
      <c r="D160" s="65"/>
      <c r="E160" s="66"/>
      <c r="F160" s="66"/>
      <c r="G160" s="67"/>
      <c r="H160" s="68"/>
      <c r="I160" s="68"/>
      <c r="J160" s="68"/>
      <c r="K160" s="69"/>
      <c r="L160" s="68"/>
      <c r="M160" s="68"/>
      <c r="N160" s="68"/>
      <c r="O160" s="68"/>
      <c r="P160" s="70"/>
      <c r="Q160" s="71"/>
      <c r="R160" s="71"/>
    </row>
    <row r="161" spans="1:18" x14ac:dyDescent="0.25">
      <c r="A161" s="63"/>
      <c r="B161" s="64"/>
      <c r="C161" s="64"/>
      <c r="D161" s="65"/>
      <c r="E161" s="66"/>
      <c r="F161" s="66"/>
      <c r="G161" s="67"/>
      <c r="H161" s="68"/>
      <c r="I161" s="68"/>
      <c r="J161" s="68"/>
      <c r="K161" s="69"/>
      <c r="L161" s="68"/>
      <c r="M161" s="68"/>
      <c r="N161" s="68"/>
      <c r="O161" s="68"/>
      <c r="P161" s="70"/>
      <c r="Q161" s="71"/>
      <c r="R161" s="71"/>
    </row>
    <row r="162" spans="1:18" x14ac:dyDescent="0.25">
      <c r="A162" s="63"/>
      <c r="B162" s="64"/>
      <c r="C162" s="64"/>
      <c r="D162" s="65"/>
      <c r="E162" s="66"/>
      <c r="F162" s="66"/>
      <c r="G162" s="67"/>
      <c r="H162" s="68"/>
      <c r="I162" s="68"/>
      <c r="J162" s="68"/>
      <c r="K162" s="69"/>
      <c r="L162" s="68"/>
      <c r="M162" s="68"/>
      <c r="N162" s="68"/>
      <c r="O162" s="68"/>
      <c r="P162" s="70"/>
      <c r="Q162" s="71"/>
      <c r="R162" s="71"/>
    </row>
    <row r="163" spans="1:18" x14ac:dyDescent="0.25">
      <c r="A163" s="63"/>
      <c r="B163" s="64"/>
      <c r="C163" s="64"/>
      <c r="D163" s="65"/>
      <c r="E163" s="66"/>
      <c r="F163" s="66"/>
      <c r="G163" s="67"/>
      <c r="H163" s="68"/>
      <c r="I163" s="68"/>
      <c r="J163" s="68"/>
      <c r="K163" s="69"/>
      <c r="L163" s="68"/>
      <c r="M163" s="68"/>
      <c r="N163" s="68"/>
      <c r="O163" s="68"/>
      <c r="P163" s="70"/>
      <c r="Q163" s="71"/>
      <c r="R163" s="71"/>
    </row>
    <row r="164" spans="1:18" x14ac:dyDescent="0.25">
      <c r="A164" s="63"/>
      <c r="B164" s="64"/>
      <c r="C164" s="64"/>
      <c r="D164" s="65"/>
      <c r="E164" s="66"/>
      <c r="F164" s="66"/>
      <c r="G164" s="67"/>
      <c r="H164" s="68"/>
      <c r="I164" s="68"/>
      <c r="J164" s="68"/>
      <c r="K164" s="69"/>
      <c r="L164" s="68"/>
      <c r="M164" s="68"/>
      <c r="N164" s="68"/>
      <c r="O164" s="68"/>
      <c r="P164" s="70"/>
      <c r="Q164" s="71"/>
      <c r="R164" s="71"/>
    </row>
    <row r="165" spans="1:18" x14ac:dyDescent="0.25">
      <c r="A165" s="63"/>
      <c r="B165" s="64"/>
      <c r="C165" s="64"/>
      <c r="D165" s="65"/>
      <c r="E165" s="66"/>
      <c r="F165" s="66"/>
      <c r="G165" s="67"/>
      <c r="H165" s="68"/>
      <c r="I165" s="68"/>
      <c r="J165" s="68"/>
      <c r="K165" s="69"/>
      <c r="L165" s="68"/>
      <c r="M165" s="68"/>
      <c r="N165" s="68"/>
      <c r="O165" s="68"/>
      <c r="P165" s="70"/>
      <c r="Q165" s="71"/>
      <c r="R165" s="71"/>
    </row>
    <row r="166" spans="1:18" x14ac:dyDescent="0.25">
      <c r="A166" s="63"/>
      <c r="B166" s="64"/>
      <c r="C166" s="64"/>
      <c r="D166" s="65"/>
      <c r="E166" s="66"/>
      <c r="F166" s="66"/>
      <c r="G166" s="67"/>
      <c r="H166" s="68"/>
      <c r="I166" s="68"/>
      <c r="J166" s="68"/>
      <c r="K166" s="69"/>
      <c r="L166" s="68"/>
      <c r="M166" s="68"/>
      <c r="N166" s="68"/>
      <c r="O166" s="68"/>
      <c r="P166" s="70"/>
      <c r="Q166" s="71"/>
      <c r="R166" s="71"/>
    </row>
    <row r="167" spans="1:18" x14ac:dyDescent="0.25">
      <c r="A167" s="63"/>
      <c r="B167" s="64"/>
      <c r="C167" s="64"/>
      <c r="D167" s="65"/>
      <c r="E167" s="66"/>
      <c r="F167" s="66"/>
      <c r="G167" s="67"/>
      <c r="H167" s="68"/>
      <c r="I167" s="68"/>
      <c r="J167" s="68"/>
      <c r="K167" s="69"/>
      <c r="L167" s="68"/>
      <c r="M167" s="68"/>
      <c r="N167" s="68"/>
      <c r="O167" s="68"/>
      <c r="P167" s="70"/>
      <c r="Q167" s="71"/>
      <c r="R167" s="71"/>
    </row>
    <row r="168" spans="1:18" x14ac:dyDescent="0.25">
      <c r="A168" s="63"/>
      <c r="B168" s="64"/>
      <c r="C168" s="64"/>
      <c r="D168" s="65"/>
      <c r="E168" s="66"/>
      <c r="F168" s="66"/>
      <c r="G168" s="67"/>
      <c r="H168" s="68"/>
      <c r="I168" s="68"/>
      <c r="J168" s="68"/>
      <c r="K168" s="69"/>
      <c r="L168" s="68"/>
      <c r="M168" s="68"/>
      <c r="N168" s="68"/>
      <c r="O168" s="68"/>
      <c r="P168" s="70"/>
      <c r="Q168" s="71"/>
      <c r="R168" s="71"/>
    </row>
    <row r="169" spans="1:18" x14ac:dyDescent="0.25">
      <c r="A169" s="63"/>
      <c r="B169" s="64"/>
      <c r="C169" s="64"/>
      <c r="D169" s="65"/>
      <c r="E169" s="66"/>
      <c r="F169" s="66"/>
      <c r="G169" s="67"/>
      <c r="H169" s="68"/>
      <c r="I169" s="68"/>
      <c r="J169" s="68"/>
      <c r="K169" s="69"/>
      <c r="L169" s="68"/>
      <c r="M169" s="68"/>
      <c r="N169" s="68"/>
      <c r="O169" s="68"/>
      <c r="P169" s="70"/>
      <c r="Q169" s="71"/>
      <c r="R169" s="71"/>
    </row>
    <row r="170" spans="1:18" x14ac:dyDescent="0.25">
      <c r="A170" s="63"/>
      <c r="B170" s="64"/>
      <c r="C170" s="64"/>
      <c r="D170" s="65"/>
      <c r="E170" s="66"/>
      <c r="F170" s="66"/>
      <c r="G170" s="67"/>
      <c r="H170" s="68"/>
      <c r="I170" s="68"/>
      <c r="J170" s="68"/>
      <c r="K170" s="69"/>
      <c r="L170" s="68"/>
      <c r="M170" s="68"/>
      <c r="N170" s="68"/>
      <c r="O170" s="68"/>
      <c r="P170" s="70"/>
      <c r="Q170" s="71"/>
      <c r="R170" s="71"/>
    </row>
    <row r="171" spans="1:18" x14ac:dyDescent="0.25">
      <c r="A171" s="72"/>
      <c r="B171" s="73"/>
      <c r="C171" s="73"/>
      <c r="D171" s="73"/>
      <c r="E171" s="74"/>
      <c r="F171" s="74"/>
      <c r="G171" s="75"/>
      <c r="H171" s="76"/>
      <c r="I171" s="76"/>
      <c r="J171" s="76"/>
      <c r="K171" s="69">
        <f>+H171</f>
        <v>0</v>
      </c>
      <c r="L171" s="76"/>
      <c r="M171" s="76"/>
      <c r="N171" s="76"/>
      <c r="O171" s="76"/>
      <c r="P171" s="77"/>
      <c r="Q171" s="78"/>
      <c r="R171" s="79"/>
    </row>
    <row r="172" spans="1:18" x14ac:dyDescent="0.25">
      <c r="A172" s="72"/>
      <c r="B172" s="73"/>
      <c r="C172" s="73"/>
      <c r="D172" s="73" t="s">
        <v>32</v>
      </c>
      <c r="E172" s="74"/>
      <c r="F172" s="74">
        <f>SUM(F7:F33)</f>
        <v>0</v>
      </c>
      <c r="G172" s="75"/>
      <c r="H172" s="76"/>
      <c r="I172" s="76"/>
      <c r="J172" s="76"/>
      <c r="K172" s="76"/>
      <c r="L172" s="76"/>
      <c r="M172" s="76"/>
      <c r="N172" s="76"/>
      <c r="O172" s="76"/>
      <c r="P172" s="77"/>
      <c r="Q172" s="78"/>
      <c r="R172" s="79"/>
    </row>
    <row r="173" spans="1:18" x14ac:dyDescent="0.25">
      <c r="A173" s="72"/>
      <c r="B173" s="73"/>
      <c r="C173" s="73"/>
      <c r="D173" s="73" t="s">
        <v>33</v>
      </c>
      <c r="E173" s="74"/>
      <c r="F173" s="74">
        <f>F172/15</f>
        <v>0</v>
      </c>
      <c r="G173" s="75"/>
      <c r="H173" s="76"/>
      <c r="I173" s="76"/>
      <c r="J173" s="76"/>
      <c r="K173" s="76"/>
      <c r="L173" s="76"/>
      <c r="M173" s="76"/>
      <c r="N173" s="76"/>
      <c r="O173" s="76"/>
      <c r="P173" s="77"/>
      <c r="Q173" s="78"/>
      <c r="R173" s="79"/>
    </row>
    <row r="174" spans="1:18" x14ac:dyDescent="0.25">
      <c r="A174" s="72"/>
      <c r="B174" s="73"/>
      <c r="C174" s="73"/>
      <c r="D174" s="73"/>
      <c r="E174" s="74"/>
      <c r="F174" s="74"/>
      <c r="G174" s="75"/>
      <c r="H174" s="76"/>
      <c r="I174" s="76"/>
      <c r="J174" s="76"/>
      <c r="K174" s="76"/>
      <c r="L174" s="76"/>
      <c r="M174" s="76"/>
      <c r="N174" s="76"/>
      <c r="O174" s="76"/>
      <c r="P174" s="77"/>
      <c r="Q174" s="78"/>
      <c r="R174" s="79"/>
    </row>
    <row r="175" spans="1:18" x14ac:dyDescent="0.25">
      <c r="A175" s="72"/>
      <c r="B175" s="73"/>
      <c r="C175" s="73"/>
      <c r="D175" s="73"/>
      <c r="E175" s="74"/>
      <c r="F175" s="74"/>
      <c r="G175" s="75"/>
      <c r="H175" s="76"/>
      <c r="I175" s="76"/>
      <c r="J175" s="76"/>
      <c r="K175" s="76"/>
      <c r="L175" s="76"/>
      <c r="M175" s="76"/>
      <c r="N175" s="76"/>
      <c r="O175" s="76"/>
      <c r="P175" s="77"/>
      <c r="Q175" s="78"/>
      <c r="R175" s="79"/>
    </row>
    <row r="176" spans="1:18" x14ac:dyDescent="0.25">
      <c r="A176" s="72"/>
      <c r="B176" s="73"/>
      <c r="C176" s="73"/>
      <c r="D176" s="73"/>
      <c r="E176" s="74"/>
      <c r="F176" s="74"/>
      <c r="G176" s="75"/>
      <c r="H176" s="76"/>
      <c r="I176" s="76"/>
      <c r="J176" s="76"/>
      <c r="K176" s="76"/>
      <c r="L176" s="76"/>
      <c r="M176" s="76"/>
      <c r="N176" s="76"/>
      <c r="O176" s="76"/>
      <c r="P176" s="77"/>
      <c r="Q176" s="78"/>
      <c r="R176" s="79"/>
    </row>
    <row r="177" spans="1:18" x14ac:dyDescent="0.25">
      <c r="A177" s="72"/>
      <c r="B177" s="73"/>
      <c r="C177" s="73"/>
      <c r="D177" s="73"/>
      <c r="E177" s="74"/>
      <c r="F177" s="74"/>
      <c r="G177" s="75"/>
      <c r="H177" s="76"/>
      <c r="I177" s="76"/>
      <c r="J177" s="76"/>
      <c r="K177" s="76"/>
      <c r="L177" s="76"/>
      <c r="M177" s="76"/>
      <c r="N177" s="76"/>
      <c r="O177" s="76"/>
      <c r="P177" s="77"/>
      <c r="Q177" s="78"/>
      <c r="R177" s="79"/>
    </row>
    <row r="178" spans="1:18" x14ac:dyDescent="0.25">
      <c r="A178" s="72"/>
      <c r="B178" s="73"/>
      <c r="C178" s="73"/>
      <c r="D178" s="73"/>
      <c r="E178" s="74"/>
      <c r="F178" s="74"/>
      <c r="G178" s="75"/>
      <c r="H178" s="76"/>
      <c r="I178" s="76"/>
      <c r="J178" s="76"/>
      <c r="K178" s="76"/>
      <c r="L178" s="76"/>
      <c r="M178" s="76"/>
      <c r="N178" s="76"/>
      <c r="O178" s="76"/>
      <c r="P178" s="77"/>
      <c r="Q178" s="78"/>
      <c r="R178" s="79"/>
    </row>
    <row r="179" spans="1:18" x14ac:dyDescent="0.25">
      <c r="A179" s="72"/>
      <c r="B179" s="73"/>
      <c r="C179" s="73"/>
      <c r="D179" s="73"/>
      <c r="E179" s="74"/>
      <c r="F179" s="74"/>
      <c r="G179" s="75"/>
      <c r="H179" s="76"/>
      <c r="I179" s="76"/>
      <c r="J179" s="76"/>
      <c r="K179" s="76"/>
      <c r="L179" s="76"/>
      <c r="M179" s="76"/>
      <c r="N179" s="76"/>
      <c r="O179" s="76"/>
      <c r="P179" s="77"/>
      <c r="Q179" s="78"/>
      <c r="R179" s="79"/>
    </row>
    <row r="180" spans="1:18" x14ac:dyDescent="0.25">
      <c r="A180" s="72"/>
      <c r="B180" s="73"/>
      <c r="C180" s="73"/>
      <c r="D180" s="73"/>
      <c r="E180" s="74"/>
      <c r="F180" s="74"/>
      <c r="G180" s="75"/>
      <c r="H180" s="76"/>
      <c r="I180" s="76"/>
      <c r="J180" s="76"/>
      <c r="K180" s="76"/>
      <c r="L180" s="76"/>
      <c r="M180" s="76"/>
      <c r="N180" s="76"/>
      <c r="O180" s="76"/>
      <c r="P180" s="77"/>
      <c r="Q180" s="78"/>
      <c r="R180" s="79"/>
    </row>
    <row r="181" spans="1:18" x14ac:dyDescent="0.25">
      <c r="A181" s="72"/>
      <c r="B181" s="73"/>
      <c r="C181" s="73"/>
      <c r="D181" s="73"/>
      <c r="E181" s="74"/>
      <c r="F181" s="74"/>
      <c r="G181" s="75"/>
      <c r="H181" s="76"/>
      <c r="I181" s="76"/>
      <c r="J181" s="76"/>
      <c r="K181" s="76"/>
      <c r="L181" s="76"/>
      <c r="M181" s="76"/>
      <c r="N181" s="76"/>
      <c r="O181" s="76"/>
      <c r="P181" s="77"/>
      <c r="Q181" s="78"/>
      <c r="R181" s="79"/>
    </row>
    <row r="182" spans="1:18" x14ac:dyDescent="0.25">
      <c r="A182" s="72"/>
      <c r="B182" s="73"/>
      <c r="C182" s="73"/>
      <c r="D182" s="73"/>
      <c r="E182" s="74"/>
      <c r="F182" s="74"/>
      <c r="G182" s="75"/>
      <c r="H182" s="76"/>
      <c r="I182" s="76"/>
      <c r="J182" s="76"/>
      <c r="K182" s="76"/>
      <c r="L182" s="76"/>
      <c r="M182" s="76"/>
      <c r="N182" s="76"/>
      <c r="O182" s="76"/>
      <c r="P182" s="77"/>
      <c r="Q182" s="78"/>
      <c r="R182" s="79"/>
    </row>
    <row r="183" spans="1:18" x14ac:dyDescent="0.25">
      <c r="A183" s="72"/>
      <c r="B183" s="73"/>
      <c r="C183" s="73"/>
      <c r="D183" s="73"/>
      <c r="E183" s="74"/>
      <c r="F183" s="74"/>
      <c r="G183" s="75"/>
      <c r="H183" s="76"/>
      <c r="I183" s="76"/>
      <c r="J183" s="76"/>
      <c r="K183" s="76"/>
      <c r="L183" s="76"/>
      <c r="M183" s="76"/>
      <c r="N183" s="76"/>
      <c r="O183" s="76"/>
      <c r="P183" s="77"/>
      <c r="Q183" s="78"/>
      <c r="R183" s="79"/>
    </row>
    <row r="184" spans="1:18" x14ac:dyDescent="0.25">
      <c r="A184" s="72"/>
      <c r="B184" s="73"/>
      <c r="C184" s="73"/>
      <c r="D184" s="73"/>
      <c r="E184" s="74"/>
      <c r="F184" s="74"/>
      <c r="G184" s="75"/>
      <c r="H184" s="76"/>
      <c r="I184" s="76"/>
      <c r="J184" s="76"/>
      <c r="K184" s="76"/>
      <c r="L184" s="76"/>
      <c r="M184" s="76"/>
      <c r="N184" s="76"/>
      <c r="O184" s="76"/>
      <c r="P184" s="77"/>
      <c r="Q184" s="78"/>
      <c r="R184" s="79"/>
    </row>
    <row r="185" spans="1:18" x14ac:dyDescent="0.25">
      <c r="A185" s="80"/>
      <c r="B185" s="81"/>
      <c r="C185" s="81"/>
      <c r="D185" s="81"/>
      <c r="E185" s="82"/>
      <c r="F185" s="82"/>
      <c r="G185" s="83"/>
      <c r="H185" s="84"/>
      <c r="I185" s="84"/>
      <c r="J185" s="84"/>
      <c r="K185" s="84"/>
      <c r="L185" s="84"/>
      <c r="M185" s="84"/>
      <c r="N185" s="84"/>
      <c r="O185" s="84"/>
      <c r="P185" s="85"/>
      <c r="Q185" s="86"/>
      <c r="R185"/>
    </row>
    <row r="186" spans="1:18" x14ac:dyDescent="0.25">
      <c r="A186" s="80"/>
      <c r="B186" s="81"/>
      <c r="C186" s="81"/>
      <c r="D186" s="81"/>
      <c r="E186" s="82"/>
      <c r="F186" s="82"/>
      <c r="G186" s="83"/>
      <c r="H186" s="84"/>
      <c r="I186" s="84"/>
      <c r="J186" s="84"/>
      <c r="K186" s="84"/>
      <c r="L186" s="84"/>
      <c r="M186" s="84"/>
      <c r="N186" s="84"/>
      <c r="O186" s="84"/>
      <c r="P186" s="85"/>
      <c r="Q186" s="86"/>
      <c r="R186"/>
    </row>
    <row r="187" spans="1:18" x14ac:dyDescent="0.25">
      <c r="A187" s="80"/>
      <c r="B187" s="81"/>
      <c r="C187" s="81"/>
      <c r="D187" s="81"/>
      <c r="E187" s="82"/>
      <c r="F187" s="82"/>
      <c r="G187" s="83"/>
      <c r="H187" s="84"/>
      <c r="I187" s="84"/>
      <c r="J187" s="84"/>
      <c r="K187" s="84"/>
      <c r="L187" s="84"/>
      <c r="M187" s="84"/>
      <c r="N187" s="84"/>
      <c r="O187" s="84"/>
      <c r="P187" s="85"/>
      <c r="Q187" s="86"/>
      <c r="R187"/>
    </row>
    <row r="188" spans="1:18" x14ac:dyDescent="0.25">
      <c r="A188" s="80"/>
      <c r="B188" s="81"/>
      <c r="C188" s="81"/>
      <c r="D188" s="81"/>
      <c r="E188" s="82"/>
      <c r="F188" s="82"/>
      <c r="G188" s="83"/>
      <c r="H188" s="84"/>
      <c r="I188" s="84"/>
      <c r="J188" s="84"/>
      <c r="K188" s="84"/>
      <c r="L188" s="84"/>
      <c r="M188" s="84"/>
      <c r="N188" s="84"/>
      <c r="O188" s="84"/>
      <c r="P188" s="85"/>
      <c r="Q188" s="86"/>
      <c r="R188"/>
    </row>
    <row r="189" spans="1:18" x14ac:dyDescent="0.25">
      <c r="A189" s="80"/>
      <c r="B189" s="81"/>
      <c r="C189" s="81"/>
      <c r="D189" s="81"/>
      <c r="E189" s="82"/>
      <c r="F189" s="82"/>
      <c r="G189" s="83"/>
      <c r="H189" s="84"/>
      <c r="I189" s="84"/>
      <c r="J189" s="84"/>
      <c r="K189" s="84"/>
      <c r="L189" s="84"/>
      <c r="M189" s="84"/>
      <c r="N189" s="84"/>
      <c r="O189" s="84"/>
      <c r="P189" s="85"/>
      <c r="Q189" s="86"/>
      <c r="R189"/>
    </row>
    <row r="190" spans="1:18" x14ac:dyDescent="0.25">
      <c r="A190" s="80"/>
      <c r="B190" s="81"/>
      <c r="C190" s="81"/>
      <c r="D190" s="81"/>
      <c r="E190" s="82"/>
      <c r="F190" s="82"/>
      <c r="G190" s="83"/>
      <c r="H190" s="84"/>
      <c r="I190" s="84"/>
      <c r="J190" s="84"/>
      <c r="K190" s="84"/>
      <c r="L190" s="84"/>
      <c r="M190" s="84"/>
      <c r="N190" s="84"/>
      <c r="O190" s="84"/>
      <c r="P190" s="85"/>
      <c r="Q190" s="86"/>
      <c r="R190"/>
    </row>
    <row r="191" spans="1:18" x14ac:dyDescent="0.25">
      <c r="A191" s="80"/>
      <c r="B191" s="81"/>
      <c r="C191" s="81"/>
      <c r="D191" s="81"/>
      <c r="E191" s="82"/>
      <c r="F191" s="82"/>
      <c r="G191" s="83"/>
      <c r="H191" s="84"/>
      <c r="I191" s="84"/>
      <c r="J191" s="84"/>
      <c r="K191" s="84"/>
      <c r="L191" s="84"/>
      <c r="M191" s="84"/>
      <c r="N191" s="84"/>
      <c r="O191" s="84"/>
      <c r="P191" s="85"/>
      <c r="Q191" s="86"/>
      <c r="R191"/>
    </row>
    <row r="192" spans="1:18" x14ac:dyDescent="0.25">
      <c r="A192" s="80"/>
      <c r="B192" s="81"/>
      <c r="C192" s="81"/>
      <c r="D192" s="81"/>
      <c r="E192" s="82"/>
      <c r="F192" s="82"/>
      <c r="G192" s="83"/>
      <c r="H192" s="84"/>
      <c r="I192" s="84"/>
      <c r="J192" s="84"/>
      <c r="K192" s="84"/>
      <c r="L192" s="84"/>
      <c r="M192" s="84"/>
      <c r="N192" s="84"/>
      <c r="O192" s="84"/>
      <c r="P192" s="85"/>
      <c r="Q192" s="86"/>
      <c r="R192"/>
    </row>
    <row r="193" spans="1:18" x14ac:dyDescent="0.25">
      <c r="A193" s="80"/>
      <c r="B193" s="81"/>
      <c r="C193" s="81"/>
      <c r="D193" s="81"/>
      <c r="E193" s="82"/>
      <c r="F193" s="82"/>
      <c r="G193" s="83"/>
      <c r="H193" s="84"/>
      <c r="I193" s="84"/>
      <c r="J193" s="84"/>
      <c r="K193" s="84"/>
      <c r="L193" s="84"/>
      <c r="M193" s="84"/>
      <c r="N193" s="84"/>
      <c r="O193" s="84"/>
      <c r="P193" s="85"/>
      <c r="Q193" s="86"/>
      <c r="R193"/>
    </row>
    <row r="194" spans="1:18" x14ac:dyDescent="0.25">
      <c r="A194" s="80"/>
      <c r="B194" s="81"/>
      <c r="C194" s="81"/>
      <c r="D194" s="81"/>
      <c r="E194" s="82"/>
      <c r="F194" s="82"/>
      <c r="G194" s="83"/>
      <c r="H194" s="84"/>
      <c r="I194" s="84"/>
      <c r="J194" s="84"/>
      <c r="K194" s="84"/>
      <c r="L194" s="84"/>
      <c r="M194" s="84"/>
      <c r="N194" s="84"/>
      <c r="O194" s="84"/>
      <c r="P194" s="85"/>
      <c r="Q194" s="86"/>
      <c r="R194"/>
    </row>
    <row r="195" spans="1:18" x14ac:dyDescent="0.25">
      <c r="A195" s="80"/>
      <c r="B195" s="81"/>
      <c r="C195" s="81"/>
      <c r="D195" s="81"/>
      <c r="E195" s="82"/>
      <c r="F195" s="82"/>
      <c r="G195" s="83"/>
      <c r="H195" s="84"/>
      <c r="I195" s="84"/>
      <c r="J195" s="84"/>
      <c r="K195" s="84"/>
      <c r="L195" s="84"/>
      <c r="M195" s="84"/>
      <c r="N195" s="84"/>
      <c r="O195" s="84"/>
      <c r="P195" s="85"/>
      <c r="Q195" s="86"/>
      <c r="R195"/>
    </row>
    <row r="196" spans="1:18" x14ac:dyDescent="0.25">
      <c r="A196" s="80"/>
      <c r="B196" s="81"/>
      <c r="C196" s="81"/>
      <c r="D196" s="81"/>
      <c r="E196" s="82"/>
      <c r="F196" s="82"/>
      <c r="G196" s="83"/>
      <c r="H196" s="84"/>
      <c r="I196" s="84"/>
      <c r="J196" s="84"/>
      <c r="K196" s="84"/>
      <c r="L196" s="84"/>
      <c r="M196" s="84"/>
      <c r="N196" s="84"/>
      <c r="O196" s="84"/>
      <c r="P196" s="85"/>
      <c r="Q196" s="86"/>
      <c r="R196"/>
    </row>
    <row r="197" spans="1:18" x14ac:dyDescent="0.25">
      <c r="A197" s="80"/>
      <c r="B197" s="81"/>
      <c r="C197" s="81"/>
      <c r="D197" s="81"/>
      <c r="E197" s="82"/>
      <c r="F197" s="82"/>
      <c r="G197" s="83"/>
      <c r="H197" s="84"/>
      <c r="I197" s="84"/>
      <c r="J197" s="84"/>
      <c r="K197" s="84"/>
      <c r="L197" s="84"/>
      <c r="M197" s="84"/>
      <c r="N197" s="84"/>
      <c r="O197" s="84"/>
      <c r="P197" s="85"/>
      <c r="Q197" s="86"/>
      <c r="R197"/>
    </row>
    <row r="198" spans="1:18" x14ac:dyDescent="0.25">
      <c r="A198" s="80"/>
      <c r="B198" s="81"/>
      <c r="C198" s="81"/>
      <c r="D198" s="81"/>
      <c r="E198" s="82"/>
      <c r="F198" s="82"/>
      <c r="G198" s="83"/>
      <c r="H198" s="84"/>
      <c r="I198" s="84"/>
      <c r="J198" s="84"/>
      <c r="K198" s="84"/>
      <c r="L198" s="84"/>
      <c r="M198" s="84"/>
      <c r="N198" s="84"/>
      <c r="O198" s="84"/>
      <c r="P198" s="85"/>
      <c r="Q198" s="86"/>
      <c r="R198"/>
    </row>
    <row r="199" spans="1:18" x14ac:dyDescent="0.25">
      <c r="A199" s="80"/>
      <c r="B199" s="81"/>
      <c r="C199" s="81"/>
      <c r="D199" s="81"/>
      <c r="E199" s="82"/>
      <c r="F199" s="82"/>
      <c r="G199" s="83"/>
      <c r="H199" s="84"/>
      <c r="I199" s="84"/>
      <c r="J199" s="84"/>
      <c r="K199" s="84"/>
      <c r="L199" s="84"/>
      <c r="M199" s="84"/>
      <c r="N199" s="84"/>
      <c r="O199" s="84"/>
      <c r="P199" s="85"/>
      <c r="Q199" s="86"/>
      <c r="R199"/>
    </row>
    <row r="200" spans="1:18" x14ac:dyDescent="0.25">
      <c r="A200" s="80"/>
      <c r="B200" s="81"/>
      <c r="C200" s="81"/>
      <c r="D200" s="81"/>
      <c r="E200" s="82"/>
      <c r="F200" s="82"/>
      <c r="G200" s="83"/>
      <c r="H200"/>
      <c r="I200"/>
      <c r="J200"/>
      <c r="K200"/>
      <c r="L200" s="84"/>
      <c r="M200" s="87"/>
      <c r="N200" s="87"/>
      <c r="O200" s="87"/>
      <c r="P200" s="88"/>
      <c r="Q200" s="86"/>
      <c r="R200"/>
    </row>
    <row r="201" spans="1:18" x14ac:dyDescent="0.25">
      <c r="A201" s="80"/>
      <c r="B201" s="81"/>
      <c r="C201" s="81"/>
      <c r="D201" s="81"/>
      <c r="E201" s="82"/>
      <c r="F201" s="82"/>
      <c r="G201" s="83"/>
      <c r="H201"/>
      <c r="I201"/>
      <c r="J201"/>
      <c r="K201"/>
      <c r="L201" s="84"/>
      <c r="M201" s="87"/>
      <c r="N201" s="87"/>
      <c r="O201" s="87"/>
      <c r="P201" s="88"/>
      <c r="Q201" s="86"/>
      <c r="R201"/>
    </row>
    <row r="202" spans="1:18" x14ac:dyDescent="0.25">
      <c r="A202" s="80"/>
      <c r="B202" s="81"/>
      <c r="C202" s="81"/>
      <c r="D202" s="81"/>
      <c r="E202" s="82"/>
      <c r="F202" s="82"/>
      <c r="G202" s="83"/>
      <c r="H202"/>
      <c r="I202"/>
      <c r="J202"/>
      <c r="K202"/>
      <c r="L202" s="87"/>
      <c r="M202" s="87"/>
      <c r="N202" s="87"/>
      <c r="O202" s="87"/>
      <c r="P202" s="88"/>
      <c r="Q202" s="86"/>
      <c r="R202"/>
    </row>
    <row r="203" spans="1:18" x14ac:dyDescent="0.25">
      <c r="A203" s="80"/>
      <c r="B203" s="81"/>
      <c r="C203" s="81"/>
      <c r="D203" s="81"/>
      <c r="E203" s="82"/>
      <c r="F203" s="82"/>
      <c r="G203" s="83"/>
      <c r="H203"/>
      <c r="I203"/>
      <c r="J203"/>
      <c r="K203"/>
      <c r="L203" s="87"/>
      <c r="M203" s="87"/>
      <c r="N203" s="87"/>
      <c r="O203" s="87"/>
      <c r="P203" s="88"/>
      <c r="Q203" s="86"/>
      <c r="R203"/>
    </row>
    <row r="204" spans="1:18" x14ac:dyDescent="0.25">
      <c r="A204" s="80"/>
      <c r="B204" s="81"/>
      <c r="C204" s="81"/>
      <c r="D204" s="81"/>
      <c r="E204" s="82"/>
      <c r="F204" s="82"/>
      <c r="G204" s="82"/>
      <c r="H204"/>
      <c r="I204"/>
      <c r="J204"/>
      <c r="K204"/>
      <c r="L204" s="87"/>
      <c r="M204" s="87"/>
      <c r="N204" s="87"/>
      <c r="O204" s="87"/>
      <c r="P204" s="88"/>
      <c r="Q204" s="86"/>
      <c r="R204"/>
    </row>
    <row r="205" spans="1:18" x14ac:dyDescent="0.25">
      <c r="A205" s="80"/>
      <c r="B205" s="81"/>
      <c r="C205" s="81"/>
      <c r="D205" s="81"/>
      <c r="E205" s="82"/>
      <c r="F205" s="82"/>
      <c r="G205" s="82"/>
      <c r="H205"/>
      <c r="I205"/>
      <c r="J205"/>
      <c r="K205"/>
      <c r="L205" s="87"/>
      <c r="M205" s="87"/>
      <c r="N205" s="87"/>
      <c r="O205" s="87"/>
      <c r="P205" s="88"/>
      <c r="Q205" s="86"/>
      <c r="R205"/>
    </row>
    <row r="206" spans="1:18" x14ac:dyDescent="0.25">
      <c r="A206" s="80"/>
      <c r="B206" s="81"/>
      <c r="C206" s="81"/>
      <c r="D206" s="81"/>
      <c r="E206" s="82"/>
      <c r="F206" s="82"/>
      <c r="G206" s="82"/>
      <c r="H206"/>
      <c r="I206"/>
      <c r="J206"/>
      <c r="K206"/>
      <c r="L206" s="87"/>
      <c r="M206" s="87"/>
      <c r="N206" s="87"/>
      <c r="O206" s="87"/>
      <c r="P206" s="88"/>
      <c r="Q206" s="86"/>
      <c r="R206"/>
    </row>
    <row r="207" spans="1:18" x14ac:dyDescent="0.25">
      <c r="A207" s="80"/>
      <c r="B207" s="81"/>
      <c r="C207" s="81"/>
      <c r="D207" s="81"/>
      <c r="E207" s="82"/>
      <c r="F207" s="82"/>
      <c r="G207" s="82"/>
      <c r="H207"/>
      <c r="I207"/>
      <c r="J207"/>
      <c r="K207"/>
      <c r="L207" s="87"/>
      <c r="M207" s="87"/>
      <c r="N207" s="87"/>
      <c r="O207" s="87"/>
      <c r="P207" s="88"/>
      <c r="Q207" s="86"/>
      <c r="R207"/>
    </row>
    <row r="208" spans="1:18" x14ac:dyDescent="0.25">
      <c r="A208" s="80"/>
      <c r="B208" s="81"/>
      <c r="C208" s="81"/>
      <c r="D208" s="81"/>
      <c r="E208" s="82"/>
      <c r="F208" s="82"/>
      <c r="G208" s="82"/>
      <c r="H208"/>
      <c r="I208"/>
      <c r="J208"/>
      <c r="K208"/>
      <c r="L208" s="87"/>
      <c r="M208" s="87"/>
      <c r="N208" s="87"/>
      <c r="O208" s="87"/>
      <c r="P208" s="88"/>
      <c r="Q208" s="86"/>
      <c r="R208"/>
    </row>
    <row r="209" spans="1:18" x14ac:dyDescent="0.25">
      <c r="A209" s="80"/>
      <c r="B209" s="81"/>
      <c r="C209" s="81"/>
      <c r="D209" s="81"/>
      <c r="E209" s="82"/>
      <c r="F209" s="82"/>
      <c r="G209" s="82"/>
      <c r="H209"/>
      <c r="I209"/>
      <c r="J209"/>
      <c r="K209"/>
      <c r="L209" s="87"/>
      <c r="M209" s="87"/>
      <c r="N209" s="87"/>
      <c r="O209" s="87"/>
      <c r="P209" s="88"/>
      <c r="Q209" s="86"/>
      <c r="R209"/>
    </row>
    <row r="210" spans="1:18" x14ac:dyDescent="0.25">
      <c r="A210" s="80"/>
      <c r="B210" s="81"/>
      <c r="C210" s="81"/>
      <c r="D210" s="81"/>
      <c r="E210" s="82"/>
      <c r="F210" s="82"/>
      <c r="G210" s="82"/>
      <c r="H210"/>
      <c r="I210"/>
      <c r="J210"/>
      <c r="K210"/>
      <c r="L210" s="87"/>
      <c r="M210" s="87"/>
      <c r="N210" s="87"/>
      <c r="O210" s="87"/>
      <c r="P210" s="88"/>
      <c r="Q210" s="86"/>
      <c r="R210"/>
    </row>
    <row r="211" spans="1:18" x14ac:dyDescent="0.25">
      <c r="A211" s="80"/>
      <c r="B211" s="81"/>
      <c r="C211" s="81"/>
      <c r="D211" s="81"/>
      <c r="E211" s="82"/>
      <c r="F211" s="82"/>
      <c r="G211" s="82"/>
      <c r="H211"/>
      <c r="I211"/>
      <c r="J211"/>
      <c r="K211"/>
      <c r="L211" s="87"/>
      <c r="M211" s="87"/>
      <c r="N211" s="87"/>
      <c r="O211" s="87"/>
      <c r="P211" s="88"/>
      <c r="Q211" s="86"/>
      <c r="R211"/>
    </row>
    <row r="212" spans="1:18" x14ac:dyDescent="0.25">
      <c r="A212" s="80"/>
      <c r="B212" s="81"/>
      <c r="C212" s="81"/>
      <c r="D212" s="81"/>
      <c r="E212" s="82"/>
      <c r="F212" s="82"/>
      <c r="G212" s="82"/>
      <c r="H212"/>
      <c r="I212"/>
      <c r="J212"/>
      <c r="K212"/>
      <c r="L212" s="87"/>
      <c r="M212" s="87"/>
      <c r="N212" s="87"/>
      <c r="O212" s="87"/>
      <c r="P212" s="88"/>
      <c r="Q212" s="86"/>
      <c r="R212"/>
    </row>
    <row r="213" spans="1:18" x14ac:dyDescent="0.25">
      <c r="A213" s="80"/>
      <c r="B213" s="81"/>
      <c r="C213" s="81"/>
      <c r="D213" s="81"/>
      <c r="E213" s="82"/>
      <c r="F213" s="82"/>
      <c r="G213" s="82"/>
      <c r="H213"/>
      <c r="I213"/>
      <c r="J213"/>
      <c r="K213"/>
      <c r="L213" s="87"/>
      <c r="M213" s="87"/>
      <c r="N213" s="87"/>
      <c r="O213" s="87"/>
      <c r="P213" s="88"/>
      <c r="Q213" s="86"/>
      <c r="R213"/>
    </row>
    <row r="214" spans="1:18" x14ac:dyDescent="0.25">
      <c r="A214" s="80"/>
      <c r="B214" s="81"/>
      <c r="C214" s="81"/>
      <c r="D214" s="81"/>
      <c r="E214" s="82"/>
      <c r="F214" s="82"/>
      <c r="G214" s="82"/>
      <c r="H214"/>
      <c r="I214"/>
      <c r="J214"/>
      <c r="K214"/>
      <c r="L214" s="87"/>
      <c r="M214" s="87"/>
      <c r="N214" s="87"/>
      <c r="O214" s="87"/>
      <c r="P214" s="88"/>
      <c r="Q214" s="86"/>
      <c r="R214"/>
    </row>
    <row r="215" spans="1:18" x14ac:dyDescent="0.25">
      <c r="A215" s="80"/>
      <c r="B215" s="81"/>
      <c r="C215" s="81"/>
      <c r="D215" s="81"/>
      <c r="E215" s="82"/>
      <c r="F215" s="82"/>
      <c r="G215" s="82"/>
      <c r="H215"/>
      <c r="I215"/>
      <c r="J215"/>
      <c r="K215"/>
      <c r="L215" s="87"/>
      <c r="M215" s="87"/>
      <c r="N215" s="87"/>
      <c r="O215" s="87"/>
      <c r="P215" s="88"/>
      <c r="Q215" s="86"/>
      <c r="R215"/>
    </row>
    <row r="216" spans="1:18" x14ac:dyDescent="0.25">
      <c r="A216" s="80"/>
      <c r="B216" s="81"/>
      <c r="C216" s="81"/>
      <c r="D216" s="81"/>
      <c r="E216" s="82"/>
      <c r="F216" s="82"/>
      <c r="G216" s="82"/>
      <c r="H216"/>
      <c r="I216"/>
      <c r="J216"/>
      <c r="K216"/>
      <c r="L216" s="87"/>
      <c r="M216" s="87"/>
      <c r="N216" s="87"/>
      <c r="O216" s="87"/>
      <c r="P216" s="88"/>
      <c r="Q216" s="86"/>
      <c r="R216"/>
    </row>
    <row r="217" spans="1:18" x14ac:dyDescent="0.25">
      <c r="A217" s="80"/>
      <c r="B217" s="81"/>
      <c r="C217" s="81"/>
      <c r="D217" s="81"/>
      <c r="E217" s="82"/>
      <c r="F217" s="82"/>
      <c r="G217" s="82"/>
      <c r="H217"/>
      <c r="I217"/>
      <c r="J217"/>
      <c r="K217"/>
      <c r="L217" s="87"/>
      <c r="M217" s="87"/>
      <c r="N217" s="87"/>
      <c r="O217" s="87"/>
      <c r="P217" s="88"/>
      <c r="Q217" s="86"/>
      <c r="R217"/>
    </row>
    <row r="218" spans="1:18" x14ac:dyDescent="0.25">
      <c r="A218" s="80"/>
      <c r="B218" s="81"/>
      <c r="C218" s="81"/>
      <c r="D218" s="81"/>
      <c r="E218" s="82"/>
      <c r="F218" s="82"/>
      <c r="G218" s="82"/>
      <c r="H218"/>
      <c r="I218"/>
      <c r="J218"/>
      <c r="K218"/>
      <c r="L218"/>
      <c r="M218"/>
      <c r="N218"/>
      <c r="O218"/>
      <c r="P218" s="88"/>
      <c r="Q218" s="86"/>
      <c r="R218"/>
    </row>
    <row r="219" spans="1:18" x14ac:dyDescent="0.25">
      <c r="A219" s="80"/>
      <c r="B219" s="81"/>
      <c r="C219" s="81"/>
      <c r="D219" s="81"/>
      <c r="E219" s="82"/>
      <c r="F219" s="82"/>
      <c r="G219" s="82"/>
      <c r="H219"/>
      <c r="I219"/>
      <c r="J219"/>
      <c r="K219"/>
      <c r="L219"/>
      <c r="M219"/>
      <c r="N219"/>
      <c r="O219"/>
      <c r="P219" s="88"/>
      <c r="Q219" s="86"/>
      <c r="R219"/>
    </row>
    <row r="220" spans="1:18" x14ac:dyDescent="0.25">
      <c r="A220" s="80"/>
      <c r="B220" s="81"/>
      <c r="C220" s="81"/>
      <c r="D220" s="81"/>
      <c r="E220" s="82"/>
      <c r="F220" s="82"/>
      <c r="G220" s="82"/>
      <c r="H220"/>
      <c r="I220"/>
      <c r="J220"/>
      <c r="K220"/>
      <c r="L220"/>
      <c r="M220"/>
      <c r="N220"/>
      <c r="O220"/>
      <c r="P220" s="88"/>
      <c r="Q220" s="86"/>
      <c r="R220"/>
    </row>
    <row r="221" spans="1:18" x14ac:dyDescent="0.25">
      <c r="A221" s="80"/>
      <c r="B221" s="81"/>
      <c r="C221" s="81"/>
      <c r="D221" s="81"/>
      <c r="E221" s="82"/>
      <c r="F221" s="82"/>
      <c r="G221" s="82"/>
      <c r="H221"/>
      <c r="I221"/>
      <c r="J221"/>
      <c r="K221"/>
      <c r="L221"/>
      <c r="M221"/>
      <c r="N221"/>
      <c r="O221"/>
      <c r="P221" s="88"/>
      <c r="Q221" s="86"/>
      <c r="R221"/>
    </row>
    <row r="222" spans="1:18" x14ac:dyDescent="0.25">
      <c r="A222" s="80"/>
      <c r="B222" s="81"/>
      <c r="C222" s="81"/>
      <c r="D222" s="81"/>
      <c r="E222" s="82"/>
      <c r="F222" s="82"/>
      <c r="G222" s="82"/>
      <c r="H222"/>
      <c r="I222"/>
      <c r="J222"/>
      <c r="K222"/>
      <c r="L222"/>
      <c r="M222"/>
      <c r="N222"/>
      <c r="O222"/>
      <c r="P222" s="88"/>
      <c r="Q222" s="86"/>
      <c r="R222"/>
    </row>
    <row r="223" spans="1:18" x14ac:dyDescent="0.25">
      <c r="A223" s="80"/>
      <c r="B223" s="81"/>
      <c r="C223" s="81"/>
      <c r="D223" s="81"/>
      <c r="E223" s="82"/>
      <c r="F223" s="82"/>
      <c r="G223" s="82"/>
      <c r="H223"/>
      <c r="I223"/>
      <c r="J223"/>
      <c r="K223"/>
      <c r="L223"/>
      <c r="M223"/>
      <c r="N223"/>
      <c r="O223"/>
      <c r="P223" s="88"/>
      <c r="Q223" s="86"/>
      <c r="R223"/>
    </row>
    <row r="224" spans="1:18" x14ac:dyDescent="0.25">
      <c r="A224" s="80"/>
      <c r="B224" s="81"/>
      <c r="C224" s="81"/>
      <c r="D224" s="81"/>
      <c r="E224" s="82"/>
      <c r="F224" s="82"/>
      <c r="G224" s="82"/>
      <c r="H224"/>
      <c r="I224"/>
      <c r="J224"/>
      <c r="K224"/>
      <c r="L224"/>
      <c r="M224"/>
      <c r="N224"/>
      <c r="O224"/>
      <c r="P224" s="88"/>
      <c r="Q224" s="86"/>
      <c r="R224"/>
    </row>
    <row r="225" spans="1:18" x14ac:dyDescent="0.25">
      <c r="A225" s="80"/>
      <c r="B225" s="81"/>
      <c r="C225" s="81"/>
      <c r="D225" s="81"/>
      <c r="E225" s="82"/>
      <c r="F225" s="82"/>
      <c r="G225" s="82"/>
      <c r="H225"/>
      <c r="I225"/>
      <c r="J225"/>
      <c r="K225"/>
      <c r="L225"/>
      <c r="M225"/>
      <c r="N225"/>
      <c r="O225"/>
      <c r="P225" s="88"/>
      <c r="Q225" s="86"/>
      <c r="R225"/>
    </row>
    <row r="226" spans="1:18" x14ac:dyDescent="0.25">
      <c r="A226" s="80"/>
      <c r="B226" s="81"/>
      <c r="C226" s="81"/>
      <c r="D226" s="81"/>
      <c r="E226" s="82"/>
      <c r="F226" s="82"/>
      <c r="G226" s="82"/>
      <c r="H226"/>
      <c r="I226"/>
      <c r="J226"/>
      <c r="K226"/>
      <c r="L226"/>
      <c r="M226"/>
      <c r="N226"/>
      <c r="O226"/>
      <c r="P226" s="88"/>
      <c r="Q226" s="86"/>
      <c r="R226"/>
    </row>
    <row r="227" spans="1:18" x14ac:dyDescent="0.25">
      <c r="A227" s="80"/>
      <c r="B227" s="81"/>
      <c r="C227" s="81"/>
      <c r="D227" s="81"/>
      <c r="E227" s="82"/>
      <c r="F227" s="82"/>
      <c r="G227" s="82"/>
      <c r="H227"/>
      <c r="I227"/>
      <c r="J227"/>
      <c r="K227"/>
      <c r="L227"/>
      <c r="M227"/>
      <c r="N227"/>
      <c r="O227"/>
      <c r="P227" s="88"/>
      <c r="Q227" s="86"/>
      <c r="R227"/>
    </row>
    <row r="228" spans="1:18" x14ac:dyDescent="0.25">
      <c r="A228" s="80"/>
      <c r="B228" s="81"/>
      <c r="C228" s="81"/>
      <c r="D228" s="81"/>
      <c r="E228" s="82"/>
      <c r="F228" s="82"/>
      <c r="G228" s="82"/>
      <c r="H228"/>
      <c r="I228"/>
      <c r="J228"/>
      <c r="K228"/>
      <c r="L228"/>
      <c r="M228"/>
      <c r="N228"/>
      <c r="O228"/>
      <c r="P228" s="88"/>
      <c r="Q228" s="86"/>
      <c r="R228"/>
    </row>
    <row r="229" spans="1:18" x14ac:dyDescent="0.25">
      <c r="A229" s="80"/>
      <c r="B229" s="81"/>
      <c r="C229" s="81"/>
      <c r="D229" s="81"/>
      <c r="E229" s="82"/>
      <c r="F229" s="82"/>
      <c r="G229" s="82"/>
      <c r="H229"/>
      <c r="I229"/>
      <c r="J229"/>
      <c r="K229"/>
      <c r="L229"/>
      <c r="M229"/>
      <c r="N229"/>
      <c r="O229"/>
      <c r="P229" s="88"/>
      <c r="Q229" s="86"/>
      <c r="R229"/>
    </row>
    <row r="230" spans="1:18" x14ac:dyDescent="0.25">
      <c r="A230" s="80"/>
      <c r="B230" s="81"/>
      <c r="C230" s="81"/>
      <c r="D230" s="81"/>
      <c r="E230" s="82"/>
      <c r="F230" s="82"/>
      <c r="G230" s="82"/>
      <c r="H230"/>
      <c r="I230"/>
      <c r="J230"/>
      <c r="K230"/>
      <c r="L230"/>
      <c r="M230"/>
      <c r="N230"/>
      <c r="O230"/>
      <c r="P230" s="88"/>
      <c r="Q230" s="86"/>
      <c r="R230"/>
    </row>
    <row r="231" spans="1:18" x14ac:dyDescent="0.25">
      <c r="A231" s="80"/>
      <c r="B231" s="81"/>
      <c r="C231" s="81"/>
      <c r="D231" s="81"/>
      <c r="E231" s="82"/>
      <c r="F231" s="82"/>
      <c r="G231" s="82"/>
      <c r="H231"/>
      <c r="I231"/>
      <c r="J231"/>
      <c r="K231"/>
      <c r="L231"/>
      <c r="M231"/>
      <c r="N231"/>
      <c r="O231"/>
      <c r="P231" s="88"/>
      <c r="Q231" s="86"/>
      <c r="R231"/>
    </row>
    <row r="232" spans="1:18" x14ac:dyDescent="0.25">
      <c r="A232" s="80"/>
      <c r="B232" s="81"/>
      <c r="C232" s="81"/>
      <c r="D232" s="81"/>
      <c r="E232" s="82"/>
      <c r="F232" s="82"/>
      <c r="G232" s="82"/>
      <c r="H232"/>
      <c r="I232"/>
      <c r="J232"/>
      <c r="K232"/>
      <c r="L232"/>
      <c r="M232"/>
      <c r="N232"/>
      <c r="O232"/>
      <c r="P232" s="88"/>
      <c r="Q232" s="86"/>
      <c r="R232"/>
    </row>
    <row r="233" spans="1:18" x14ac:dyDescent="0.25">
      <c r="A233" s="80"/>
      <c r="B233" s="81"/>
      <c r="C233" s="81"/>
      <c r="D233" s="81"/>
      <c r="E233" s="82"/>
      <c r="F233" s="82"/>
      <c r="G233" s="82"/>
      <c r="H233"/>
      <c r="I233"/>
      <c r="J233"/>
      <c r="K233"/>
      <c r="L233"/>
      <c r="M233"/>
      <c r="N233"/>
      <c r="O233"/>
      <c r="P233" s="88"/>
      <c r="Q233" s="86"/>
      <c r="R233"/>
    </row>
    <row r="234" spans="1:18" x14ac:dyDescent="0.25">
      <c r="A234" s="80"/>
      <c r="B234" s="81"/>
      <c r="C234" s="81"/>
      <c r="D234" s="81"/>
      <c r="E234" s="82"/>
      <c r="F234" s="82"/>
      <c r="G234" s="82"/>
      <c r="H234"/>
      <c r="I234"/>
      <c r="J234"/>
      <c r="K234"/>
      <c r="L234"/>
      <c r="M234"/>
      <c r="N234"/>
      <c r="O234"/>
      <c r="P234" s="88"/>
      <c r="Q234" s="86"/>
      <c r="R234"/>
    </row>
    <row r="235" spans="1:18" x14ac:dyDescent="0.25">
      <c r="A235" s="80"/>
      <c r="B235" s="81"/>
      <c r="C235" s="81"/>
      <c r="D235" s="81"/>
      <c r="E235" s="82"/>
      <c r="F235" s="82"/>
      <c r="G235" s="82"/>
      <c r="H235"/>
      <c r="I235"/>
      <c r="J235"/>
      <c r="K235"/>
      <c r="L235"/>
      <c r="M235"/>
      <c r="N235"/>
      <c r="O235"/>
      <c r="P235" s="88"/>
      <c r="Q235" s="86"/>
      <c r="R235"/>
    </row>
    <row r="236" spans="1:18" x14ac:dyDescent="0.25">
      <c r="A236" s="80"/>
      <c r="B236" s="81"/>
      <c r="C236" s="81"/>
      <c r="D236" s="81"/>
      <c r="E236" s="82"/>
      <c r="F236" s="82"/>
      <c r="G236" s="82"/>
      <c r="H236"/>
      <c r="I236"/>
      <c r="J236"/>
      <c r="K236"/>
      <c r="L236"/>
      <c r="M236"/>
      <c r="N236"/>
      <c r="O236"/>
      <c r="P236" s="88"/>
      <c r="Q236" s="86"/>
      <c r="R236"/>
    </row>
    <row r="237" spans="1:18" x14ac:dyDescent="0.25">
      <c r="A237" s="80"/>
      <c r="B237" s="81"/>
      <c r="C237" s="81"/>
      <c r="D237" s="81"/>
      <c r="E237" s="82"/>
      <c r="F237" s="82"/>
      <c r="G237" s="82"/>
      <c r="H237"/>
      <c r="I237"/>
      <c r="J237"/>
      <c r="K237"/>
      <c r="L237"/>
      <c r="M237"/>
      <c r="N237"/>
      <c r="O237"/>
      <c r="P237" s="88"/>
      <c r="Q237" s="86"/>
      <c r="R237"/>
    </row>
    <row r="238" spans="1:18" x14ac:dyDescent="0.25">
      <c r="A238" s="80"/>
      <c r="B238" s="81"/>
      <c r="C238" s="81"/>
      <c r="D238" s="81"/>
      <c r="E238" s="82"/>
      <c r="F238" s="82"/>
      <c r="G238" s="82"/>
      <c r="H238"/>
      <c r="I238"/>
      <c r="J238"/>
      <c r="K238"/>
      <c r="L238"/>
      <c r="M238"/>
      <c r="N238"/>
      <c r="O238"/>
      <c r="P238" s="88"/>
      <c r="Q238" s="86"/>
      <c r="R238"/>
    </row>
    <row r="239" spans="1:18" x14ac:dyDescent="0.25">
      <c r="A239" s="80"/>
      <c r="B239" s="81"/>
      <c r="C239" s="81"/>
      <c r="D239" s="81"/>
      <c r="E239" s="82"/>
      <c r="F239" s="82"/>
      <c r="G239" s="82"/>
      <c r="H239"/>
      <c r="I239"/>
      <c r="J239"/>
      <c r="K239"/>
      <c r="L239"/>
      <c r="M239"/>
      <c r="N239"/>
      <c r="O239"/>
      <c r="P239" s="88"/>
      <c r="Q239" s="86"/>
      <c r="R239"/>
    </row>
    <row r="240" spans="1:18" x14ac:dyDescent="0.25">
      <c r="A240" s="80"/>
      <c r="B240" s="81"/>
      <c r="C240" s="81"/>
      <c r="D240" s="81"/>
      <c r="E240" s="82"/>
      <c r="F240" s="82"/>
      <c r="G240" s="82"/>
      <c r="H240"/>
      <c r="I240"/>
      <c r="J240"/>
      <c r="K240"/>
      <c r="L240"/>
      <c r="M240"/>
      <c r="N240"/>
      <c r="O240"/>
      <c r="P240" s="88"/>
      <c r="Q240" s="86"/>
      <c r="R240"/>
    </row>
    <row r="241" spans="1:18" x14ac:dyDescent="0.25">
      <c r="A241" s="80"/>
      <c r="B241" s="81"/>
      <c r="C241" s="81"/>
      <c r="D241" s="81"/>
      <c r="E241" s="82"/>
      <c r="F241" s="82"/>
      <c r="G241" s="82"/>
      <c r="H241"/>
      <c r="I241"/>
      <c r="J241"/>
      <c r="K241"/>
      <c r="L241"/>
      <c r="M241"/>
      <c r="N241"/>
      <c r="O241"/>
      <c r="P241" s="88"/>
      <c r="Q241"/>
      <c r="R241"/>
    </row>
    <row r="242" spans="1:18" x14ac:dyDescent="0.25">
      <c r="A242" s="80"/>
      <c r="B242" s="81"/>
      <c r="C242" s="81"/>
      <c r="D242" s="81"/>
      <c r="E242" s="82"/>
      <c r="F242" s="82"/>
      <c r="G242" s="82"/>
      <c r="H242"/>
      <c r="I242"/>
      <c r="J242"/>
      <c r="K242"/>
      <c r="L242"/>
      <c r="M242"/>
      <c r="N242"/>
      <c r="O242"/>
      <c r="P242" s="88"/>
      <c r="Q242"/>
      <c r="R242"/>
    </row>
    <row r="243" spans="1:18" x14ac:dyDescent="0.25">
      <c r="A243" s="80"/>
      <c r="B243" s="81"/>
      <c r="C243" s="81"/>
      <c r="D243" s="81"/>
      <c r="E243" s="82"/>
      <c r="F243" s="82"/>
      <c r="G243" s="82"/>
      <c r="H243"/>
      <c r="I243"/>
      <c r="J243"/>
      <c r="K243"/>
      <c r="L243"/>
      <c r="M243"/>
      <c r="N243"/>
      <c r="O243"/>
      <c r="P243" s="88"/>
      <c r="Q243"/>
      <c r="R243"/>
    </row>
    <row r="244" spans="1:18" x14ac:dyDescent="0.25">
      <c r="A244" s="80"/>
      <c r="B244" s="81"/>
      <c r="C244" s="81"/>
      <c r="D244" s="81"/>
      <c r="E244" s="82"/>
      <c r="F244" s="82"/>
      <c r="G244" s="82"/>
      <c r="H244"/>
      <c r="I244"/>
      <c r="J244"/>
      <c r="K244"/>
      <c r="L244"/>
      <c r="M244"/>
      <c r="N244"/>
      <c r="O244"/>
      <c r="P244" s="88"/>
      <c r="Q244"/>
      <c r="R244"/>
    </row>
    <row r="245" spans="1:18" x14ac:dyDescent="0.25">
      <c r="A245" s="80"/>
      <c r="B245" s="81"/>
      <c r="C245" s="81"/>
      <c r="D245" s="81"/>
      <c r="E245" s="82"/>
      <c r="F245" s="82"/>
      <c r="G245" s="82"/>
      <c r="H245"/>
      <c r="I245"/>
      <c r="J245"/>
      <c r="K245"/>
      <c r="L245"/>
      <c r="M245"/>
      <c r="N245"/>
      <c r="O245"/>
      <c r="P245" s="88"/>
      <c r="Q245"/>
      <c r="R245"/>
    </row>
    <row r="246" spans="1:18" x14ac:dyDescent="0.25">
      <c r="A246" s="80"/>
      <c r="B246" s="81"/>
      <c r="C246" s="81"/>
      <c r="D246" s="81"/>
      <c r="E246" s="82"/>
      <c r="F246" s="82"/>
      <c r="G246" s="82"/>
      <c r="H246"/>
      <c r="I246"/>
      <c r="J246"/>
      <c r="K246"/>
      <c r="L246"/>
      <c r="M246"/>
      <c r="N246"/>
      <c r="O246"/>
      <c r="P246" s="88"/>
      <c r="Q246"/>
      <c r="R246"/>
    </row>
    <row r="247" spans="1:18" x14ac:dyDescent="0.25">
      <c r="A247" s="80"/>
      <c r="B247" s="81"/>
      <c r="C247" s="81"/>
      <c r="D247" s="81"/>
      <c r="E247" s="82"/>
      <c r="F247" s="82"/>
      <c r="G247" s="82"/>
      <c r="H247"/>
      <c r="I247"/>
      <c r="J247"/>
      <c r="K247"/>
      <c r="L247"/>
      <c r="M247"/>
      <c r="N247"/>
      <c r="O247"/>
      <c r="P247" s="88"/>
      <c r="Q247"/>
      <c r="R247"/>
    </row>
    <row r="248" spans="1:18" x14ac:dyDescent="0.25">
      <c r="A248" s="80"/>
      <c r="B248" s="81"/>
      <c r="C248" s="81"/>
      <c r="D248" s="81"/>
      <c r="E248" s="82"/>
      <c r="F248" s="82"/>
      <c r="G248" s="82"/>
      <c r="H248"/>
      <c r="I248"/>
      <c r="J248"/>
      <c r="K248"/>
      <c r="L248"/>
      <c r="M248"/>
      <c r="N248"/>
      <c r="O248"/>
      <c r="P248" s="88"/>
      <c r="Q248"/>
      <c r="R248"/>
    </row>
    <row r="249" spans="1:18" x14ac:dyDescent="0.25">
      <c r="A249" s="80"/>
      <c r="B249" s="81"/>
      <c r="C249" s="81"/>
      <c r="D249" s="81"/>
      <c r="E249" s="82"/>
      <c r="F249" s="82"/>
      <c r="G249" s="82"/>
      <c r="H249"/>
      <c r="I249"/>
      <c r="J249"/>
      <c r="K249"/>
      <c r="L249"/>
      <c r="M249"/>
      <c r="N249"/>
      <c r="O249"/>
      <c r="P249" s="88"/>
      <c r="Q249"/>
      <c r="R249"/>
    </row>
    <row r="250" spans="1:18" x14ac:dyDescent="0.25">
      <c r="A250" s="80"/>
      <c r="B250" s="81"/>
      <c r="C250" s="81"/>
      <c r="D250" s="81"/>
      <c r="E250" s="82"/>
      <c r="F250" s="82"/>
      <c r="G250" s="82"/>
      <c r="H250"/>
      <c r="I250"/>
      <c r="J250"/>
      <c r="K250"/>
      <c r="L250"/>
      <c r="M250"/>
      <c r="N250"/>
      <c r="O250"/>
      <c r="P250" s="88"/>
      <c r="Q250"/>
      <c r="R250"/>
    </row>
    <row r="251" spans="1:18" x14ac:dyDescent="0.25">
      <c r="A251" s="80"/>
      <c r="B251" s="81"/>
      <c r="C251" s="81"/>
      <c r="D251" s="81"/>
      <c r="E251" s="82"/>
      <c r="F251" s="82"/>
      <c r="G251" s="82"/>
      <c r="H251"/>
      <c r="I251"/>
      <c r="J251"/>
      <c r="K251"/>
      <c r="L251"/>
      <c r="M251"/>
      <c r="N251"/>
      <c r="O251"/>
      <c r="P251" s="88"/>
      <c r="Q251"/>
      <c r="R251"/>
    </row>
    <row r="252" spans="1:18" x14ac:dyDescent="0.25">
      <c r="A252" s="80"/>
      <c r="B252" s="81"/>
      <c r="C252" s="81"/>
      <c r="D252" s="81"/>
      <c r="E252" s="82"/>
      <c r="F252" s="82"/>
      <c r="G252" s="82"/>
      <c r="H252"/>
      <c r="I252"/>
      <c r="J252"/>
      <c r="K252"/>
      <c r="L252"/>
      <c r="M252"/>
      <c r="N252"/>
      <c r="O252"/>
      <c r="P252" s="88"/>
      <c r="Q252"/>
      <c r="R252"/>
    </row>
    <row r="253" spans="1:18" x14ac:dyDescent="0.25">
      <c r="A253" s="80"/>
      <c r="B253" s="81"/>
      <c r="C253" s="81"/>
      <c r="D253" s="81"/>
      <c r="E253" s="82"/>
      <c r="F253" s="82"/>
      <c r="G253" s="82"/>
      <c r="H253"/>
      <c r="I253"/>
      <c r="J253"/>
      <c r="K253"/>
      <c r="L253"/>
      <c r="M253"/>
      <c r="N253"/>
      <c r="O253"/>
      <c r="P253" s="88"/>
      <c r="Q253"/>
      <c r="R253"/>
    </row>
    <row r="254" spans="1:18" x14ac:dyDescent="0.25">
      <c r="A254" s="80"/>
      <c r="B254" s="81"/>
      <c r="C254" s="81"/>
      <c r="D254" s="81"/>
      <c r="E254" s="82"/>
      <c r="F254" s="82"/>
      <c r="G254" s="82"/>
      <c r="H254"/>
      <c r="I254"/>
      <c r="J254"/>
      <c r="K254"/>
      <c r="L254"/>
      <c r="M254"/>
      <c r="N254"/>
      <c r="O254"/>
      <c r="P254" s="88"/>
      <c r="Q254"/>
      <c r="R254"/>
    </row>
    <row r="255" spans="1:18" x14ac:dyDescent="0.25">
      <c r="A255" s="80"/>
      <c r="B255" s="81"/>
      <c r="C255" s="81"/>
      <c r="D255" s="81"/>
      <c r="E255" s="82"/>
      <c r="F255" s="82"/>
      <c r="G255" s="82"/>
      <c r="H255"/>
      <c r="I255"/>
      <c r="J255"/>
      <c r="K255"/>
      <c r="L255"/>
      <c r="M255"/>
      <c r="N255"/>
      <c r="O255"/>
      <c r="P255" s="88"/>
      <c r="Q255"/>
      <c r="R255"/>
    </row>
    <row r="256" spans="1:18" x14ac:dyDescent="0.25">
      <c r="A256" s="80"/>
      <c r="B256" s="81"/>
      <c r="C256" s="81"/>
      <c r="D256" s="81"/>
      <c r="E256" s="82"/>
      <c r="F256" s="82"/>
      <c r="G256" s="82"/>
      <c r="H256"/>
      <c r="I256"/>
      <c r="J256"/>
      <c r="K256"/>
      <c r="L256"/>
      <c r="M256"/>
      <c r="N256"/>
      <c r="O256"/>
      <c r="P256" s="88"/>
      <c r="Q256"/>
      <c r="R256"/>
    </row>
    <row r="257" spans="1:18" x14ac:dyDescent="0.25">
      <c r="A257" s="80"/>
      <c r="B257" s="81"/>
      <c r="C257" s="81"/>
      <c r="D257" s="81"/>
      <c r="E257" s="82"/>
      <c r="F257" s="82"/>
      <c r="G257" s="82"/>
      <c r="H257"/>
      <c r="I257"/>
      <c r="J257"/>
      <c r="K257"/>
      <c r="L257"/>
      <c r="M257"/>
      <c r="N257"/>
      <c r="O257"/>
      <c r="P257" s="88"/>
      <c r="Q257"/>
      <c r="R257"/>
    </row>
    <row r="258" spans="1:18" x14ac:dyDescent="0.25">
      <c r="A258" s="80"/>
      <c r="B258" s="81"/>
      <c r="C258" s="81"/>
      <c r="D258" s="81"/>
      <c r="E258" s="82"/>
      <c r="F258" s="82"/>
      <c r="G258" s="82"/>
      <c r="H258"/>
      <c r="I258"/>
      <c r="J258"/>
      <c r="K258"/>
      <c r="L258"/>
      <c r="M258"/>
      <c r="N258"/>
      <c r="O258"/>
      <c r="P258" s="88"/>
      <c r="Q258"/>
      <c r="R258"/>
    </row>
    <row r="259" spans="1:18" x14ac:dyDescent="0.25">
      <c r="A259" s="80"/>
      <c r="B259" s="81"/>
      <c r="C259" s="81"/>
      <c r="D259" s="81"/>
      <c r="E259" s="82"/>
      <c r="F259" s="82"/>
      <c r="G259" s="82"/>
      <c r="H259"/>
      <c r="I259"/>
      <c r="J259"/>
      <c r="K259"/>
      <c r="L259"/>
      <c r="M259"/>
      <c r="N259"/>
      <c r="O259"/>
      <c r="P259" s="88"/>
      <c r="Q259"/>
      <c r="R259"/>
    </row>
    <row r="260" spans="1:18" x14ac:dyDescent="0.25">
      <c r="A260" s="80"/>
      <c r="B260" s="81"/>
      <c r="C260" s="81"/>
      <c r="D260" s="81"/>
      <c r="E260"/>
      <c r="F260"/>
      <c r="G260"/>
      <c r="H260"/>
      <c r="I260"/>
      <c r="J260"/>
      <c r="K260"/>
      <c r="L260"/>
      <c r="M260"/>
      <c r="N260"/>
      <c r="O260"/>
      <c r="P260" s="88"/>
      <c r="Q260"/>
      <c r="R260"/>
    </row>
    <row r="261" spans="1:18" x14ac:dyDescent="0.25">
      <c r="A261" s="80"/>
      <c r="B261" s="81"/>
      <c r="C261" s="81"/>
      <c r="D261" s="81"/>
      <c r="E261"/>
      <c r="F261"/>
      <c r="G261"/>
      <c r="H261"/>
      <c r="I261"/>
      <c r="J261"/>
      <c r="K261"/>
      <c r="L261"/>
      <c r="M261"/>
      <c r="N261"/>
      <c r="O261"/>
      <c r="P261" s="88"/>
      <c r="Q261"/>
      <c r="R261"/>
    </row>
    <row r="262" spans="1:18" x14ac:dyDescent="0.25">
      <c r="A262" s="80"/>
      <c r="B262" s="81"/>
      <c r="C262" s="81"/>
      <c r="D262" s="81"/>
      <c r="E262"/>
      <c r="F262"/>
      <c r="G262"/>
      <c r="H262"/>
      <c r="I262"/>
      <c r="J262"/>
      <c r="K262"/>
      <c r="L262"/>
      <c r="M262"/>
      <c r="N262"/>
      <c r="O262"/>
      <c r="P262" s="88"/>
      <c r="Q262"/>
      <c r="R262"/>
    </row>
    <row r="263" spans="1:18" x14ac:dyDescent="0.25">
      <c r="A263" s="80"/>
      <c r="B263" s="81"/>
      <c r="C263" s="81"/>
      <c r="D263" s="81"/>
      <c r="E263"/>
      <c r="F263"/>
      <c r="G263"/>
      <c r="H263"/>
      <c r="I263"/>
      <c r="J263"/>
      <c r="K263"/>
      <c r="L263"/>
      <c r="M263"/>
      <c r="N263"/>
      <c r="O263"/>
      <c r="P263" s="88"/>
      <c r="Q263"/>
      <c r="R263"/>
    </row>
    <row r="264" spans="1:18" x14ac:dyDescent="0.25">
      <c r="A264" s="80"/>
      <c r="B264" s="81"/>
      <c r="C264" s="81"/>
      <c r="D264" s="81"/>
      <c r="E264"/>
      <c r="F264"/>
      <c r="G264"/>
      <c r="H264"/>
      <c r="I264"/>
      <c r="J264"/>
      <c r="K264"/>
      <c r="L264"/>
      <c r="M264"/>
      <c r="N264"/>
      <c r="O264"/>
      <c r="P264" s="88"/>
      <c r="Q264"/>
      <c r="R264"/>
    </row>
    <row r="265" spans="1:18" x14ac:dyDescent="0.25">
      <c r="A265" s="80"/>
      <c r="B265" s="81"/>
      <c r="C265" s="81"/>
      <c r="D265" s="81"/>
      <c r="E265"/>
      <c r="F265"/>
      <c r="G265"/>
      <c r="H265"/>
      <c r="I265"/>
      <c r="J265"/>
      <c r="K265"/>
      <c r="L265"/>
      <c r="M265"/>
      <c r="N265"/>
      <c r="O265"/>
      <c r="P265" s="88"/>
      <c r="Q265"/>
      <c r="R265"/>
    </row>
    <row r="266" spans="1:18" x14ac:dyDescent="0.25">
      <c r="A266" s="80"/>
      <c r="B266" s="81"/>
      <c r="C266" s="81"/>
      <c r="D266" s="81"/>
      <c r="E266"/>
      <c r="F266"/>
      <c r="G266"/>
      <c r="H266"/>
      <c r="I266"/>
      <c r="J266"/>
      <c r="K266"/>
      <c r="L266"/>
      <c r="M266"/>
      <c r="N266"/>
      <c r="O266"/>
      <c r="P266" s="88"/>
      <c r="Q266"/>
      <c r="R266"/>
    </row>
    <row r="267" spans="1:18" x14ac:dyDescent="0.25">
      <c r="A267" s="80"/>
      <c r="B267" s="81"/>
      <c r="C267" s="81"/>
      <c r="D267" s="81"/>
      <c r="E267"/>
      <c r="F267"/>
      <c r="G267"/>
      <c r="H267"/>
      <c r="I267"/>
      <c r="J267"/>
      <c r="K267"/>
      <c r="L267"/>
      <c r="M267"/>
      <c r="N267"/>
      <c r="O267"/>
      <c r="P267" s="88"/>
      <c r="Q267"/>
      <c r="R267"/>
    </row>
    <row r="268" spans="1:18" x14ac:dyDescent="0.25">
      <c r="A268" s="80"/>
      <c r="B268" s="81"/>
      <c r="C268" s="81"/>
      <c r="D268" s="81"/>
      <c r="E268"/>
      <c r="F268"/>
      <c r="G268"/>
      <c r="H268"/>
      <c r="I268"/>
      <c r="J268"/>
      <c r="K268"/>
      <c r="L268"/>
      <c r="M268"/>
      <c r="N268"/>
      <c r="O268"/>
      <c r="P268" s="88"/>
      <c r="Q268"/>
      <c r="R268"/>
    </row>
    <row r="269" spans="1:18" x14ac:dyDescent="0.25">
      <c r="A269" s="80"/>
      <c r="B269" s="81"/>
      <c r="C269" s="81"/>
      <c r="D269" s="81"/>
      <c r="E269"/>
      <c r="F269"/>
      <c r="G269"/>
      <c r="H269"/>
      <c r="I269"/>
      <c r="J269"/>
      <c r="K269"/>
      <c r="L269"/>
      <c r="M269"/>
      <c r="N269"/>
      <c r="O269"/>
      <c r="P269" s="88"/>
      <c r="Q269"/>
      <c r="R269"/>
    </row>
    <row r="270" spans="1:18" x14ac:dyDescent="0.25">
      <c r="A270" s="80"/>
      <c r="B270" s="81"/>
      <c r="C270" s="81"/>
      <c r="D270" s="81"/>
      <c r="E270"/>
      <c r="F270"/>
      <c r="G270"/>
      <c r="H270"/>
      <c r="I270"/>
      <c r="J270"/>
      <c r="K270"/>
      <c r="L270"/>
      <c r="M270"/>
      <c r="N270"/>
      <c r="O270"/>
      <c r="P270" s="88"/>
      <c r="Q270"/>
      <c r="R270"/>
    </row>
    <row r="271" spans="1:18" x14ac:dyDescent="0.25">
      <c r="A271" s="80"/>
      <c r="B271" s="81"/>
      <c r="C271" s="81"/>
      <c r="D271" s="81"/>
      <c r="E271"/>
      <c r="F271"/>
      <c r="G271"/>
      <c r="H271"/>
      <c r="I271"/>
      <c r="J271"/>
      <c r="K271"/>
      <c r="L271"/>
      <c r="M271"/>
      <c r="N271"/>
      <c r="O271"/>
      <c r="P271" s="88"/>
      <c r="Q271"/>
      <c r="R271"/>
    </row>
    <row r="272" spans="1:18" x14ac:dyDescent="0.25">
      <c r="A272" s="80"/>
      <c r="B272" s="81"/>
      <c r="C272" s="81"/>
      <c r="D272" s="81"/>
      <c r="E272"/>
      <c r="F272"/>
      <c r="G272"/>
      <c r="H272"/>
      <c r="I272"/>
      <c r="J272"/>
      <c r="K272"/>
      <c r="L272"/>
      <c r="M272"/>
      <c r="N272"/>
      <c r="O272"/>
      <c r="P272" s="88"/>
      <c r="Q272"/>
      <c r="R272"/>
    </row>
    <row r="273" spans="1:18" x14ac:dyDescent="0.25">
      <c r="A273" s="80"/>
      <c r="B273" s="81"/>
      <c r="C273" s="81"/>
      <c r="D273" s="81"/>
      <c r="E273"/>
      <c r="F273"/>
      <c r="G273"/>
      <c r="H273"/>
      <c r="I273"/>
      <c r="J273"/>
      <c r="K273"/>
      <c r="L273"/>
      <c r="M273"/>
      <c r="N273"/>
      <c r="O273"/>
      <c r="P273" s="88"/>
      <c r="Q273"/>
      <c r="R273"/>
    </row>
    <row r="274" spans="1:18" x14ac:dyDescent="0.25">
      <c r="A274" s="80"/>
      <c r="B274" s="81"/>
      <c r="C274" s="81"/>
      <c r="D274" s="81"/>
      <c r="E274"/>
      <c r="F274"/>
      <c r="G274"/>
      <c r="H274"/>
      <c r="I274"/>
      <c r="J274"/>
      <c r="K274"/>
      <c r="L274"/>
      <c r="M274"/>
      <c r="N274"/>
      <c r="O274"/>
      <c r="P274" s="88"/>
      <c r="Q274"/>
      <c r="R274"/>
    </row>
    <row r="275" spans="1:18" x14ac:dyDescent="0.25">
      <c r="A275" s="80"/>
      <c r="B275" s="81"/>
      <c r="C275" s="81"/>
      <c r="D275" s="81"/>
      <c r="E275"/>
      <c r="F275"/>
      <c r="G275"/>
      <c r="H275"/>
      <c r="I275"/>
      <c r="J275"/>
      <c r="K275"/>
      <c r="L275"/>
      <c r="M275"/>
      <c r="N275"/>
      <c r="O275"/>
      <c r="P275" s="88"/>
      <c r="Q275"/>
      <c r="R275"/>
    </row>
    <row r="276" spans="1:18" x14ac:dyDescent="0.25">
      <c r="A276" s="80"/>
      <c r="B276" s="81"/>
      <c r="C276" s="81"/>
      <c r="D276" s="81"/>
      <c r="E276"/>
      <c r="F276"/>
      <c r="G276"/>
      <c r="H276"/>
      <c r="I276"/>
      <c r="J276"/>
      <c r="K276"/>
      <c r="L276"/>
      <c r="M276"/>
      <c r="N276"/>
      <c r="O276"/>
      <c r="P276" s="88"/>
      <c r="Q276"/>
      <c r="R276"/>
    </row>
    <row r="277" spans="1:18" x14ac:dyDescent="0.25">
      <c r="A277" s="80"/>
      <c r="B277" s="81"/>
      <c r="C277" s="81"/>
      <c r="D277" s="81"/>
      <c r="E277"/>
      <c r="F277"/>
      <c r="G277"/>
      <c r="H277"/>
      <c r="I277"/>
      <c r="J277"/>
      <c r="K277"/>
      <c r="L277"/>
      <c r="M277"/>
      <c r="N277"/>
      <c r="O277"/>
      <c r="P277" s="88"/>
      <c r="Q277"/>
      <c r="R277"/>
    </row>
    <row r="278" spans="1:18" x14ac:dyDescent="0.25">
      <c r="A278" s="80"/>
      <c r="B278" s="81"/>
      <c r="C278" s="81"/>
      <c r="D278" s="81"/>
      <c r="E278"/>
      <c r="F278"/>
      <c r="G278"/>
      <c r="H278"/>
      <c r="I278"/>
      <c r="J278"/>
      <c r="K278"/>
      <c r="L278"/>
      <c r="M278"/>
      <c r="N278"/>
      <c r="O278"/>
      <c r="P278" s="88"/>
      <c r="Q278"/>
      <c r="R278"/>
    </row>
    <row r="279" spans="1:18" x14ac:dyDescent="0.25">
      <c r="A279" s="80"/>
      <c r="B279" s="81"/>
      <c r="C279" s="81"/>
      <c r="D279" s="81"/>
      <c r="E279"/>
      <c r="F279"/>
      <c r="G279"/>
      <c r="H279"/>
      <c r="I279"/>
      <c r="J279"/>
      <c r="K279"/>
      <c r="L279"/>
      <c r="M279"/>
      <c r="N279"/>
      <c r="O279"/>
      <c r="P279" s="88"/>
      <c r="Q279"/>
      <c r="R279"/>
    </row>
    <row r="280" spans="1:18" x14ac:dyDescent="0.25">
      <c r="A280" s="80"/>
      <c r="B280" s="81"/>
      <c r="C280" s="81"/>
      <c r="D280" s="81"/>
      <c r="E280"/>
      <c r="F280"/>
      <c r="G280"/>
      <c r="H280"/>
      <c r="I280"/>
      <c r="J280"/>
      <c r="K280"/>
      <c r="L280"/>
      <c r="M280"/>
      <c r="N280"/>
      <c r="O280"/>
      <c r="P280" s="88"/>
      <c r="Q280"/>
      <c r="R280"/>
    </row>
    <row r="281" spans="1:18" x14ac:dyDescent="0.25">
      <c r="A281" s="80"/>
      <c r="B281" s="81"/>
      <c r="C281" s="81"/>
      <c r="D281" s="81"/>
      <c r="E281"/>
      <c r="F281"/>
      <c r="G281"/>
      <c r="H281"/>
      <c r="I281"/>
      <c r="J281"/>
      <c r="K281"/>
      <c r="L281"/>
      <c r="M281"/>
      <c r="N281"/>
      <c r="O281"/>
      <c r="P281" s="88"/>
      <c r="Q281"/>
      <c r="R281"/>
    </row>
    <row r="282" spans="1:18" x14ac:dyDescent="0.25">
      <c r="A282" s="80"/>
      <c r="B282" s="81"/>
      <c r="C282" s="81"/>
      <c r="D282" s="81"/>
      <c r="E282"/>
      <c r="F282"/>
      <c r="G282"/>
      <c r="H282"/>
      <c r="I282"/>
      <c r="J282"/>
      <c r="K282"/>
      <c r="L282"/>
      <c r="M282"/>
      <c r="N282"/>
      <c r="O282"/>
      <c r="P282" s="88"/>
      <c r="Q282"/>
      <c r="R282"/>
    </row>
    <row r="283" spans="1:18" x14ac:dyDescent="0.25">
      <c r="A283" s="80"/>
      <c r="B283" s="81"/>
      <c r="C283" s="81"/>
      <c r="D283" s="81"/>
      <c r="E283"/>
      <c r="F283"/>
      <c r="G283"/>
      <c r="H283"/>
      <c r="I283"/>
      <c r="J283"/>
      <c r="K283"/>
      <c r="L283"/>
      <c r="M283"/>
      <c r="N283"/>
      <c r="O283"/>
      <c r="P283" s="88"/>
      <c r="Q283"/>
      <c r="R283"/>
    </row>
    <row r="284" spans="1:18" x14ac:dyDescent="0.25">
      <c r="A284" s="80"/>
      <c r="B284" s="81"/>
      <c r="C284" s="81"/>
      <c r="D284" s="81"/>
      <c r="E284"/>
      <c r="F284"/>
      <c r="G284"/>
      <c r="H284"/>
      <c r="I284"/>
      <c r="J284"/>
      <c r="K284"/>
      <c r="L284"/>
      <c r="M284"/>
      <c r="N284"/>
      <c r="O284"/>
      <c r="P284" s="88"/>
      <c r="Q284"/>
      <c r="R284"/>
    </row>
    <row r="285" spans="1:18" x14ac:dyDescent="0.25">
      <c r="A285" s="80"/>
      <c r="B285" s="81"/>
      <c r="C285" s="81"/>
      <c r="D285" s="81"/>
      <c r="E285"/>
      <c r="F285"/>
      <c r="G285"/>
      <c r="H285"/>
      <c r="I285"/>
      <c r="J285"/>
      <c r="K285"/>
      <c r="L285"/>
      <c r="M285"/>
      <c r="N285"/>
      <c r="O285"/>
      <c r="P285" s="88"/>
      <c r="Q285"/>
      <c r="R285"/>
    </row>
    <row r="286" spans="1:18" x14ac:dyDescent="0.25">
      <c r="A286" s="80"/>
      <c r="B286" s="81"/>
      <c r="C286" s="81"/>
      <c r="D286" s="81"/>
      <c r="E286"/>
      <c r="F286"/>
      <c r="G286"/>
      <c r="H286"/>
      <c r="I286"/>
      <c r="J286"/>
      <c r="K286"/>
      <c r="L286"/>
      <c r="M286"/>
      <c r="N286"/>
      <c r="O286"/>
      <c r="P286" s="88"/>
      <c r="Q286"/>
      <c r="R286"/>
    </row>
    <row r="287" spans="1:18" x14ac:dyDescent="0.25">
      <c r="A287" s="80"/>
      <c r="B287" s="81"/>
      <c r="C287" s="81"/>
      <c r="D287" s="81"/>
      <c r="E287"/>
      <c r="F287"/>
      <c r="G287"/>
      <c r="H287"/>
      <c r="I287"/>
      <c r="J287"/>
      <c r="K287"/>
      <c r="L287"/>
      <c r="M287"/>
      <c r="N287"/>
      <c r="O287"/>
      <c r="P287" s="88"/>
      <c r="Q287"/>
      <c r="R287"/>
    </row>
    <row r="288" spans="1:18" x14ac:dyDescent="0.25">
      <c r="A288" s="80"/>
      <c r="B288" s="81"/>
      <c r="C288" s="81"/>
      <c r="D288" s="81"/>
      <c r="E288"/>
      <c r="F288"/>
      <c r="G288"/>
      <c r="H288"/>
      <c r="I288"/>
      <c r="J288"/>
      <c r="K288"/>
      <c r="L288"/>
      <c r="M288"/>
      <c r="N288"/>
      <c r="O288"/>
      <c r="P288" s="88"/>
      <c r="Q288"/>
      <c r="R288"/>
    </row>
    <row r="289" spans="1:18" x14ac:dyDescent="0.25">
      <c r="A289" s="80"/>
      <c r="B289" s="81"/>
      <c r="C289" s="81"/>
      <c r="D289" s="81"/>
      <c r="E289"/>
      <c r="F289"/>
      <c r="G289"/>
      <c r="H289"/>
      <c r="I289"/>
      <c r="J289"/>
      <c r="K289"/>
      <c r="L289"/>
      <c r="M289"/>
      <c r="N289"/>
      <c r="O289"/>
      <c r="P289" s="88"/>
      <c r="Q289"/>
      <c r="R289"/>
    </row>
    <row r="290" spans="1:18" x14ac:dyDescent="0.25">
      <c r="A290" s="80"/>
      <c r="B290" s="81"/>
      <c r="C290" s="81"/>
      <c r="D290" s="81"/>
      <c r="E290"/>
      <c r="F290"/>
      <c r="G290"/>
      <c r="H290"/>
      <c r="I290"/>
      <c r="J290"/>
      <c r="K290"/>
      <c r="L290"/>
      <c r="M290"/>
      <c r="N290"/>
      <c r="O290"/>
      <c r="P290" s="88"/>
      <c r="Q290"/>
      <c r="R290"/>
    </row>
    <row r="291" spans="1:18" x14ac:dyDescent="0.25">
      <c r="A291" s="80"/>
      <c r="B291" s="81"/>
      <c r="C291" s="81"/>
      <c r="D291" s="81"/>
      <c r="E291"/>
      <c r="F291"/>
      <c r="G291"/>
      <c r="H291"/>
      <c r="I291"/>
      <c r="J291"/>
      <c r="K291"/>
      <c r="L291"/>
      <c r="M291"/>
      <c r="N291"/>
      <c r="O291"/>
      <c r="P291" s="88"/>
      <c r="Q291"/>
      <c r="R291"/>
    </row>
    <row r="292" spans="1:18" x14ac:dyDescent="0.25">
      <c r="A292" s="80"/>
      <c r="B292" s="81"/>
      <c r="C292" s="81"/>
      <c r="D292" s="81"/>
      <c r="E292"/>
      <c r="F292"/>
      <c r="G292"/>
      <c r="H292"/>
      <c r="I292"/>
      <c r="J292"/>
      <c r="K292"/>
      <c r="L292"/>
      <c r="M292"/>
      <c r="N292"/>
      <c r="O292"/>
      <c r="P292" s="88"/>
      <c r="Q292"/>
      <c r="R292"/>
    </row>
    <row r="293" spans="1:18" x14ac:dyDescent="0.25">
      <c r="A293" s="80"/>
      <c r="B293" s="81"/>
      <c r="C293" s="81"/>
      <c r="D293" s="81"/>
      <c r="E293"/>
      <c r="F293"/>
      <c r="G293"/>
      <c r="H293"/>
      <c r="I293"/>
      <c r="J293"/>
      <c r="K293"/>
      <c r="L293"/>
      <c r="M293"/>
      <c r="N293"/>
      <c r="O293"/>
      <c r="P293" s="88"/>
      <c r="Q293"/>
      <c r="R293"/>
    </row>
    <row r="294" spans="1:18" x14ac:dyDescent="0.25">
      <c r="A294" s="80"/>
      <c r="B294" s="81"/>
      <c r="C294" s="81"/>
      <c r="D294" s="81"/>
      <c r="E294"/>
      <c r="F294"/>
      <c r="G294"/>
      <c r="H294"/>
      <c r="I294"/>
      <c r="J294"/>
      <c r="K294"/>
      <c r="L294"/>
      <c r="M294"/>
      <c r="N294"/>
      <c r="O294"/>
      <c r="P294" s="88"/>
      <c r="Q294"/>
      <c r="R294"/>
    </row>
    <row r="295" spans="1:18" x14ac:dyDescent="0.25">
      <c r="A295" s="80"/>
      <c r="B295" s="81"/>
      <c r="C295" s="81"/>
      <c r="D295" s="81"/>
      <c r="E295"/>
      <c r="F295"/>
      <c r="G295"/>
      <c r="H295"/>
      <c r="I295"/>
      <c r="J295"/>
      <c r="K295"/>
      <c r="L295"/>
      <c r="M295"/>
      <c r="N295"/>
      <c r="O295"/>
      <c r="P295" s="88"/>
      <c r="Q295"/>
      <c r="R295"/>
    </row>
    <row r="296" spans="1:18" x14ac:dyDescent="0.25">
      <c r="A296" s="80"/>
      <c r="B296" s="81"/>
      <c r="C296" s="81"/>
      <c r="D296" s="81"/>
      <c r="E296"/>
      <c r="F296"/>
      <c r="G296"/>
      <c r="H296"/>
      <c r="I296"/>
      <c r="J296"/>
      <c r="K296"/>
      <c r="L296"/>
      <c r="M296"/>
      <c r="N296"/>
      <c r="O296"/>
      <c r="P296" s="88"/>
      <c r="Q296"/>
      <c r="R296"/>
    </row>
    <row r="297" spans="1:18" x14ac:dyDescent="0.25">
      <c r="A297" s="80"/>
      <c r="B297" s="81"/>
      <c r="C297" s="81"/>
      <c r="D297" s="81"/>
      <c r="E297"/>
      <c r="F297"/>
      <c r="G297"/>
      <c r="H297"/>
      <c r="I297"/>
      <c r="J297"/>
      <c r="K297"/>
      <c r="L297"/>
      <c r="M297"/>
      <c r="N297"/>
      <c r="O297"/>
      <c r="P297" s="88"/>
      <c r="Q297"/>
      <c r="R297"/>
    </row>
    <row r="298" spans="1:18" x14ac:dyDescent="0.25">
      <c r="A298" s="80"/>
      <c r="B298" s="81"/>
      <c r="C298" s="81"/>
      <c r="D298" s="81"/>
      <c r="E298"/>
      <c r="F298"/>
      <c r="G298"/>
      <c r="H298"/>
      <c r="I298"/>
      <c r="J298"/>
      <c r="K298"/>
      <c r="L298"/>
      <c r="M298"/>
      <c r="N298"/>
      <c r="O298"/>
      <c r="P298" s="88"/>
      <c r="Q298"/>
      <c r="R298"/>
    </row>
    <row r="299" spans="1:18" x14ac:dyDescent="0.25">
      <c r="A299" s="80"/>
      <c r="B299" s="81"/>
      <c r="C299" s="81"/>
      <c r="D299" s="81"/>
      <c r="E299"/>
      <c r="F299"/>
      <c r="G299"/>
      <c r="H299"/>
      <c r="I299"/>
      <c r="J299"/>
      <c r="K299"/>
      <c r="L299"/>
      <c r="M299"/>
      <c r="N299"/>
      <c r="O299"/>
      <c r="P299" s="88"/>
      <c r="Q299"/>
      <c r="R299"/>
    </row>
    <row r="300" spans="1:18" x14ac:dyDescent="0.25">
      <c r="A300" s="80"/>
      <c r="B300" s="81"/>
      <c r="C300" s="81"/>
      <c r="D300" s="81"/>
      <c r="E300"/>
      <c r="F300"/>
      <c r="G300"/>
      <c r="H300"/>
      <c r="I300"/>
      <c r="J300"/>
      <c r="K300"/>
      <c r="L300"/>
      <c r="M300"/>
      <c r="N300"/>
      <c r="O300"/>
      <c r="P300" s="88"/>
      <c r="Q300"/>
      <c r="R300"/>
    </row>
    <row r="301" spans="1:18" x14ac:dyDescent="0.25">
      <c r="A301" s="80"/>
      <c r="B301" s="81"/>
      <c r="C301" s="81"/>
      <c r="D301" s="81"/>
      <c r="E301"/>
      <c r="F301"/>
      <c r="G301"/>
      <c r="H301"/>
      <c r="I301"/>
      <c r="J301"/>
      <c r="K301"/>
      <c r="L301"/>
      <c r="M301"/>
      <c r="N301"/>
      <c r="O301"/>
      <c r="P301" s="88"/>
      <c r="Q301"/>
      <c r="R301"/>
    </row>
    <row r="302" spans="1:18" x14ac:dyDescent="0.25">
      <c r="A302" s="80"/>
      <c r="B302" s="81"/>
      <c r="C302" s="81"/>
      <c r="D302" s="81"/>
      <c r="E302"/>
      <c r="F302"/>
      <c r="G302"/>
      <c r="H302"/>
      <c r="I302"/>
      <c r="J302"/>
      <c r="K302"/>
      <c r="L302"/>
      <c r="M302"/>
      <c r="N302"/>
      <c r="O302"/>
      <c r="P302" s="88"/>
      <c r="Q302"/>
      <c r="R302"/>
    </row>
    <row r="303" spans="1:18" x14ac:dyDescent="0.25">
      <c r="A303" s="80"/>
      <c r="B303" s="81"/>
      <c r="C303" s="81"/>
      <c r="D303" s="81"/>
      <c r="E303"/>
      <c r="F303"/>
      <c r="G303"/>
      <c r="H303"/>
      <c r="I303"/>
      <c r="J303"/>
      <c r="K303"/>
      <c r="L303"/>
      <c r="M303"/>
      <c r="N303"/>
      <c r="O303"/>
      <c r="P303" s="88"/>
      <c r="Q303"/>
      <c r="R303"/>
    </row>
    <row r="304" spans="1:18" x14ac:dyDescent="0.25">
      <c r="A304" s="80"/>
      <c r="B304" s="81"/>
      <c r="C304" s="81"/>
      <c r="D304" s="81"/>
      <c r="E304"/>
      <c r="F304"/>
      <c r="G304"/>
      <c r="H304"/>
      <c r="I304"/>
      <c r="J304"/>
      <c r="K304"/>
      <c r="L304"/>
      <c r="M304"/>
      <c r="N304"/>
      <c r="O304"/>
      <c r="P304" s="88"/>
      <c r="Q304"/>
      <c r="R304"/>
    </row>
    <row r="305" spans="1:18" x14ac:dyDescent="0.25">
      <c r="A305" s="80"/>
      <c r="B305" s="81"/>
      <c r="C305" s="81"/>
      <c r="D305" s="81"/>
      <c r="E305"/>
      <c r="F305"/>
      <c r="G305"/>
      <c r="H305"/>
      <c r="I305"/>
      <c r="J305"/>
      <c r="K305"/>
      <c r="L305"/>
      <c r="M305"/>
      <c r="N305"/>
      <c r="O305"/>
      <c r="P305" s="88"/>
      <c r="Q305"/>
      <c r="R305"/>
    </row>
    <row r="306" spans="1:18" x14ac:dyDescent="0.25">
      <c r="A306" s="80"/>
      <c r="B306" s="81"/>
      <c r="C306" s="81"/>
      <c r="D306" s="81"/>
      <c r="E306"/>
      <c r="F306"/>
      <c r="G306"/>
      <c r="H306"/>
      <c r="I306"/>
      <c r="J306"/>
      <c r="K306"/>
      <c r="L306"/>
      <c r="M306"/>
      <c r="N306"/>
      <c r="O306"/>
      <c r="P306" s="88"/>
      <c r="Q306"/>
      <c r="R306"/>
    </row>
    <row r="307" spans="1:18" x14ac:dyDescent="0.25">
      <c r="A307" s="80"/>
      <c r="B307" s="81"/>
      <c r="C307" s="81"/>
      <c r="D307" s="81"/>
      <c r="E307"/>
      <c r="F307"/>
      <c r="G307"/>
      <c r="H307"/>
      <c r="I307"/>
      <c r="J307"/>
      <c r="K307"/>
      <c r="L307"/>
      <c r="M307"/>
      <c r="N307"/>
      <c r="O307"/>
      <c r="P307" s="88"/>
      <c r="Q307"/>
      <c r="R307"/>
    </row>
    <row r="308" spans="1:18" x14ac:dyDescent="0.25">
      <c r="A308" s="80"/>
      <c r="B308" s="81"/>
      <c r="C308" s="81"/>
      <c r="D308" s="81"/>
      <c r="E308"/>
      <c r="F308"/>
      <c r="G308"/>
      <c r="H308"/>
      <c r="I308"/>
      <c r="J308"/>
      <c r="K308"/>
      <c r="L308"/>
      <c r="M308"/>
      <c r="N308"/>
      <c r="O308"/>
      <c r="P308" s="88"/>
      <c r="Q308"/>
      <c r="R308"/>
    </row>
    <row r="309" spans="1:18" x14ac:dyDescent="0.25">
      <c r="A309" s="80"/>
      <c r="B309" s="81"/>
      <c r="C309" s="81"/>
      <c r="D309" s="81"/>
      <c r="E309"/>
      <c r="F309"/>
      <c r="G309"/>
      <c r="H309"/>
      <c r="I309"/>
      <c r="J309"/>
      <c r="K309"/>
      <c r="L309"/>
      <c r="M309"/>
      <c r="N309"/>
      <c r="O309"/>
      <c r="P309" s="88"/>
      <c r="Q309"/>
      <c r="R309"/>
    </row>
    <row r="310" spans="1:18" x14ac:dyDescent="0.25">
      <c r="A310" s="80"/>
      <c r="B310" s="81"/>
      <c r="C310" s="81"/>
      <c r="D310" s="81"/>
      <c r="E310"/>
      <c r="F310"/>
      <c r="G310"/>
      <c r="H310"/>
      <c r="I310"/>
      <c r="J310"/>
      <c r="K310"/>
      <c r="L310"/>
      <c r="M310"/>
      <c r="N310"/>
      <c r="O310"/>
      <c r="P310" s="88"/>
      <c r="Q310"/>
      <c r="R310"/>
    </row>
    <row r="311" spans="1:18" x14ac:dyDescent="0.25">
      <c r="A311" s="80"/>
      <c r="B311" s="81"/>
      <c r="C311" s="81"/>
      <c r="D311" s="81"/>
      <c r="E311"/>
      <c r="F311"/>
      <c r="G311"/>
      <c r="H311"/>
      <c r="I311"/>
      <c r="J311"/>
      <c r="K311"/>
      <c r="L311"/>
      <c r="M311"/>
      <c r="N311"/>
      <c r="O311"/>
      <c r="P311" s="88"/>
      <c r="Q311"/>
      <c r="R311"/>
    </row>
    <row r="312" spans="1:18" x14ac:dyDescent="0.25">
      <c r="A312" s="80"/>
      <c r="B312" s="81"/>
      <c r="C312" s="81"/>
      <c r="D312" s="81"/>
      <c r="E312"/>
      <c r="F312"/>
      <c r="G312"/>
      <c r="H312"/>
      <c r="I312"/>
      <c r="J312"/>
      <c r="K312"/>
      <c r="L312"/>
      <c r="M312"/>
      <c r="N312"/>
      <c r="O312"/>
      <c r="P312" s="88"/>
      <c r="Q312"/>
      <c r="R312"/>
    </row>
    <row r="313" spans="1:18" x14ac:dyDescent="0.25">
      <c r="A313" s="80"/>
      <c r="B313" s="81"/>
      <c r="C313" s="81"/>
      <c r="D313" s="81"/>
      <c r="E313"/>
      <c r="F313"/>
      <c r="G313"/>
      <c r="H313"/>
      <c r="I313"/>
      <c r="J313"/>
      <c r="K313"/>
      <c r="L313"/>
      <c r="M313"/>
      <c r="N313"/>
      <c r="O313"/>
      <c r="P313" s="88"/>
      <c r="Q313"/>
      <c r="R313"/>
    </row>
    <row r="314" spans="1:18" x14ac:dyDescent="0.25">
      <c r="A314" s="80"/>
      <c r="B314" s="81"/>
      <c r="C314" s="81"/>
      <c r="D314" s="81"/>
      <c r="E314"/>
      <c r="F314"/>
      <c r="G314"/>
      <c r="H314"/>
      <c r="I314"/>
      <c r="J314"/>
      <c r="K314"/>
      <c r="L314"/>
      <c r="M314"/>
      <c r="N314"/>
      <c r="O314"/>
      <c r="P314" s="88"/>
      <c r="Q314"/>
      <c r="R314"/>
    </row>
    <row r="315" spans="1:18" x14ac:dyDescent="0.25">
      <c r="A315" s="80"/>
      <c r="B315" s="81"/>
      <c r="C315" s="81"/>
      <c r="D315" s="81"/>
      <c r="E315"/>
      <c r="F315"/>
      <c r="G315"/>
      <c r="H315"/>
      <c r="I315"/>
      <c r="J315"/>
      <c r="K315"/>
      <c r="L315"/>
      <c r="M315"/>
      <c r="N315"/>
      <c r="O315"/>
      <c r="P315" s="88"/>
      <c r="Q315"/>
      <c r="R315"/>
    </row>
    <row r="316" spans="1:18" x14ac:dyDescent="0.25">
      <c r="A316" s="80"/>
      <c r="B316" s="81"/>
      <c r="C316" s="81"/>
      <c r="D316" s="81"/>
      <c r="E316"/>
      <c r="F316"/>
      <c r="G316"/>
      <c r="H316"/>
      <c r="I316"/>
      <c r="J316"/>
      <c r="K316"/>
      <c r="L316"/>
      <c r="M316"/>
      <c r="N316"/>
      <c r="O316"/>
      <c r="P316" s="88"/>
      <c r="Q316"/>
      <c r="R316"/>
    </row>
    <row r="317" spans="1:18" x14ac:dyDescent="0.25">
      <c r="A317" s="80"/>
      <c r="B317" s="81"/>
      <c r="C317" s="81"/>
      <c r="D317" s="81"/>
      <c r="E317"/>
      <c r="F317"/>
      <c r="G317"/>
      <c r="H317"/>
      <c r="I317"/>
      <c r="J317"/>
      <c r="K317"/>
      <c r="L317"/>
      <c r="M317"/>
      <c r="N317"/>
      <c r="O317"/>
      <c r="P317" s="88"/>
      <c r="Q317"/>
      <c r="R317"/>
    </row>
    <row r="318" spans="1:18" x14ac:dyDescent="0.25">
      <c r="A318" s="80"/>
      <c r="B318" s="81"/>
      <c r="C318" s="81"/>
      <c r="D318" s="81"/>
      <c r="E318"/>
      <c r="F318"/>
      <c r="G318"/>
      <c r="H318"/>
      <c r="I318"/>
      <c r="J318"/>
      <c r="K318"/>
      <c r="L318"/>
      <c r="M318"/>
      <c r="N318"/>
      <c r="O318"/>
      <c r="P318" s="88"/>
      <c r="Q318"/>
      <c r="R318"/>
    </row>
    <row r="319" spans="1:18" x14ac:dyDescent="0.25">
      <c r="A319" s="80"/>
      <c r="B319" s="81"/>
      <c r="C319" s="81"/>
      <c r="D319" s="81"/>
      <c r="E319"/>
      <c r="F319"/>
      <c r="G319"/>
      <c r="H319"/>
      <c r="I319"/>
      <c r="J319"/>
      <c r="K319"/>
      <c r="L319"/>
      <c r="M319"/>
      <c r="N319"/>
      <c r="O319"/>
      <c r="P319" s="88"/>
      <c r="Q319"/>
      <c r="R319"/>
    </row>
    <row r="320" spans="1:18" x14ac:dyDescent="0.25">
      <c r="A320" s="80"/>
      <c r="B320" s="81"/>
      <c r="C320" s="81"/>
      <c r="D320" s="81"/>
      <c r="E320"/>
      <c r="F320"/>
      <c r="G320"/>
      <c r="H320"/>
      <c r="I320"/>
      <c r="J320"/>
      <c r="K320"/>
      <c r="L320"/>
      <c r="M320"/>
      <c r="N320"/>
      <c r="O320"/>
      <c r="P320" s="88"/>
      <c r="Q320"/>
      <c r="R320"/>
    </row>
    <row r="321" spans="1:18" x14ac:dyDescent="0.25">
      <c r="A321" s="80"/>
      <c r="B321" s="81"/>
      <c r="C321" s="81"/>
      <c r="D321" s="81"/>
      <c r="E321"/>
      <c r="F321"/>
      <c r="G321"/>
      <c r="H321"/>
      <c r="I321"/>
      <c r="J321"/>
      <c r="K321"/>
      <c r="L321"/>
      <c r="M321"/>
      <c r="N321"/>
      <c r="O321"/>
      <c r="P321" s="88"/>
      <c r="Q321"/>
      <c r="R321"/>
    </row>
    <row r="322" spans="1:18" x14ac:dyDescent="0.25">
      <c r="A322" s="80"/>
      <c r="B322" s="81"/>
      <c r="C322" s="81"/>
      <c r="D322" s="81"/>
      <c r="E322"/>
      <c r="F322"/>
      <c r="G322"/>
      <c r="H322"/>
      <c r="I322"/>
      <c r="J322"/>
      <c r="K322"/>
      <c r="L322"/>
      <c r="M322"/>
      <c r="N322"/>
      <c r="O322"/>
      <c r="P322" s="88"/>
      <c r="Q322"/>
      <c r="R322"/>
    </row>
    <row r="323" spans="1:18" x14ac:dyDescent="0.25">
      <c r="A323" s="80"/>
      <c r="B323" s="81"/>
      <c r="C323" s="81"/>
      <c r="D323" s="81"/>
      <c r="E323"/>
      <c r="F323"/>
      <c r="G323"/>
      <c r="H323"/>
      <c r="I323"/>
      <c r="J323"/>
      <c r="K323"/>
      <c r="L323"/>
      <c r="M323"/>
      <c r="N323"/>
      <c r="O323"/>
      <c r="P323" s="88"/>
      <c r="Q323"/>
      <c r="R323"/>
    </row>
    <row r="324" spans="1:18" x14ac:dyDescent="0.25">
      <c r="A324" s="80"/>
      <c r="B324" s="81"/>
      <c r="C324" s="81"/>
      <c r="D324" s="81"/>
      <c r="E324"/>
      <c r="F324"/>
      <c r="G324"/>
      <c r="H324"/>
      <c r="I324"/>
      <c r="J324"/>
      <c r="K324"/>
      <c r="L324"/>
      <c r="M324"/>
      <c r="N324"/>
      <c r="O324"/>
      <c r="P324" s="88"/>
      <c r="Q324"/>
      <c r="R324"/>
    </row>
    <row r="325" spans="1:18" x14ac:dyDescent="0.25">
      <c r="A325" s="80"/>
      <c r="B325" s="81"/>
      <c r="C325" s="81"/>
      <c r="D325" s="81"/>
      <c r="E325"/>
      <c r="F325"/>
      <c r="G325"/>
      <c r="H325"/>
      <c r="I325"/>
      <c r="J325"/>
      <c r="K325"/>
      <c r="L325"/>
      <c r="M325"/>
      <c r="N325"/>
      <c r="O325"/>
      <c r="P325" s="88"/>
      <c r="Q325"/>
      <c r="R325"/>
    </row>
    <row r="326" spans="1:18" x14ac:dyDescent="0.25">
      <c r="A326" s="80"/>
      <c r="B326" s="81"/>
      <c r="C326" s="81"/>
      <c r="D326" s="81"/>
      <c r="E326"/>
      <c r="F326"/>
      <c r="G326"/>
      <c r="H326"/>
      <c r="I326"/>
      <c r="J326"/>
      <c r="K326"/>
      <c r="L326"/>
      <c r="M326"/>
      <c r="N326"/>
      <c r="O326"/>
      <c r="P326" s="88"/>
      <c r="Q326"/>
      <c r="R326"/>
    </row>
    <row r="327" spans="1:18" x14ac:dyDescent="0.25">
      <c r="A327" s="80"/>
      <c r="B327" s="81"/>
      <c r="C327" s="81"/>
      <c r="D327" s="81"/>
      <c r="E327"/>
      <c r="F327"/>
      <c r="G327"/>
      <c r="H327"/>
      <c r="I327"/>
      <c r="J327"/>
      <c r="K327"/>
      <c r="L327"/>
      <c r="M327"/>
      <c r="N327"/>
      <c r="O327"/>
      <c r="P327" s="88"/>
      <c r="Q327"/>
      <c r="R327"/>
    </row>
    <row r="328" spans="1:18" x14ac:dyDescent="0.25">
      <c r="A328" s="80"/>
      <c r="B328" s="81"/>
      <c r="C328" s="81"/>
      <c r="D328" s="81"/>
      <c r="E328"/>
      <c r="F328"/>
      <c r="G328"/>
      <c r="H328"/>
      <c r="I328"/>
      <c r="J328"/>
      <c r="K328"/>
      <c r="L328"/>
      <c r="M328"/>
      <c r="N328"/>
      <c r="O328"/>
      <c r="P328" s="88"/>
      <c r="Q328"/>
      <c r="R328"/>
    </row>
    <row r="329" spans="1:18" x14ac:dyDescent="0.25">
      <c r="A329" s="80"/>
      <c r="B329" s="81"/>
      <c r="C329" s="81"/>
      <c r="D329" s="81"/>
      <c r="E329"/>
      <c r="F329"/>
      <c r="G329"/>
      <c r="H329"/>
      <c r="I329"/>
      <c r="J329"/>
      <c r="K329"/>
      <c r="L329"/>
      <c r="M329"/>
      <c r="N329"/>
      <c r="O329"/>
      <c r="P329" s="88"/>
      <c r="Q329"/>
      <c r="R329"/>
    </row>
    <row r="330" spans="1:18" x14ac:dyDescent="0.25">
      <c r="A330" s="80"/>
      <c r="B330" s="81"/>
      <c r="C330" s="81"/>
      <c r="D330" s="81"/>
      <c r="E330"/>
      <c r="F330"/>
      <c r="G330"/>
      <c r="H330"/>
      <c r="I330"/>
      <c r="J330"/>
      <c r="K330"/>
      <c r="L330"/>
      <c r="M330"/>
      <c r="N330"/>
      <c r="O330"/>
      <c r="P330" s="88"/>
      <c r="Q330"/>
      <c r="R330"/>
    </row>
    <row r="331" spans="1:18" x14ac:dyDescent="0.25">
      <c r="A331" s="80"/>
      <c r="B331" s="81"/>
      <c r="C331" s="81"/>
      <c r="D331" s="81"/>
      <c r="E331"/>
      <c r="F331"/>
      <c r="G331"/>
      <c r="H331"/>
      <c r="I331"/>
      <c r="J331"/>
      <c r="K331"/>
      <c r="L331"/>
      <c r="M331"/>
      <c r="N331"/>
      <c r="O331"/>
      <c r="P331" s="88"/>
      <c r="Q331"/>
      <c r="R331"/>
    </row>
    <row r="332" spans="1:18" x14ac:dyDescent="0.25">
      <c r="A332" s="80"/>
      <c r="B332" s="81"/>
      <c r="C332" s="81"/>
      <c r="D332" s="81"/>
      <c r="E332"/>
      <c r="F332"/>
      <c r="G332"/>
      <c r="H332"/>
      <c r="I332"/>
      <c r="J332"/>
      <c r="K332"/>
      <c r="L332"/>
      <c r="M332"/>
      <c r="N332"/>
      <c r="O332"/>
      <c r="P332" s="88"/>
      <c r="Q332"/>
      <c r="R332"/>
    </row>
    <row r="333" spans="1:18" x14ac:dyDescent="0.25">
      <c r="A333" s="80"/>
      <c r="B333" s="81"/>
      <c r="C333" s="81"/>
      <c r="D333" s="81"/>
      <c r="E333"/>
      <c r="F333"/>
      <c r="G333"/>
      <c r="H333"/>
      <c r="I333"/>
      <c r="J333"/>
      <c r="K333"/>
      <c r="L333"/>
      <c r="M333"/>
      <c r="N333"/>
      <c r="O333"/>
      <c r="P333" s="88"/>
      <c r="Q333"/>
      <c r="R333"/>
    </row>
    <row r="334" spans="1:18" x14ac:dyDescent="0.25">
      <c r="A334" s="80"/>
      <c r="B334" s="81"/>
      <c r="C334" s="81"/>
      <c r="D334" s="81"/>
      <c r="E334"/>
      <c r="F334"/>
      <c r="G334"/>
      <c r="H334"/>
      <c r="I334"/>
      <c r="J334"/>
      <c r="K334"/>
      <c r="L334"/>
      <c r="M334"/>
      <c r="N334"/>
      <c r="O334"/>
      <c r="P334" s="88"/>
      <c r="Q334"/>
      <c r="R334"/>
    </row>
    <row r="335" spans="1:18" x14ac:dyDescent="0.25">
      <c r="A335" s="80"/>
      <c r="B335" s="81"/>
      <c r="C335" s="81"/>
      <c r="D335" s="81"/>
      <c r="E335"/>
      <c r="F335"/>
      <c r="G335"/>
      <c r="H335"/>
      <c r="I335"/>
      <c r="J335"/>
      <c r="K335"/>
      <c r="L335"/>
      <c r="M335"/>
      <c r="N335"/>
      <c r="O335"/>
      <c r="P335" s="88"/>
      <c r="Q335"/>
      <c r="R335"/>
    </row>
    <row r="336" spans="1:18" x14ac:dyDescent="0.25">
      <c r="A336" s="80"/>
      <c r="B336" s="81"/>
      <c r="C336" s="81"/>
      <c r="D336" s="81"/>
      <c r="E336"/>
      <c r="F336"/>
      <c r="G336"/>
      <c r="H336"/>
      <c r="I336"/>
      <c r="J336"/>
      <c r="K336"/>
      <c r="L336"/>
      <c r="M336"/>
      <c r="N336"/>
      <c r="O336"/>
      <c r="P336" s="88"/>
      <c r="Q336"/>
      <c r="R336"/>
    </row>
    <row r="337" spans="1:18" x14ac:dyDescent="0.25">
      <c r="A337" s="80"/>
      <c r="B337" s="81"/>
      <c r="C337" s="81"/>
      <c r="D337" s="81"/>
      <c r="E337"/>
      <c r="F337"/>
      <c r="G337"/>
      <c r="H337"/>
      <c r="I337"/>
      <c r="J337"/>
      <c r="K337"/>
      <c r="L337"/>
      <c r="M337"/>
      <c r="N337"/>
      <c r="O337"/>
      <c r="P337" s="88"/>
      <c r="Q337"/>
      <c r="R337"/>
    </row>
    <row r="338" spans="1:18" x14ac:dyDescent="0.25">
      <c r="A338" s="80"/>
      <c r="B338" s="81"/>
      <c r="C338" s="81"/>
      <c r="D338" s="81"/>
      <c r="E338"/>
      <c r="F338"/>
      <c r="G338"/>
      <c r="H338"/>
      <c r="I338"/>
      <c r="J338"/>
      <c r="K338"/>
      <c r="L338"/>
      <c r="M338"/>
      <c r="N338"/>
      <c r="O338"/>
      <c r="P338" s="88"/>
      <c r="Q338"/>
      <c r="R338"/>
    </row>
    <row r="339" spans="1:18" x14ac:dyDescent="0.25">
      <c r="A339" s="80"/>
      <c r="B339" s="81"/>
      <c r="C339" s="81"/>
      <c r="D339" s="81"/>
      <c r="E339"/>
      <c r="F339"/>
      <c r="G339"/>
      <c r="H339"/>
      <c r="I339"/>
      <c r="J339"/>
      <c r="K339"/>
      <c r="L339"/>
      <c r="M339"/>
      <c r="N339"/>
      <c r="O339"/>
      <c r="P339" s="88"/>
      <c r="Q339"/>
      <c r="R339"/>
    </row>
    <row r="340" spans="1:18" x14ac:dyDescent="0.25">
      <c r="A340" s="80"/>
      <c r="B340" s="81"/>
      <c r="C340" s="81"/>
      <c r="D340" s="81"/>
      <c r="E340"/>
      <c r="F340"/>
      <c r="G340"/>
      <c r="H340"/>
      <c r="I340"/>
      <c r="J340"/>
      <c r="K340"/>
      <c r="L340"/>
      <c r="M340"/>
      <c r="N340"/>
      <c r="O340"/>
      <c r="P340" s="88"/>
      <c r="Q340"/>
      <c r="R340"/>
    </row>
    <row r="341" spans="1:18" x14ac:dyDescent="0.25">
      <c r="A341" s="80"/>
      <c r="B341" s="81"/>
      <c r="C341" s="81"/>
      <c r="D341" s="81"/>
      <c r="E341"/>
      <c r="F341"/>
      <c r="G341"/>
      <c r="H341"/>
      <c r="I341"/>
      <c r="J341"/>
      <c r="K341"/>
      <c r="L341"/>
      <c r="M341"/>
      <c r="N341"/>
      <c r="O341"/>
      <c r="P341" s="88"/>
      <c r="Q341"/>
      <c r="R341"/>
    </row>
    <row r="342" spans="1:18" x14ac:dyDescent="0.25">
      <c r="A342" s="80"/>
      <c r="B342" s="81"/>
      <c r="C342" s="81"/>
      <c r="D342" s="81"/>
      <c r="E342"/>
      <c r="F342"/>
      <c r="G342"/>
      <c r="H342"/>
      <c r="I342"/>
      <c r="J342"/>
      <c r="K342"/>
      <c r="L342"/>
      <c r="M342"/>
      <c r="N342"/>
      <c r="O342"/>
      <c r="P342" s="88"/>
      <c r="Q342"/>
      <c r="R342"/>
    </row>
    <row r="343" spans="1:18" x14ac:dyDescent="0.25">
      <c r="A343" s="80"/>
      <c r="B343" s="81"/>
      <c r="C343" s="81"/>
      <c r="D343" s="81"/>
      <c r="E343"/>
      <c r="F343"/>
      <c r="G343"/>
      <c r="H343"/>
      <c r="I343"/>
      <c r="J343"/>
      <c r="K343"/>
      <c r="L343"/>
      <c r="M343"/>
      <c r="N343"/>
      <c r="O343"/>
      <c r="P343" s="88"/>
      <c r="Q343"/>
      <c r="R343"/>
    </row>
    <row r="344" spans="1:18" x14ac:dyDescent="0.25">
      <c r="A344" s="80"/>
      <c r="B344" s="81"/>
      <c r="C344" s="81"/>
      <c r="D344" s="81"/>
      <c r="E344"/>
      <c r="F344"/>
      <c r="G344"/>
      <c r="H344"/>
      <c r="I344"/>
      <c r="J344"/>
      <c r="K344"/>
      <c r="L344"/>
      <c r="M344"/>
      <c r="N344"/>
      <c r="O344"/>
      <c r="P344" s="88"/>
      <c r="Q344"/>
      <c r="R344"/>
    </row>
    <row r="345" spans="1:18" x14ac:dyDescent="0.25">
      <c r="A345" s="80"/>
      <c r="B345" s="81"/>
      <c r="C345" s="81"/>
      <c r="D345" s="81"/>
      <c r="E345"/>
      <c r="F345"/>
      <c r="G345"/>
      <c r="H345"/>
      <c r="I345"/>
      <c r="J345"/>
      <c r="K345"/>
      <c r="L345"/>
      <c r="M345"/>
      <c r="N345"/>
      <c r="O345"/>
      <c r="P345" s="88"/>
      <c r="Q345"/>
      <c r="R345"/>
    </row>
    <row r="346" spans="1:18" x14ac:dyDescent="0.25">
      <c r="A346" s="80"/>
      <c r="B346" s="81"/>
      <c r="C346" s="81"/>
      <c r="D346" s="81"/>
      <c r="E346"/>
      <c r="F346"/>
      <c r="G346"/>
      <c r="H346"/>
      <c r="I346"/>
      <c r="J346"/>
      <c r="K346"/>
      <c r="L346"/>
      <c r="M346"/>
      <c r="N346"/>
      <c r="O346"/>
      <c r="P346" s="88"/>
      <c r="Q346"/>
      <c r="R346"/>
    </row>
    <row r="347" spans="1:18" x14ac:dyDescent="0.25">
      <c r="A347" s="80"/>
      <c r="B347" s="81"/>
      <c r="C347" s="81"/>
      <c r="D347" s="81"/>
      <c r="E347"/>
      <c r="F347"/>
      <c r="G347"/>
      <c r="H347"/>
      <c r="I347"/>
      <c r="J347"/>
      <c r="K347"/>
      <c r="L347"/>
      <c r="M347"/>
      <c r="N347"/>
      <c r="O347"/>
      <c r="P347" s="88"/>
      <c r="Q347"/>
      <c r="R347"/>
    </row>
    <row r="348" spans="1:18" x14ac:dyDescent="0.25">
      <c r="A348" s="80"/>
      <c r="B348" s="81"/>
      <c r="C348" s="81"/>
      <c r="D348" s="81"/>
      <c r="E348"/>
      <c r="F348"/>
      <c r="G348"/>
      <c r="H348"/>
      <c r="I348"/>
      <c r="J348"/>
      <c r="K348"/>
      <c r="L348"/>
      <c r="M348"/>
      <c r="N348"/>
      <c r="O348"/>
      <c r="P348" s="88"/>
      <c r="Q348"/>
      <c r="R348"/>
    </row>
    <row r="349" spans="1:18" x14ac:dyDescent="0.25">
      <c r="A349" s="80"/>
      <c r="B349" s="81"/>
      <c r="C349" s="81"/>
      <c r="D349" s="81"/>
      <c r="E349"/>
      <c r="F349"/>
      <c r="G349"/>
      <c r="H349"/>
      <c r="I349"/>
      <c r="J349"/>
      <c r="K349"/>
      <c r="L349"/>
      <c r="M349"/>
      <c r="N349"/>
      <c r="O349"/>
      <c r="P349" s="88"/>
      <c r="Q349"/>
      <c r="R349"/>
    </row>
    <row r="350" spans="1:18" x14ac:dyDescent="0.25">
      <c r="A350" s="80"/>
      <c r="B350" s="81"/>
      <c r="C350" s="81"/>
      <c r="D350" s="81"/>
      <c r="E350"/>
      <c r="F350"/>
      <c r="G350"/>
      <c r="H350"/>
      <c r="I350"/>
      <c r="J350"/>
      <c r="K350"/>
      <c r="L350"/>
      <c r="M350"/>
      <c r="N350"/>
      <c r="O350"/>
      <c r="P350" s="88"/>
      <c r="Q350"/>
      <c r="R350"/>
    </row>
    <row r="351" spans="1:18" x14ac:dyDescent="0.25">
      <c r="A351" s="80"/>
      <c r="B351" s="81"/>
      <c r="C351" s="81"/>
      <c r="D351" s="81"/>
      <c r="E351"/>
      <c r="F351"/>
      <c r="G351"/>
      <c r="H351"/>
      <c r="I351"/>
      <c r="J351"/>
      <c r="K351"/>
      <c r="L351"/>
      <c r="M351"/>
      <c r="N351"/>
      <c r="O351"/>
      <c r="P351" s="88"/>
      <c r="Q351"/>
      <c r="R351"/>
    </row>
    <row r="352" spans="1:18" x14ac:dyDescent="0.25">
      <c r="A352" s="80"/>
      <c r="B352" s="81"/>
      <c r="C352" s="81"/>
      <c r="D352" s="81"/>
      <c r="E352"/>
      <c r="F352"/>
      <c r="G352"/>
      <c r="H352"/>
      <c r="I352"/>
      <c r="J352"/>
      <c r="K352"/>
      <c r="L352"/>
      <c r="M352"/>
      <c r="N352"/>
      <c r="O352"/>
      <c r="P352" s="88"/>
      <c r="Q352"/>
      <c r="R352"/>
    </row>
    <row r="353" spans="1:18" x14ac:dyDescent="0.25">
      <c r="A353" s="80"/>
      <c r="B353" s="81"/>
      <c r="C353" s="81"/>
      <c r="D353" s="81"/>
      <c r="E353"/>
      <c r="F353"/>
      <c r="G353"/>
      <c r="H353"/>
      <c r="I353"/>
      <c r="J353"/>
      <c r="K353"/>
      <c r="L353"/>
      <c r="M353"/>
      <c r="N353"/>
      <c r="O353"/>
      <c r="P353" s="88"/>
      <c r="Q353"/>
      <c r="R353"/>
    </row>
    <row r="354" spans="1:18" x14ac:dyDescent="0.25">
      <c r="A354" s="80"/>
      <c r="B354" s="81"/>
      <c r="C354" s="81"/>
      <c r="D354" s="81"/>
      <c r="E354"/>
      <c r="F354"/>
      <c r="G354"/>
      <c r="H354"/>
      <c r="I354"/>
      <c r="J354"/>
      <c r="K354"/>
      <c r="L354"/>
      <c r="M354"/>
      <c r="N354"/>
      <c r="O354"/>
      <c r="P354" s="88"/>
      <c r="Q354"/>
      <c r="R354"/>
    </row>
    <row r="355" spans="1:18" x14ac:dyDescent="0.25">
      <c r="A355" s="80"/>
      <c r="B355" s="81"/>
      <c r="C355" s="81"/>
      <c r="D355" s="81"/>
      <c r="E355"/>
      <c r="F355"/>
      <c r="G355"/>
      <c r="H355"/>
      <c r="I355"/>
      <c r="J355"/>
      <c r="K355"/>
      <c r="L355"/>
      <c r="M355"/>
      <c r="N355"/>
      <c r="O355"/>
      <c r="P355" s="88"/>
      <c r="Q355"/>
      <c r="R355"/>
    </row>
    <row r="356" spans="1:18" x14ac:dyDescent="0.25">
      <c r="A356" s="80"/>
      <c r="B356" s="81"/>
      <c r="C356" s="81"/>
      <c r="D356" s="81"/>
      <c r="E356"/>
      <c r="F356"/>
      <c r="G356"/>
      <c r="H356"/>
      <c r="I356"/>
      <c r="J356"/>
      <c r="K356"/>
      <c r="L356"/>
      <c r="M356"/>
      <c r="N356"/>
      <c r="O356"/>
      <c r="P356" s="88"/>
      <c r="Q356"/>
      <c r="R356"/>
    </row>
    <row r="357" spans="1:18" x14ac:dyDescent="0.25">
      <c r="A357" s="80"/>
      <c r="B357" s="81"/>
      <c r="C357" s="81"/>
      <c r="D357" s="81"/>
      <c r="E357"/>
      <c r="F357"/>
      <c r="G357"/>
      <c r="H357"/>
      <c r="I357"/>
      <c r="J357"/>
      <c r="K357"/>
      <c r="L357"/>
      <c r="M357"/>
      <c r="N357"/>
      <c r="O357"/>
      <c r="P357" s="88"/>
      <c r="Q357"/>
      <c r="R357"/>
    </row>
    <row r="358" spans="1:18" x14ac:dyDescent="0.25">
      <c r="A358" s="80"/>
      <c r="B358" s="81"/>
      <c r="C358" s="81"/>
      <c r="D358" s="81"/>
      <c r="E358"/>
      <c r="F358"/>
      <c r="G358"/>
      <c r="H358"/>
      <c r="I358"/>
      <c r="J358"/>
      <c r="K358"/>
      <c r="L358"/>
      <c r="M358"/>
      <c r="N358"/>
      <c r="O358"/>
      <c r="P358" s="88"/>
      <c r="Q358"/>
      <c r="R358"/>
    </row>
    <row r="359" spans="1:18" x14ac:dyDescent="0.25">
      <c r="A359" s="80"/>
      <c r="B359" s="81"/>
      <c r="C359" s="81"/>
      <c r="D359" s="81"/>
      <c r="E359"/>
      <c r="F359"/>
      <c r="G359"/>
      <c r="H359"/>
      <c r="I359"/>
      <c r="J359"/>
      <c r="K359"/>
      <c r="L359"/>
      <c r="M359"/>
      <c r="N359"/>
      <c r="O359"/>
      <c r="P359" s="88"/>
      <c r="Q359"/>
      <c r="R359"/>
    </row>
    <row r="360" spans="1:18" x14ac:dyDescent="0.25">
      <c r="A360" s="80"/>
      <c r="B360" s="81"/>
      <c r="C360" s="81"/>
      <c r="D360" s="81"/>
      <c r="E360"/>
      <c r="F360"/>
      <c r="G360"/>
      <c r="H360"/>
      <c r="I360"/>
      <c r="J360"/>
      <c r="K360"/>
      <c r="L360"/>
      <c r="M360"/>
      <c r="N360"/>
      <c r="O360"/>
      <c r="P360" s="88"/>
      <c r="Q360"/>
      <c r="R360"/>
    </row>
    <row r="361" spans="1:18" x14ac:dyDescent="0.25">
      <c r="A361" s="80"/>
      <c r="B361" s="81"/>
      <c r="C361" s="81"/>
      <c r="D361" s="81"/>
      <c r="E361"/>
      <c r="F361"/>
      <c r="G361"/>
      <c r="H361"/>
      <c r="I361"/>
      <c r="J361"/>
      <c r="K361"/>
      <c r="L361"/>
      <c r="M361"/>
      <c r="N361"/>
      <c r="O361"/>
      <c r="P361" s="88"/>
      <c r="Q361"/>
      <c r="R361"/>
    </row>
    <row r="362" spans="1:18" x14ac:dyDescent="0.25">
      <c r="A362" s="80"/>
      <c r="B362" s="81"/>
      <c r="C362" s="81"/>
      <c r="D362" s="81"/>
      <c r="E362"/>
      <c r="F362"/>
      <c r="G362"/>
      <c r="H362"/>
      <c r="I362"/>
      <c r="J362"/>
      <c r="K362"/>
      <c r="L362"/>
      <c r="M362"/>
      <c r="N362"/>
      <c r="O362"/>
      <c r="P362" s="88"/>
      <c r="Q362"/>
      <c r="R362"/>
    </row>
    <row r="363" spans="1:18" x14ac:dyDescent="0.25">
      <c r="A363" s="80"/>
      <c r="B363" s="81"/>
      <c r="C363" s="81"/>
      <c r="D363" s="81"/>
      <c r="E363"/>
      <c r="F363"/>
      <c r="G363"/>
      <c r="H363"/>
      <c r="I363"/>
      <c r="J363"/>
      <c r="K363"/>
      <c r="L363"/>
      <c r="M363"/>
      <c r="N363"/>
      <c r="O363"/>
      <c r="P363" s="88"/>
      <c r="Q363"/>
      <c r="R363"/>
    </row>
    <row r="364" spans="1:18" x14ac:dyDescent="0.25">
      <c r="A364" s="80"/>
      <c r="B364" s="81"/>
      <c r="C364" s="81"/>
      <c r="D364" s="81"/>
      <c r="E364"/>
      <c r="F364"/>
      <c r="G364"/>
      <c r="H364"/>
      <c r="I364"/>
      <c r="J364"/>
      <c r="K364"/>
      <c r="L364"/>
      <c r="M364"/>
      <c r="N364"/>
      <c r="O364"/>
      <c r="P364" s="88"/>
      <c r="Q364"/>
      <c r="R364"/>
    </row>
    <row r="365" spans="1:18" x14ac:dyDescent="0.25">
      <c r="A365" s="80"/>
      <c r="B365" s="81"/>
      <c r="C365" s="81"/>
      <c r="D365" s="81"/>
      <c r="E365"/>
      <c r="F365"/>
      <c r="G365"/>
      <c r="H365"/>
      <c r="I365"/>
      <c r="J365"/>
      <c r="K365"/>
      <c r="L365"/>
      <c r="M365"/>
      <c r="N365"/>
      <c r="O365"/>
      <c r="P365" s="88"/>
      <c r="Q365"/>
      <c r="R365"/>
    </row>
    <row r="366" spans="1:18" x14ac:dyDescent="0.25">
      <c r="A366" s="80"/>
      <c r="B366" s="81"/>
      <c r="C366" s="81"/>
      <c r="D366" s="81"/>
      <c r="E366"/>
      <c r="F366"/>
      <c r="G366"/>
      <c r="H366"/>
      <c r="I366"/>
      <c r="J366"/>
      <c r="K366"/>
      <c r="L366"/>
      <c r="M366"/>
      <c r="N366"/>
      <c r="O366"/>
      <c r="P366" s="88"/>
      <c r="Q366"/>
      <c r="R366"/>
    </row>
    <row r="367" spans="1:18" x14ac:dyDescent="0.25">
      <c r="A367" s="80"/>
      <c r="B367" s="81"/>
      <c r="C367" s="81"/>
      <c r="D367" s="81"/>
      <c r="E367"/>
      <c r="F367"/>
      <c r="G367"/>
      <c r="H367"/>
      <c r="I367"/>
      <c r="J367"/>
      <c r="K367"/>
      <c r="L367"/>
      <c r="M367"/>
      <c r="N367"/>
      <c r="O367"/>
      <c r="P367" s="88"/>
      <c r="Q367"/>
      <c r="R367"/>
    </row>
    <row r="368" spans="1:18" x14ac:dyDescent="0.25">
      <c r="A368" s="80"/>
      <c r="B368" s="81"/>
      <c r="C368" s="81"/>
      <c r="D368" s="81"/>
      <c r="E368"/>
      <c r="F368"/>
      <c r="G368"/>
      <c r="H368"/>
      <c r="I368"/>
      <c r="J368"/>
      <c r="K368"/>
      <c r="L368"/>
      <c r="M368"/>
      <c r="N368"/>
      <c r="O368"/>
      <c r="P368" s="88"/>
      <c r="Q368"/>
      <c r="R368"/>
    </row>
    <row r="369" spans="1:18" x14ac:dyDescent="0.25">
      <c r="A369" s="80"/>
      <c r="B369" s="81"/>
      <c r="C369" s="81"/>
      <c r="D369" s="81"/>
      <c r="E369"/>
      <c r="F369"/>
      <c r="G369"/>
      <c r="H369"/>
      <c r="I369"/>
      <c r="J369"/>
      <c r="K369"/>
      <c r="L369"/>
      <c r="M369"/>
      <c r="N369"/>
      <c r="O369"/>
      <c r="P369" s="88"/>
      <c r="Q369"/>
      <c r="R369"/>
    </row>
    <row r="370" spans="1:18" x14ac:dyDescent="0.25">
      <c r="A370" s="80"/>
      <c r="B370" s="81"/>
      <c r="C370" s="81"/>
      <c r="D370" s="81"/>
      <c r="E370"/>
      <c r="F370"/>
      <c r="G370"/>
      <c r="H370"/>
      <c r="I370"/>
      <c r="J370"/>
      <c r="K370"/>
      <c r="L370"/>
      <c r="M370"/>
      <c r="N370"/>
      <c r="O370"/>
      <c r="P370" s="88"/>
      <c r="Q370"/>
      <c r="R370"/>
    </row>
    <row r="371" spans="1:18" x14ac:dyDescent="0.25">
      <c r="A371" s="80"/>
      <c r="B371" s="81"/>
      <c r="C371" s="81"/>
      <c r="D371" s="81"/>
      <c r="E371"/>
      <c r="F371"/>
      <c r="G371"/>
      <c r="H371"/>
      <c r="I371"/>
      <c r="J371"/>
      <c r="K371"/>
      <c r="L371"/>
      <c r="M371"/>
      <c r="N371"/>
      <c r="O371"/>
      <c r="P371" s="88"/>
      <c r="Q371"/>
      <c r="R371"/>
    </row>
    <row r="372" spans="1:18" x14ac:dyDescent="0.25">
      <c r="A372" s="80"/>
      <c r="B372" s="81"/>
      <c r="C372" s="81"/>
      <c r="D372" s="81"/>
      <c r="E372"/>
      <c r="F372"/>
      <c r="G372"/>
      <c r="H372"/>
      <c r="I372"/>
      <c r="J372"/>
      <c r="K372"/>
      <c r="L372"/>
      <c r="M372"/>
      <c r="N372"/>
      <c r="O372"/>
      <c r="P372" s="88"/>
      <c r="Q372"/>
      <c r="R372"/>
    </row>
    <row r="373" spans="1:18" x14ac:dyDescent="0.25">
      <c r="A373" s="80"/>
      <c r="B373" s="81"/>
      <c r="C373" s="81"/>
      <c r="D373" s="81"/>
      <c r="E373"/>
      <c r="F373"/>
      <c r="G373"/>
      <c r="H373"/>
      <c r="I373"/>
      <c r="J373"/>
      <c r="K373"/>
      <c r="L373"/>
      <c r="M373"/>
      <c r="N373"/>
      <c r="O373"/>
      <c r="P373" s="88"/>
      <c r="Q373"/>
      <c r="R373"/>
    </row>
    <row r="374" spans="1:18" x14ac:dyDescent="0.25">
      <c r="A374" s="80"/>
      <c r="B374" s="81"/>
      <c r="C374" s="81"/>
      <c r="D374" s="81"/>
      <c r="E374"/>
      <c r="F374"/>
      <c r="G374"/>
      <c r="H374"/>
      <c r="I374"/>
      <c r="J374"/>
      <c r="K374"/>
      <c r="L374"/>
      <c r="M374"/>
      <c r="N374"/>
      <c r="O374"/>
      <c r="P374" s="88"/>
      <c r="Q374"/>
      <c r="R374"/>
    </row>
    <row r="375" spans="1:18" x14ac:dyDescent="0.25">
      <c r="A375" s="80"/>
      <c r="B375" s="81"/>
      <c r="C375" s="81"/>
      <c r="D375" s="81"/>
      <c r="E375"/>
      <c r="F375"/>
      <c r="G375"/>
      <c r="H375"/>
      <c r="I375"/>
      <c r="J375"/>
      <c r="K375"/>
      <c r="L375"/>
      <c r="M375"/>
      <c r="N375"/>
      <c r="O375"/>
      <c r="P375" s="88"/>
      <c r="Q375"/>
      <c r="R375"/>
    </row>
    <row r="376" spans="1:18" x14ac:dyDescent="0.25">
      <c r="A376" s="80"/>
      <c r="B376" s="81"/>
      <c r="C376" s="81"/>
      <c r="D376" s="81"/>
      <c r="E376"/>
      <c r="F376"/>
      <c r="G376"/>
      <c r="H376"/>
      <c r="I376"/>
      <c r="J376"/>
      <c r="K376"/>
      <c r="L376"/>
      <c r="M376"/>
      <c r="N376"/>
      <c r="O376"/>
      <c r="P376" s="88"/>
      <c r="Q376"/>
      <c r="R376"/>
    </row>
    <row r="377" spans="1:18" x14ac:dyDescent="0.25">
      <c r="A377" s="80"/>
      <c r="B377" s="81"/>
      <c r="C377" s="81"/>
      <c r="D377" s="81"/>
      <c r="E377"/>
      <c r="F377"/>
      <c r="G377"/>
      <c r="H377"/>
      <c r="I377"/>
      <c r="J377"/>
      <c r="K377"/>
      <c r="L377"/>
      <c r="M377"/>
      <c r="N377"/>
      <c r="O377"/>
      <c r="P377" s="88"/>
      <c r="Q377"/>
      <c r="R377"/>
    </row>
    <row r="378" spans="1:18" x14ac:dyDescent="0.25">
      <c r="A378" s="80"/>
      <c r="B378" s="81"/>
      <c r="C378" s="81"/>
      <c r="D378" s="81"/>
      <c r="E378"/>
      <c r="F378"/>
      <c r="G378"/>
      <c r="H378"/>
      <c r="I378"/>
      <c r="J378"/>
      <c r="K378"/>
      <c r="L378"/>
      <c r="M378"/>
      <c r="N378"/>
      <c r="O378"/>
      <c r="P378" s="88"/>
      <c r="Q378"/>
      <c r="R378"/>
    </row>
    <row r="379" spans="1:18" x14ac:dyDescent="0.25">
      <c r="A379" s="80"/>
      <c r="B379" s="81"/>
      <c r="C379" s="81"/>
      <c r="D379" s="81"/>
      <c r="E379"/>
      <c r="F379"/>
      <c r="G379"/>
      <c r="H379"/>
      <c r="I379"/>
      <c r="J379"/>
      <c r="K379"/>
      <c r="L379"/>
      <c r="M379"/>
      <c r="N379"/>
      <c r="O379"/>
      <c r="P379" s="88"/>
      <c r="Q379"/>
      <c r="R379"/>
    </row>
    <row r="380" spans="1:18" x14ac:dyDescent="0.25">
      <c r="A380" s="80"/>
      <c r="B380" s="81"/>
      <c r="C380" s="81"/>
      <c r="D380" s="81"/>
      <c r="E380"/>
      <c r="F380"/>
      <c r="G380"/>
      <c r="H380"/>
      <c r="I380"/>
      <c r="J380"/>
      <c r="K380"/>
      <c r="L380"/>
      <c r="M380"/>
      <c r="N380"/>
      <c r="O380"/>
      <c r="P380" s="88"/>
      <c r="Q380"/>
      <c r="R380"/>
    </row>
    <row r="381" spans="1:18" x14ac:dyDescent="0.25">
      <c r="A381" s="80"/>
      <c r="B381" s="81"/>
      <c r="C381" s="81"/>
      <c r="D381" s="81"/>
      <c r="E381"/>
      <c r="F381"/>
      <c r="G381"/>
      <c r="H381"/>
      <c r="I381"/>
      <c r="J381"/>
      <c r="K381"/>
      <c r="L381"/>
      <c r="M381"/>
      <c r="N381"/>
      <c r="O381"/>
      <c r="P381" s="88"/>
      <c r="Q381"/>
      <c r="R381"/>
    </row>
    <row r="382" spans="1:18" x14ac:dyDescent="0.25">
      <c r="A382" s="80"/>
      <c r="B382" s="81"/>
      <c r="C382" s="81"/>
      <c r="D382" s="81"/>
      <c r="E382"/>
      <c r="F382"/>
      <c r="G382"/>
      <c r="H382"/>
      <c r="I382"/>
      <c r="J382"/>
      <c r="K382"/>
      <c r="L382"/>
      <c r="M382"/>
      <c r="N382"/>
      <c r="O382"/>
      <c r="P382" s="88"/>
      <c r="Q382"/>
      <c r="R382"/>
    </row>
    <row r="383" spans="1:18" x14ac:dyDescent="0.25">
      <c r="A383" s="80"/>
      <c r="B383" s="81"/>
      <c r="C383" s="81"/>
      <c r="D383" s="81"/>
      <c r="E383"/>
      <c r="F383"/>
      <c r="G383"/>
      <c r="H383"/>
      <c r="I383"/>
      <c r="J383"/>
      <c r="K383"/>
      <c r="L383"/>
      <c r="M383"/>
      <c r="N383"/>
      <c r="O383"/>
      <c r="P383" s="88"/>
      <c r="Q383"/>
      <c r="R383"/>
    </row>
    <row r="384" spans="1:18" x14ac:dyDescent="0.25">
      <c r="A384" s="80"/>
      <c r="B384" s="81"/>
      <c r="C384" s="81"/>
      <c r="D384" s="81"/>
      <c r="E384"/>
      <c r="F384"/>
      <c r="G384"/>
      <c r="H384"/>
      <c r="I384"/>
      <c r="J384"/>
      <c r="K384"/>
      <c r="L384"/>
      <c r="M384"/>
      <c r="N384"/>
      <c r="O384"/>
      <c r="P384" s="88"/>
      <c r="Q384"/>
      <c r="R384"/>
    </row>
    <row r="385" spans="1:18" x14ac:dyDescent="0.25">
      <c r="A385" s="80"/>
      <c r="B385" s="81"/>
      <c r="C385" s="81"/>
      <c r="D385" s="81"/>
      <c r="E385"/>
      <c r="F385"/>
      <c r="G385"/>
      <c r="H385"/>
      <c r="I385"/>
      <c r="J385"/>
      <c r="K385"/>
      <c r="L385"/>
      <c r="M385"/>
      <c r="N385"/>
      <c r="O385"/>
      <c r="P385" s="88"/>
      <c r="Q385"/>
      <c r="R385"/>
    </row>
    <row r="386" spans="1:18" x14ac:dyDescent="0.25">
      <c r="A386" s="80"/>
      <c r="B386" s="81"/>
      <c r="C386" s="81"/>
      <c r="D386" s="81"/>
      <c r="E386"/>
      <c r="F386"/>
      <c r="G386"/>
      <c r="H386"/>
      <c r="I386"/>
      <c r="J386"/>
      <c r="K386"/>
      <c r="L386"/>
      <c r="M386"/>
      <c r="N386"/>
      <c r="O386"/>
      <c r="P386" s="88"/>
      <c r="Q386"/>
      <c r="R386"/>
    </row>
    <row r="387" spans="1:18" x14ac:dyDescent="0.25">
      <c r="A387" s="80"/>
      <c r="B387" s="81"/>
      <c r="C387" s="81"/>
      <c r="D387" s="81"/>
      <c r="E387"/>
      <c r="F387"/>
      <c r="G387"/>
      <c r="H387"/>
      <c r="I387"/>
      <c r="J387"/>
      <c r="K387"/>
      <c r="L387"/>
      <c r="M387"/>
      <c r="N387"/>
      <c r="O387"/>
      <c r="P387" s="88"/>
      <c r="Q387"/>
      <c r="R387"/>
    </row>
    <row r="388" spans="1:18" x14ac:dyDescent="0.25">
      <c r="A388" s="80"/>
      <c r="B388" s="81"/>
      <c r="C388" s="81"/>
      <c r="D388" s="81"/>
      <c r="E388"/>
      <c r="F388"/>
      <c r="G388"/>
      <c r="H388"/>
      <c r="I388"/>
      <c r="J388"/>
      <c r="K388"/>
      <c r="L388"/>
      <c r="M388"/>
      <c r="N388"/>
      <c r="O388"/>
      <c r="P388" s="88"/>
      <c r="Q388"/>
      <c r="R388"/>
    </row>
    <row r="389" spans="1:18" x14ac:dyDescent="0.25">
      <c r="A389" s="80"/>
      <c r="B389" s="89"/>
      <c r="C389" s="89"/>
      <c r="D389" s="89"/>
    </row>
    <row r="390" spans="1:18" x14ac:dyDescent="0.25">
      <c r="A390" s="80"/>
      <c r="B390" s="89"/>
      <c r="C390" s="89"/>
      <c r="D390" s="89"/>
    </row>
    <row r="391" spans="1:18" x14ac:dyDescent="0.25">
      <c r="A391" s="80"/>
      <c r="B391" s="89"/>
      <c r="C391" s="89"/>
      <c r="D391" s="89"/>
    </row>
    <row r="392" spans="1:18" x14ac:dyDescent="0.25">
      <c r="A392" s="80"/>
      <c r="B392" s="89"/>
      <c r="C392" s="89"/>
      <c r="D392" s="89"/>
    </row>
    <row r="393" spans="1:18" x14ac:dyDescent="0.25">
      <c r="A393" s="80"/>
      <c r="B393" s="89"/>
      <c r="C393" s="89"/>
      <c r="D393" s="89"/>
    </row>
    <row r="394" spans="1:18" x14ac:dyDescent="0.25">
      <c r="A394" s="80"/>
      <c r="B394" s="89"/>
      <c r="C394" s="89"/>
      <c r="D394" s="89"/>
    </row>
    <row r="395" spans="1:18" x14ac:dyDescent="0.25">
      <c r="A395" s="80"/>
      <c r="B395" s="89"/>
      <c r="C395" s="89"/>
      <c r="D395" s="89"/>
    </row>
    <row r="396" spans="1:18" x14ac:dyDescent="0.25">
      <c r="A396" s="80"/>
      <c r="B396" s="89"/>
      <c r="C396" s="89"/>
      <c r="D396" s="89"/>
    </row>
    <row r="397" spans="1:18" x14ac:dyDescent="0.25">
      <c r="A397" s="80"/>
      <c r="B397" s="89"/>
      <c r="C397" s="89"/>
      <c r="D397" s="89"/>
    </row>
    <row r="398" spans="1:18" x14ac:dyDescent="0.25">
      <c r="A398" s="80"/>
      <c r="B398" s="89"/>
      <c r="C398" s="89"/>
      <c r="D398" s="89"/>
    </row>
  </sheetData>
  <mergeCells count="5">
    <mergeCell ref="F1:K3"/>
    <mergeCell ref="B4:D4"/>
    <mergeCell ref="E4:G4"/>
    <mergeCell ref="H4:L4"/>
    <mergeCell ref="Q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MAQUINA DE AGUA 350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Felipe Tovar Aviles</dc:creator>
  <cp:lastModifiedBy>Ruben Felipe Tovar Aviles</cp:lastModifiedBy>
  <dcterms:created xsi:type="dcterms:W3CDTF">2026-03-27T21:51:14Z</dcterms:created>
  <dcterms:modified xsi:type="dcterms:W3CDTF">2026-03-27T21:51:32Z</dcterms:modified>
</cp:coreProperties>
</file>