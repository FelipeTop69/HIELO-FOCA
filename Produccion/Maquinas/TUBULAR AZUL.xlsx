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pea\OneDrive\Documentos\HIELO FOCA\Produccion\Maquinas\"/>
    </mc:Choice>
  </mc:AlternateContent>
  <xr:revisionPtr revIDLastSave="0" documentId="8_{E3078ACD-AF8E-4F74-86E6-1ECE129012F2}" xr6:coauthVersionLast="47" xr6:coauthVersionMax="47" xr10:uidLastSave="{00000000-0000-0000-0000-000000000000}"/>
  <bookViews>
    <workbookView xWindow="0" yWindow="0" windowWidth="20490" windowHeight="11520" xr2:uid="{E7EADCDA-0BB7-4046-8D86-00A145180498}"/>
  </bookViews>
  <sheets>
    <sheet name="TUBULAR AZUL" sheetId="1" r:id="rId1"/>
  </sheets>
  <definedNames>
    <definedName name="_xlnm._FilterDatabase" localSheetId="0" hidden="1">'TUBULAR AZUL'!$P$1:$P$304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1" i="1" l="1"/>
  <c r="X131" i="1" s="1"/>
  <c r="O131" i="1"/>
  <c r="M131" i="1"/>
  <c r="N131" i="1" s="1"/>
  <c r="E131" i="1"/>
  <c r="D131" i="1"/>
  <c r="X130" i="1"/>
  <c r="W130" i="1"/>
  <c r="N130" i="1"/>
  <c r="M130" i="1"/>
  <c r="E130" i="1"/>
  <c r="G130" i="1" s="1"/>
  <c r="O130" i="1" s="1"/>
  <c r="D130" i="1"/>
  <c r="X129" i="1"/>
  <c r="W129" i="1"/>
  <c r="N129" i="1"/>
  <c r="M129" i="1"/>
  <c r="E129" i="1"/>
  <c r="G129" i="1" s="1"/>
  <c r="O129" i="1" s="1"/>
  <c r="D129" i="1"/>
  <c r="X128" i="1"/>
  <c r="W128" i="1"/>
  <c r="N128" i="1"/>
  <c r="M128" i="1"/>
  <c r="E128" i="1"/>
  <c r="G128" i="1" s="1"/>
  <c r="O128" i="1" s="1"/>
  <c r="D128" i="1"/>
  <c r="X127" i="1"/>
  <c r="W127" i="1"/>
  <c r="N127" i="1"/>
  <c r="M127" i="1"/>
  <c r="E127" i="1"/>
  <c r="G127" i="1" s="1"/>
  <c r="O127" i="1" s="1"/>
  <c r="D127" i="1"/>
  <c r="X126" i="1"/>
  <c r="W126" i="1"/>
  <c r="N126" i="1"/>
  <c r="M126" i="1"/>
  <c r="E126" i="1"/>
  <c r="G126" i="1" s="1"/>
  <c r="O126" i="1" s="1"/>
  <c r="D126" i="1"/>
  <c r="X125" i="1"/>
  <c r="W125" i="1"/>
  <c r="N125" i="1"/>
  <c r="M125" i="1"/>
  <c r="E125" i="1"/>
  <c r="G125" i="1" s="1"/>
  <c r="O125" i="1" s="1"/>
  <c r="D125" i="1"/>
  <c r="X124" i="1"/>
  <c r="W124" i="1"/>
  <c r="N124" i="1"/>
  <c r="M124" i="1"/>
  <c r="G124" i="1"/>
  <c r="O124" i="1" s="1"/>
  <c r="D124" i="1"/>
  <c r="X123" i="1"/>
  <c r="W123" i="1"/>
  <c r="M123" i="1"/>
  <c r="O123" i="1" s="1"/>
  <c r="G123" i="1"/>
  <c r="D123" i="1"/>
  <c r="W122" i="1"/>
  <c r="X122" i="1" s="1"/>
  <c r="O122" i="1"/>
  <c r="M122" i="1"/>
  <c r="N122" i="1" s="1"/>
  <c r="G122" i="1"/>
  <c r="E122" i="1"/>
  <c r="D122" i="1"/>
  <c r="W121" i="1"/>
  <c r="X121" i="1" s="1"/>
  <c r="O121" i="1"/>
  <c r="M121" i="1"/>
  <c r="N121" i="1" s="1"/>
  <c r="G121" i="1"/>
  <c r="E121" i="1"/>
  <c r="D121" i="1"/>
  <c r="W120" i="1"/>
  <c r="X120" i="1" s="1"/>
  <c r="O120" i="1"/>
  <c r="M120" i="1"/>
  <c r="N120" i="1" s="1"/>
  <c r="G120" i="1"/>
  <c r="E120" i="1"/>
  <c r="D120" i="1"/>
  <c r="W119" i="1"/>
  <c r="X119" i="1" s="1"/>
  <c r="O119" i="1"/>
  <c r="M119" i="1"/>
  <c r="N119" i="1" s="1"/>
  <c r="G119" i="1"/>
  <c r="E119" i="1"/>
  <c r="D119" i="1"/>
  <c r="W118" i="1"/>
  <c r="X118" i="1" s="1"/>
  <c r="O118" i="1"/>
  <c r="M118" i="1"/>
  <c r="N118" i="1" s="1"/>
  <c r="G118" i="1"/>
  <c r="E118" i="1"/>
  <c r="D118" i="1"/>
  <c r="W117" i="1"/>
  <c r="X117" i="1" s="1"/>
  <c r="O117" i="1"/>
  <c r="M117" i="1"/>
  <c r="N117" i="1" s="1"/>
  <c r="G117" i="1"/>
  <c r="E117" i="1"/>
  <c r="D117" i="1"/>
  <c r="W116" i="1"/>
  <c r="X116" i="1" s="1"/>
  <c r="O116" i="1"/>
  <c r="M116" i="1"/>
  <c r="N116" i="1" s="1"/>
  <c r="G116" i="1"/>
  <c r="E116" i="1"/>
  <c r="D116" i="1"/>
  <c r="W115" i="1"/>
  <c r="X115" i="1" s="1"/>
  <c r="O115" i="1"/>
  <c r="M115" i="1"/>
  <c r="N115" i="1" s="1"/>
  <c r="G115" i="1"/>
  <c r="E115" i="1"/>
  <c r="D115" i="1"/>
  <c r="W114" i="1"/>
  <c r="X114" i="1" s="1"/>
  <c r="O114" i="1"/>
  <c r="M114" i="1"/>
  <c r="N114" i="1" s="1"/>
  <c r="G114" i="1"/>
  <c r="E114" i="1"/>
  <c r="D114" i="1"/>
  <c r="W113" i="1"/>
  <c r="X113" i="1" s="1"/>
  <c r="M113" i="1"/>
  <c r="N113" i="1" s="1"/>
  <c r="G113" i="1"/>
  <c r="O113" i="1" s="1"/>
  <c r="E113" i="1"/>
  <c r="D113" i="1"/>
  <c r="W112" i="1"/>
  <c r="X112" i="1" s="1"/>
  <c r="O112" i="1"/>
  <c r="M112" i="1"/>
  <c r="N112" i="1" s="1"/>
  <c r="G112" i="1"/>
  <c r="E112" i="1"/>
  <c r="D112" i="1"/>
  <c r="W111" i="1"/>
  <c r="X111" i="1" s="1"/>
  <c r="O111" i="1"/>
  <c r="M111" i="1"/>
  <c r="N111" i="1" s="1"/>
  <c r="G111" i="1"/>
  <c r="E111" i="1"/>
  <c r="D111" i="1"/>
  <c r="W110" i="1"/>
  <c r="X110" i="1" s="1"/>
  <c r="O110" i="1"/>
  <c r="M110" i="1"/>
  <c r="N110" i="1" s="1"/>
  <c r="G110" i="1"/>
  <c r="D110" i="1"/>
  <c r="W109" i="1"/>
  <c r="X109" i="1" s="1"/>
  <c r="N109" i="1"/>
  <c r="M109" i="1"/>
  <c r="E109" i="1"/>
  <c r="G109" i="1" s="1"/>
  <c r="O109" i="1" s="1"/>
  <c r="D109" i="1"/>
  <c r="W108" i="1"/>
  <c r="X108" i="1" s="1"/>
  <c r="N108" i="1"/>
  <c r="M108" i="1"/>
  <c r="E108" i="1"/>
  <c r="G108" i="1" s="1"/>
  <c r="O108" i="1" s="1"/>
  <c r="D108" i="1"/>
  <c r="W107" i="1"/>
  <c r="X107" i="1" s="1"/>
  <c r="N107" i="1"/>
  <c r="M107" i="1"/>
  <c r="E107" i="1"/>
  <c r="G107" i="1" s="1"/>
  <c r="O107" i="1" s="1"/>
  <c r="D107" i="1"/>
  <c r="W106" i="1"/>
  <c r="X106" i="1" s="1"/>
  <c r="N106" i="1"/>
  <c r="M106" i="1"/>
  <c r="E106" i="1"/>
  <c r="G106" i="1" s="1"/>
  <c r="O106" i="1" s="1"/>
  <c r="D106" i="1"/>
  <c r="W105" i="1"/>
  <c r="X105" i="1" s="1"/>
  <c r="N105" i="1"/>
  <c r="M105" i="1"/>
  <c r="E105" i="1"/>
  <c r="G105" i="1" s="1"/>
  <c r="O105" i="1" s="1"/>
  <c r="D105" i="1"/>
  <c r="W104" i="1"/>
  <c r="X104" i="1" s="1"/>
  <c r="N104" i="1"/>
  <c r="M104" i="1"/>
  <c r="E104" i="1"/>
  <c r="G104" i="1" s="1"/>
  <c r="O104" i="1" s="1"/>
  <c r="D104" i="1"/>
  <c r="W103" i="1"/>
  <c r="X103" i="1" s="1"/>
  <c r="N103" i="1"/>
  <c r="M103" i="1"/>
  <c r="E103" i="1"/>
  <c r="G103" i="1" s="1"/>
  <c r="O103" i="1" s="1"/>
  <c r="D103" i="1"/>
  <c r="W102" i="1"/>
  <c r="X102" i="1" s="1"/>
  <c r="N102" i="1"/>
  <c r="M102" i="1"/>
  <c r="E102" i="1"/>
  <c r="G102" i="1" s="1"/>
  <c r="O102" i="1" s="1"/>
  <c r="D102" i="1"/>
  <c r="W101" i="1"/>
  <c r="X101" i="1" s="1"/>
  <c r="N101" i="1"/>
  <c r="M101" i="1"/>
  <c r="E101" i="1"/>
  <c r="G101" i="1" s="1"/>
  <c r="O101" i="1" s="1"/>
  <c r="D101" i="1"/>
  <c r="W100" i="1"/>
  <c r="X100" i="1" s="1"/>
  <c r="N100" i="1"/>
  <c r="M100" i="1"/>
  <c r="E100" i="1"/>
  <c r="G100" i="1" s="1"/>
  <c r="O100" i="1" s="1"/>
  <c r="D100" i="1"/>
  <c r="W99" i="1"/>
  <c r="X99" i="1" s="1"/>
  <c r="N99" i="1"/>
  <c r="M99" i="1"/>
  <c r="E99" i="1"/>
  <c r="G99" i="1" s="1"/>
  <c r="O99" i="1" s="1"/>
  <c r="D99" i="1"/>
  <c r="W98" i="1"/>
  <c r="X98" i="1" s="1"/>
  <c r="N98" i="1"/>
  <c r="M98" i="1"/>
  <c r="E98" i="1"/>
  <c r="G98" i="1" s="1"/>
  <c r="O98" i="1" s="1"/>
  <c r="D98" i="1"/>
  <c r="W97" i="1"/>
  <c r="X97" i="1" s="1"/>
  <c r="N97" i="1"/>
  <c r="M97" i="1"/>
  <c r="E97" i="1"/>
  <c r="G97" i="1" s="1"/>
  <c r="O97" i="1" s="1"/>
  <c r="D97" i="1"/>
  <c r="W96" i="1"/>
  <c r="X96" i="1" s="1"/>
  <c r="N96" i="1"/>
  <c r="M96" i="1"/>
  <c r="E96" i="1"/>
  <c r="G96" i="1" s="1"/>
  <c r="O96" i="1" s="1"/>
  <c r="D96" i="1"/>
  <c r="M95" i="1"/>
  <c r="G95" i="1"/>
  <c r="E95" i="1"/>
  <c r="D95" i="1"/>
  <c r="O94" i="1"/>
  <c r="M94" i="1"/>
  <c r="N94" i="1" s="1"/>
  <c r="E94" i="1"/>
  <c r="G94" i="1" s="1"/>
  <c r="D94" i="1"/>
  <c r="W93" i="1"/>
  <c r="X93" i="1" s="1"/>
  <c r="M93" i="1"/>
  <c r="N93" i="1" s="1"/>
  <c r="E93" i="1"/>
  <c r="G93" i="1" s="1"/>
  <c r="O93" i="1" s="1"/>
  <c r="D93" i="1"/>
  <c r="W92" i="1"/>
  <c r="X92" i="1" s="1"/>
  <c r="M92" i="1"/>
  <c r="N92" i="1" s="1"/>
  <c r="E92" i="1"/>
  <c r="G92" i="1" s="1"/>
  <c r="O92" i="1" s="1"/>
  <c r="D92" i="1"/>
  <c r="W91" i="1"/>
  <c r="X91" i="1" s="1"/>
  <c r="M91" i="1"/>
  <c r="N91" i="1" s="1"/>
  <c r="G91" i="1"/>
  <c r="O91" i="1" s="1"/>
  <c r="E91" i="1"/>
  <c r="D91" i="1"/>
  <c r="E90" i="1"/>
  <c r="E89" i="1"/>
  <c r="X88" i="1"/>
  <c r="W88" i="1"/>
  <c r="M88" i="1"/>
  <c r="G88" i="1"/>
  <c r="E88" i="1"/>
  <c r="D88" i="1"/>
  <c r="X87" i="1"/>
  <c r="W87" i="1"/>
  <c r="N87" i="1"/>
  <c r="M87" i="1"/>
  <c r="G87" i="1"/>
  <c r="E87" i="1"/>
  <c r="D87" i="1"/>
  <c r="X86" i="1"/>
  <c r="W86" i="1"/>
  <c r="M86" i="1"/>
  <c r="O86" i="1" s="1"/>
  <c r="G86" i="1"/>
  <c r="E86" i="1"/>
  <c r="D86" i="1"/>
  <c r="X85" i="1"/>
  <c r="W85" i="1"/>
  <c r="N85" i="1"/>
  <c r="M85" i="1"/>
  <c r="G85" i="1"/>
  <c r="E85" i="1"/>
  <c r="D85" i="1"/>
  <c r="X84" i="1"/>
  <c r="W84" i="1"/>
  <c r="M84" i="1"/>
  <c r="O84" i="1" s="1"/>
  <c r="E84" i="1"/>
  <c r="D84" i="1"/>
  <c r="W83" i="1"/>
  <c r="X83" i="1" s="1"/>
  <c r="M83" i="1"/>
  <c r="G83" i="1"/>
  <c r="E83" i="1"/>
  <c r="D83" i="1"/>
  <c r="W82" i="1"/>
  <c r="X82" i="1" s="1"/>
  <c r="M82" i="1"/>
  <c r="G82" i="1"/>
  <c r="E82" i="1"/>
  <c r="D82" i="1"/>
  <c r="W81" i="1"/>
  <c r="X81" i="1" s="1"/>
  <c r="M81" i="1"/>
  <c r="E81" i="1"/>
  <c r="G81" i="1" s="1"/>
  <c r="D81" i="1"/>
  <c r="W80" i="1"/>
  <c r="X80" i="1" s="1"/>
  <c r="M80" i="1"/>
  <c r="E80" i="1"/>
  <c r="G80" i="1" s="1"/>
  <c r="D80" i="1"/>
  <c r="W79" i="1"/>
  <c r="X79" i="1" s="1"/>
  <c r="M79" i="1"/>
  <c r="E79" i="1"/>
  <c r="G79" i="1" s="1"/>
  <c r="D79" i="1"/>
  <c r="W78" i="1"/>
  <c r="X78" i="1" s="1"/>
  <c r="M78" i="1"/>
  <c r="E78" i="1"/>
  <c r="G78" i="1" s="1"/>
  <c r="D78" i="1"/>
  <c r="N77" i="1"/>
  <c r="M77" i="1"/>
  <c r="E77" i="1"/>
  <c r="G77" i="1" s="1"/>
  <c r="O77" i="1" s="1"/>
  <c r="D77" i="1"/>
  <c r="O76" i="1"/>
  <c r="M76" i="1"/>
  <c r="N76" i="1" s="1"/>
  <c r="G76" i="1"/>
  <c r="E76" i="1"/>
  <c r="D76" i="1"/>
  <c r="X75" i="1"/>
  <c r="W75" i="1"/>
  <c r="O75" i="1"/>
  <c r="M75" i="1"/>
  <c r="N75" i="1" s="1"/>
  <c r="G75" i="1"/>
  <c r="E75" i="1"/>
  <c r="D75" i="1"/>
  <c r="W74" i="1"/>
  <c r="X74" i="1" s="1"/>
  <c r="M74" i="1"/>
  <c r="N74" i="1" s="1"/>
  <c r="G74" i="1"/>
  <c r="O74" i="1" s="1"/>
  <c r="E74" i="1"/>
  <c r="D74" i="1"/>
  <c r="X73" i="1"/>
  <c r="W73" i="1"/>
  <c r="O73" i="1"/>
  <c r="M73" i="1"/>
  <c r="N73" i="1" s="1"/>
  <c r="G73" i="1"/>
  <c r="E73" i="1"/>
  <c r="D73" i="1"/>
  <c r="W72" i="1"/>
  <c r="X72" i="1" s="1"/>
  <c r="M72" i="1"/>
  <c r="N72" i="1" s="1"/>
  <c r="G72" i="1"/>
  <c r="O72" i="1" s="1"/>
  <c r="E72" i="1"/>
  <c r="D72" i="1"/>
  <c r="W71" i="1"/>
  <c r="X71" i="1" s="1"/>
  <c r="O71" i="1"/>
  <c r="M71" i="1"/>
  <c r="N71" i="1" s="1"/>
  <c r="G71" i="1"/>
  <c r="E71" i="1"/>
  <c r="D71" i="1"/>
  <c r="M70" i="1"/>
  <c r="N70" i="1" s="1"/>
  <c r="E70" i="1"/>
  <c r="G70" i="1" s="1"/>
  <c r="O70" i="1" s="1"/>
  <c r="D70" i="1"/>
  <c r="M69" i="1"/>
  <c r="E69" i="1"/>
  <c r="G69" i="1" s="1"/>
  <c r="D69" i="1"/>
  <c r="W68" i="1"/>
  <c r="X68" i="1" s="1"/>
  <c r="M68" i="1"/>
  <c r="G68" i="1"/>
  <c r="E68" i="1"/>
  <c r="D68" i="1"/>
  <c r="W67" i="1"/>
  <c r="X67" i="1" s="1"/>
  <c r="M67" i="1"/>
  <c r="G67" i="1"/>
  <c r="E67" i="1"/>
  <c r="D67" i="1"/>
  <c r="W66" i="1"/>
  <c r="X66" i="1" s="1"/>
  <c r="M66" i="1"/>
  <c r="G66" i="1"/>
  <c r="E66" i="1"/>
  <c r="D66" i="1"/>
  <c r="N65" i="1"/>
  <c r="M65" i="1"/>
  <c r="E65" i="1"/>
  <c r="G65" i="1" s="1"/>
  <c r="O65" i="1" s="1"/>
  <c r="D65" i="1"/>
  <c r="X64" i="1"/>
  <c r="W64" i="1"/>
  <c r="N64" i="1"/>
  <c r="M64" i="1"/>
  <c r="E64" i="1"/>
  <c r="G64" i="1" s="1"/>
  <c r="O64" i="1" s="1"/>
  <c r="D64" i="1"/>
  <c r="O63" i="1"/>
  <c r="M63" i="1"/>
  <c r="N63" i="1" s="1"/>
  <c r="G63" i="1"/>
  <c r="E63" i="1"/>
  <c r="D63" i="1"/>
  <c r="O62" i="1"/>
  <c r="N62" i="1"/>
  <c r="M62" i="1"/>
  <c r="E62" i="1"/>
  <c r="G62" i="1" s="1"/>
  <c r="D62" i="1"/>
  <c r="M61" i="1"/>
  <c r="G61" i="1"/>
  <c r="E61" i="1"/>
  <c r="D61" i="1"/>
  <c r="N60" i="1"/>
  <c r="M60" i="1"/>
  <c r="E60" i="1"/>
  <c r="G60" i="1" s="1"/>
  <c r="O60" i="1" s="1"/>
  <c r="D60" i="1"/>
  <c r="M59" i="1"/>
  <c r="N59" i="1" s="1"/>
  <c r="G59" i="1"/>
  <c r="O59" i="1" s="1"/>
  <c r="E59" i="1"/>
  <c r="D59" i="1"/>
  <c r="M58" i="1"/>
  <c r="O58" i="1" s="1"/>
  <c r="E58" i="1"/>
  <c r="G58" i="1" s="1"/>
  <c r="D58" i="1"/>
  <c r="M57" i="1"/>
  <c r="E57" i="1"/>
  <c r="G57" i="1" s="1"/>
  <c r="D57" i="1"/>
  <c r="N56" i="1"/>
  <c r="M56" i="1"/>
  <c r="E56" i="1"/>
  <c r="G56" i="1" s="1"/>
  <c r="O56" i="1" s="1"/>
  <c r="D56" i="1"/>
  <c r="M55" i="1"/>
  <c r="N55" i="1" s="1"/>
  <c r="G55" i="1"/>
  <c r="O55" i="1" s="1"/>
  <c r="E55" i="1"/>
  <c r="D55" i="1"/>
  <c r="X54" i="1"/>
  <c r="W54" i="1"/>
  <c r="O54" i="1"/>
  <c r="M54" i="1"/>
  <c r="N54" i="1" s="1"/>
  <c r="G54" i="1"/>
  <c r="E54" i="1"/>
  <c r="D54" i="1"/>
  <c r="W53" i="1"/>
  <c r="X53" i="1" s="1"/>
  <c r="M53" i="1"/>
  <c r="N53" i="1" s="1"/>
  <c r="G53" i="1"/>
  <c r="O53" i="1" s="1"/>
  <c r="E53" i="1"/>
  <c r="D53" i="1"/>
  <c r="W52" i="1"/>
  <c r="X52" i="1" s="1"/>
  <c r="O52" i="1"/>
  <c r="M52" i="1"/>
  <c r="N52" i="1" s="1"/>
  <c r="G52" i="1"/>
  <c r="E52" i="1"/>
  <c r="D52" i="1"/>
  <c r="X51" i="1"/>
  <c r="W51" i="1"/>
  <c r="O51" i="1"/>
  <c r="M51" i="1"/>
  <c r="N51" i="1" s="1"/>
  <c r="E51" i="1"/>
  <c r="D51" i="1"/>
  <c r="M50" i="1"/>
  <c r="O50" i="1" s="1"/>
  <c r="E50" i="1"/>
  <c r="D50" i="1"/>
  <c r="O49" i="1"/>
  <c r="N49" i="1"/>
  <c r="M49" i="1"/>
  <c r="E49" i="1"/>
  <c r="D49" i="1"/>
  <c r="W48" i="1"/>
  <c r="X48" i="1" s="1"/>
  <c r="M48" i="1"/>
  <c r="E48" i="1"/>
  <c r="G48" i="1" s="1"/>
  <c r="D48" i="1"/>
  <c r="W47" i="1"/>
  <c r="X47" i="1" s="1"/>
  <c r="M47" i="1"/>
  <c r="E47" i="1"/>
  <c r="G47" i="1" s="1"/>
  <c r="D47" i="1"/>
  <c r="W46" i="1"/>
  <c r="X46" i="1" s="1"/>
  <c r="M46" i="1"/>
  <c r="E46" i="1"/>
  <c r="G46" i="1" s="1"/>
  <c r="D46" i="1"/>
  <c r="W45" i="1"/>
  <c r="X45" i="1" s="1"/>
  <c r="M45" i="1"/>
  <c r="E45" i="1"/>
  <c r="G45" i="1" s="1"/>
  <c r="D45" i="1"/>
  <c r="X44" i="1"/>
  <c r="W44" i="1"/>
  <c r="M44" i="1"/>
  <c r="E44" i="1"/>
  <c r="G44" i="1" s="1"/>
  <c r="D44" i="1"/>
  <c r="X43" i="1"/>
  <c r="W43" i="1"/>
  <c r="M43" i="1"/>
  <c r="E43" i="1"/>
  <c r="G43" i="1" s="1"/>
  <c r="D43" i="1"/>
  <c r="X42" i="1"/>
  <c r="W42" i="1"/>
  <c r="M42" i="1"/>
  <c r="E42" i="1"/>
  <c r="G42" i="1" s="1"/>
  <c r="D42" i="1"/>
  <c r="W41" i="1"/>
  <c r="X41" i="1" s="1"/>
  <c r="M41" i="1"/>
  <c r="E41" i="1"/>
  <c r="D41" i="1"/>
  <c r="W40" i="1"/>
  <c r="X40" i="1" s="1"/>
  <c r="M40" i="1"/>
  <c r="N40" i="1" s="1"/>
  <c r="G40" i="1"/>
  <c r="O40" i="1" s="1"/>
  <c r="E40" i="1"/>
  <c r="D40" i="1"/>
  <c r="M39" i="1"/>
  <c r="O39" i="1" s="1"/>
  <c r="E39" i="1"/>
  <c r="G39" i="1" s="1"/>
  <c r="D39" i="1"/>
  <c r="W38" i="1"/>
  <c r="X38" i="1" s="1"/>
  <c r="N38" i="1"/>
  <c r="M38" i="1"/>
  <c r="O38" i="1" s="1"/>
  <c r="G38" i="1"/>
  <c r="D38" i="1"/>
  <c r="M37" i="1"/>
  <c r="N37" i="1" s="1"/>
  <c r="G37" i="1"/>
  <c r="O37" i="1" s="1"/>
  <c r="E37" i="1"/>
  <c r="D37" i="1"/>
  <c r="M36" i="1"/>
  <c r="G36" i="1"/>
  <c r="D36" i="1"/>
  <c r="W35" i="1"/>
  <c r="X35" i="1" s="1"/>
  <c r="O35" i="1"/>
  <c r="M35" i="1"/>
  <c r="N35" i="1" s="1"/>
  <c r="G35" i="1"/>
  <c r="E35" i="1"/>
  <c r="D35" i="1"/>
  <c r="M34" i="1"/>
  <c r="N34" i="1" s="1"/>
  <c r="E34" i="1"/>
  <c r="G34" i="1" s="1"/>
  <c r="O34" i="1" s="1"/>
  <c r="D34" i="1"/>
  <c r="M33" i="1"/>
  <c r="E33" i="1"/>
  <c r="G33" i="1" s="1"/>
  <c r="D33" i="1"/>
  <c r="N32" i="1"/>
  <c r="M32" i="1"/>
  <c r="E32" i="1"/>
  <c r="G32" i="1" s="1"/>
  <c r="O32" i="1" s="1"/>
  <c r="D32" i="1"/>
  <c r="O31" i="1"/>
  <c r="M31" i="1"/>
  <c r="N31" i="1" s="1"/>
  <c r="G31" i="1"/>
  <c r="E31" i="1"/>
  <c r="D31" i="1"/>
  <c r="N30" i="1"/>
  <c r="M30" i="1"/>
  <c r="E30" i="1"/>
  <c r="G30" i="1" s="1"/>
  <c r="O30" i="1" s="1"/>
  <c r="D30" i="1"/>
  <c r="M29" i="1"/>
  <c r="G29" i="1"/>
  <c r="E29" i="1"/>
  <c r="D29" i="1"/>
  <c r="N28" i="1"/>
  <c r="M28" i="1"/>
  <c r="E28" i="1"/>
  <c r="G28" i="1" s="1"/>
  <c r="O28" i="1" s="1"/>
  <c r="D28" i="1"/>
  <c r="O27" i="1"/>
  <c r="M27" i="1"/>
  <c r="N27" i="1" s="1"/>
  <c r="G27" i="1"/>
  <c r="E27" i="1"/>
  <c r="D27" i="1"/>
  <c r="N26" i="1"/>
  <c r="M26" i="1"/>
  <c r="O26" i="1" s="1"/>
  <c r="E26" i="1"/>
  <c r="G26" i="1" s="1"/>
  <c r="D26" i="1"/>
  <c r="M25" i="1"/>
  <c r="E25" i="1"/>
  <c r="G25" i="1" s="1"/>
  <c r="D25" i="1"/>
  <c r="N24" i="1"/>
  <c r="M24" i="1"/>
  <c r="E24" i="1"/>
  <c r="G24" i="1" s="1"/>
  <c r="O24" i="1" s="1"/>
  <c r="D24" i="1"/>
  <c r="M23" i="1"/>
  <c r="N23" i="1" s="1"/>
  <c r="G23" i="1"/>
  <c r="O23" i="1" s="1"/>
  <c r="E23" i="1"/>
  <c r="D23" i="1"/>
  <c r="M22" i="1"/>
  <c r="O22" i="1" s="1"/>
  <c r="E22" i="1"/>
  <c r="G22" i="1" s="1"/>
  <c r="D22" i="1"/>
  <c r="M21" i="1"/>
  <c r="E21" i="1"/>
  <c r="G21" i="1" s="1"/>
  <c r="D21" i="1"/>
  <c r="N20" i="1"/>
  <c r="M20" i="1"/>
  <c r="E20" i="1"/>
  <c r="G20" i="1" s="1"/>
  <c r="O20" i="1" s="1"/>
  <c r="D20" i="1"/>
  <c r="O19" i="1"/>
  <c r="M19" i="1"/>
  <c r="N19" i="1" s="1"/>
  <c r="G19" i="1"/>
  <c r="E19" i="1"/>
  <c r="D19" i="1"/>
  <c r="M18" i="1"/>
  <c r="N18" i="1" s="1"/>
  <c r="E18" i="1"/>
  <c r="G18" i="1" s="1"/>
  <c r="O18" i="1" s="1"/>
  <c r="D18" i="1"/>
  <c r="M17" i="1"/>
  <c r="E17" i="1"/>
  <c r="G17" i="1" s="1"/>
  <c r="D17" i="1"/>
  <c r="N16" i="1"/>
  <c r="M16" i="1"/>
  <c r="E16" i="1"/>
  <c r="G16" i="1" s="1"/>
  <c r="O16" i="1" s="1"/>
  <c r="D16" i="1"/>
  <c r="O15" i="1"/>
  <c r="M15" i="1"/>
  <c r="N15" i="1" s="1"/>
  <c r="G15" i="1"/>
  <c r="E15" i="1"/>
  <c r="D15" i="1"/>
  <c r="N14" i="1"/>
  <c r="M14" i="1"/>
  <c r="E14" i="1"/>
  <c r="G14" i="1" s="1"/>
  <c r="O14" i="1" s="1"/>
  <c r="D14" i="1"/>
  <c r="M13" i="1"/>
  <c r="L132" i="1" s="1"/>
  <c r="L133" i="1" s="1"/>
  <c r="G13" i="1"/>
  <c r="E13" i="1"/>
  <c r="D13" i="1"/>
  <c r="N12" i="1"/>
  <c r="M12" i="1"/>
  <c r="E12" i="1"/>
  <c r="G12" i="1" s="1"/>
  <c r="O12" i="1" s="1"/>
  <c r="D12" i="1"/>
  <c r="O11" i="1"/>
  <c r="M11" i="1"/>
  <c r="N11" i="1" s="1"/>
  <c r="G11" i="1"/>
  <c r="E11" i="1"/>
  <c r="D11" i="1"/>
  <c r="N10" i="1"/>
  <c r="M10" i="1"/>
  <c r="O10" i="1" s="1"/>
  <c r="E10" i="1"/>
  <c r="G10" i="1" s="1"/>
  <c r="D10" i="1"/>
  <c r="M9" i="1"/>
  <c r="E9" i="1"/>
  <c r="G9" i="1" s="1"/>
  <c r="D9" i="1"/>
  <c r="N8" i="1"/>
  <c r="M8" i="1"/>
  <c r="E8" i="1"/>
  <c r="G8" i="1" s="1"/>
  <c r="O8" i="1" s="1"/>
  <c r="D8" i="1"/>
  <c r="M7" i="1"/>
  <c r="N7" i="1" s="1"/>
  <c r="G7" i="1"/>
  <c r="O7" i="1" s="1"/>
  <c r="D7" i="1"/>
  <c r="O69" i="1" l="1"/>
  <c r="N69" i="1"/>
  <c r="O41" i="1"/>
  <c r="N41" i="1"/>
  <c r="N61" i="1"/>
  <c r="O61" i="1"/>
  <c r="O66" i="1"/>
  <c r="N66" i="1"/>
  <c r="O82" i="1"/>
  <c r="N82" i="1"/>
  <c r="O85" i="1"/>
  <c r="N86" i="1"/>
  <c r="O46" i="1"/>
  <c r="N46" i="1"/>
  <c r="O95" i="1"/>
  <c r="N95" i="1"/>
  <c r="O79" i="1"/>
  <c r="N79" i="1"/>
  <c r="O43" i="1"/>
  <c r="N43" i="1"/>
  <c r="N58" i="1"/>
  <c r="N68" i="1"/>
  <c r="O68" i="1"/>
  <c r="N84" i="1"/>
  <c r="O9" i="1"/>
  <c r="N9" i="1"/>
  <c r="N25" i="1"/>
  <c r="O25" i="1"/>
  <c r="O48" i="1"/>
  <c r="N48" i="1"/>
  <c r="O81" i="1"/>
  <c r="N81" i="1"/>
  <c r="O45" i="1"/>
  <c r="N45" i="1"/>
  <c r="N78" i="1"/>
  <c r="O78" i="1"/>
  <c r="O67" i="1"/>
  <c r="N67" i="1"/>
  <c r="N88" i="1"/>
  <c r="O88" i="1"/>
  <c r="O21" i="1"/>
  <c r="N21" i="1"/>
  <c r="O13" i="1"/>
  <c r="N13" i="1"/>
  <c r="N22" i="1"/>
  <c r="O29" i="1"/>
  <c r="N29" i="1"/>
  <c r="N39" i="1"/>
  <c r="O42" i="1"/>
  <c r="N42" i="1"/>
  <c r="O83" i="1"/>
  <c r="N83" i="1"/>
  <c r="O36" i="1"/>
  <c r="N36" i="1"/>
  <c r="O47" i="1"/>
  <c r="N47" i="1"/>
  <c r="N50" i="1"/>
  <c r="O57" i="1"/>
  <c r="N57" i="1"/>
  <c r="O80" i="1"/>
  <c r="N80" i="1"/>
  <c r="O87" i="1"/>
  <c r="G132" i="1"/>
  <c r="G133" i="1" s="1"/>
  <c r="N17" i="1"/>
  <c r="O17" i="1"/>
  <c r="N33" i="1"/>
  <c r="O33" i="1"/>
  <c r="O44" i="1"/>
  <c r="N44" i="1"/>
  <c r="N123" i="1"/>
</calcChain>
</file>

<file path=xl/sharedStrings.xml><?xml version="1.0" encoding="utf-8"?>
<sst xmlns="http://schemas.openxmlformats.org/spreadsheetml/2006/main" count="187" uniqueCount="51">
  <si>
    <t>COMPAÑÍA OPITA DE FRIO SAS</t>
  </si>
  <si>
    <t>AZUL</t>
  </si>
  <si>
    <t>CONTROL DE TIEMPO DE PRODUCCION</t>
  </si>
  <si>
    <t>REEMPAQUE</t>
  </si>
  <si>
    <t>LINEA TUBULAR</t>
  </si>
  <si>
    <t>TIEMPO HORARICA</t>
  </si>
  <si>
    <t>CONTROL HOROMETRO</t>
  </si>
  <si>
    <t>PRODUCTOS</t>
  </si>
  <si>
    <t>OBSERVACIONES</t>
  </si>
  <si>
    <t>FECHA</t>
  </si>
  <si>
    <t>HORA INIC</t>
  </si>
  <si>
    <t>HORA FIN</t>
  </si>
  <si>
    <t>TIEMP PRENDIDA</t>
  </si>
  <si>
    <t>HOROM INC</t>
  </si>
  <si>
    <t>HOROM FIN</t>
  </si>
  <si>
    <t>TIEMP PROD</t>
  </si>
  <si>
    <t>BOLSA 1,5 KG</t>
  </si>
  <si>
    <t>BOLSA 3 KG</t>
  </si>
  <si>
    <t>BOLSA 7 KG</t>
  </si>
  <si>
    <t>BOLSA 15 KG</t>
  </si>
  <si>
    <t>BTO 25 KG</t>
  </si>
  <si>
    <t>KILOS PROD</t>
  </si>
  <si>
    <t>KILOS ACUMULADO</t>
  </si>
  <si>
    <t>PROD POR</t>
  </si>
  <si>
    <t>AYUDANTE</t>
  </si>
  <si>
    <t>OBSERVACION</t>
  </si>
  <si>
    <t>BTO 20 KG</t>
  </si>
  <si>
    <t>KILOS REEMP</t>
  </si>
  <si>
    <t>UTILIZO</t>
  </si>
  <si>
    <t>HORA</t>
  </si>
  <si>
    <t>EN</t>
  </si>
  <si>
    <t>Hernandez Luis</t>
  </si>
  <si>
    <t xml:space="preserve"> -     </t>
  </si>
  <si>
    <t>Yinso Nova</t>
  </si>
  <si>
    <t>James Quintero</t>
  </si>
  <si>
    <t>david</t>
  </si>
  <si>
    <t>quejada diego</t>
  </si>
  <si>
    <t>Jhoan Sebastian</t>
  </si>
  <si>
    <t>Andres Tinoco</t>
  </si>
  <si>
    <t>Daniel Garcia</t>
  </si>
  <si>
    <t>Humberto V</t>
  </si>
  <si>
    <t>yeison</t>
  </si>
  <si>
    <t>oscar andres</t>
  </si>
  <si>
    <t>se apaga la maquinaria a las 16:20 por bajon de luz</t>
  </si>
  <si>
    <t xml:space="preserve">se prende maquinaria a las 00:30 </t>
  </si>
  <si>
    <t>Luis Torres</t>
  </si>
  <si>
    <t>se apaga maquinaria por 30 min para lavado</t>
  </si>
  <si>
    <t xml:space="preserve"> </t>
  </si>
  <si>
    <t>HORAS TRABAJADAS</t>
  </si>
  <si>
    <t>DIAS TRABAJADOS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</si>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</sst>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[$-F400]h:mm:ss\ AM/PM"/>
    <numFmt numFmtId="165" formatCode="0.0"/>
    <numFmt numFmtId="166" formatCode="_-* #,##0.00\ _€_-;\-* #,##0.00\ _€_-;_-* &quot;-&quot;??\ _€_-;_-@_-"/>
    <numFmt numFmtId="167" formatCode="_-* #,##0\ _€_-;\-* #,##0\ _€_-;_-* &quot;-&quot;??\ _€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48"/>
      <color theme="1"/>
      <name val="Arial"/>
      <family val="2"/>
    </font>
    <font>
      <sz val="24"/>
      <color theme="1"/>
      <name val="Calibri"/>
      <family val="2"/>
      <scheme val="minor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i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0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0" fillId="0" borderId="4" xfId="0" applyBorder="1"/>
    <xf numFmtId="0" fontId="4" fillId="3" borderId="4" xfId="0" applyFont="1" applyFill="1" applyBorder="1" applyAlignment="1">
      <alignment horizontal="center"/>
    </xf>
    <xf numFmtId="0" fontId="5" fillId="0" borderId="4" xfId="0" applyFont="1" applyBorder="1"/>
    <xf numFmtId="0" fontId="5" fillId="4" borderId="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6" fillId="0" borderId="0" xfId="0" applyFont="1"/>
    <xf numFmtId="0" fontId="2" fillId="0" borderId="4" xfId="0" applyFont="1" applyBorder="1"/>
    <xf numFmtId="20" fontId="2" fillId="0" borderId="4" xfId="0" applyNumberFormat="1" applyFont="1" applyBorder="1"/>
    <xf numFmtId="0" fontId="2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/>
    <xf numFmtId="14" fontId="6" fillId="0" borderId="4" xfId="0" applyNumberFormat="1" applyFont="1" applyBorder="1"/>
    <xf numFmtId="164" fontId="6" fillId="0" borderId="4" xfId="0" applyNumberFormat="1" applyFont="1" applyBorder="1"/>
    <xf numFmtId="20" fontId="6" fillId="0" borderId="4" xfId="0" applyNumberFormat="1" applyFont="1" applyBorder="1"/>
    <xf numFmtId="165" fontId="6" fillId="0" borderId="4" xfId="0" applyNumberFormat="1" applyFont="1" applyBorder="1"/>
    <xf numFmtId="2" fontId="6" fillId="0" borderId="4" xfId="0" applyNumberFormat="1" applyFont="1" applyBorder="1"/>
    <xf numFmtId="165" fontId="7" fillId="2" borderId="4" xfId="0" applyNumberFormat="1" applyFont="1" applyFill="1" applyBorder="1" applyAlignment="1">
      <alignment horizontal="center"/>
    </xf>
    <xf numFmtId="1" fontId="7" fillId="2" borderId="4" xfId="0" applyNumberFormat="1" applyFont="1" applyFill="1" applyBorder="1" applyAlignment="1">
      <alignment horizontal="center"/>
    </xf>
    <xf numFmtId="2" fontId="7" fillId="0" borderId="4" xfId="0" applyNumberFormat="1" applyFont="1" applyBorder="1"/>
    <xf numFmtId="2" fontId="6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165" fontId="6" fillId="2" borderId="4" xfId="0" applyNumberFormat="1" applyFont="1" applyFill="1" applyBorder="1" applyAlignment="1">
      <alignment horizontal="center"/>
    </xf>
    <xf numFmtId="1" fontId="6" fillId="2" borderId="4" xfId="0" applyNumberFormat="1" applyFont="1" applyFill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164" fontId="7" fillId="7" borderId="4" xfId="0" applyNumberFormat="1" applyFont="1" applyFill="1" applyBorder="1" applyAlignment="1">
      <alignment horizontal="center"/>
    </xf>
    <xf numFmtId="20" fontId="6" fillId="8" borderId="4" xfId="0" applyNumberFormat="1" applyFont="1" applyFill="1" applyBorder="1" applyAlignment="1">
      <alignment horizontal="center" vertical="center"/>
    </xf>
    <xf numFmtId="41" fontId="7" fillId="9" borderId="4" xfId="1" applyFont="1" applyFill="1" applyBorder="1" applyAlignment="1">
      <alignment horizontal="center"/>
    </xf>
    <xf numFmtId="1" fontId="6" fillId="7" borderId="4" xfId="0" applyNumberFormat="1" applyFont="1" applyFill="1" applyBorder="1" applyAlignment="1">
      <alignment horizontal="center" vertical="center"/>
    </xf>
    <xf numFmtId="1" fontId="7" fillId="5" borderId="4" xfId="0" applyNumberFormat="1" applyFont="1" applyFill="1" applyBorder="1" applyAlignment="1">
      <alignment horizontal="center" vertical="center"/>
    </xf>
    <xf numFmtId="167" fontId="6" fillId="7" borderId="4" xfId="2" applyNumberFormat="1" applyFont="1" applyFill="1" applyBorder="1" applyAlignment="1">
      <alignment horizontal="center" vertical="center"/>
    </xf>
    <xf numFmtId="167" fontId="7" fillId="10" borderId="4" xfId="2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7" fontId="0" fillId="0" borderId="4" xfId="2" applyNumberFormat="1" applyFont="1" applyFill="1" applyBorder="1"/>
    <xf numFmtId="167" fontId="0" fillId="11" borderId="4" xfId="2" applyNumberFormat="1" applyFont="1" applyFill="1" applyBorder="1"/>
    <xf numFmtId="1" fontId="7" fillId="7" borderId="4" xfId="0" applyNumberFormat="1" applyFont="1" applyFill="1" applyBorder="1" applyAlignment="1">
      <alignment horizontal="center" vertical="center"/>
    </xf>
    <xf numFmtId="167" fontId="7" fillId="7" borderId="4" xfId="2" applyNumberFormat="1" applyFont="1" applyFill="1" applyBorder="1" applyAlignment="1">
      <alignment horizontal="center" vertical="center"/>
    </xf>
    <xf numFmtId="167" fontId="8" fillId="0" borderId="4" xfId="2" applyNumberFormat="1" applyFont="1" applyFill="1" applyBorder="1"/>
    <xf numFmtId="167" fontId="8" fillId="11" borderId="4" xfId="2" applyNumberFormat="1" applyFont="1" applyFill="1" applyBorder="1"/>
    <xf numFmtId="0" fontId="8" fillId="0" borderId="0" xfId="0" applyFont="1"/>
    <xf numFmtId="0" fontId="7" fillId="3" borderId="4" xfId="0" applyFont="1" applyFill="1" applyBorder="1" applyAlignment="1">
      <alignment horizontal="center" vertical="center"/>
    </xf>
    <xf numFmtId="167" fontId="8" fillId="3" borderId="4" xfId="2" applyNumberFormat="1" applyFont="1" applyFill="1" applyBorder="1"/>
    <xf numFmtId="0" fontId="8" fillId="3" borderId="0" xfId="0" applyFont="1" applyFill="1"/>
    <xf numFmtId="0" fontId="0" fillId="3" borderId="0" xfId="0" applyFill="1"/>
    <xf numFmtId="0" fontId="7" fillId="7" borderId="4" xfId="0" applyFont="1" applyFill="1" applyBorder="1" applyAlignment="1">
      <alignment horizontal="center" vertical="center"/>
    </xf>
    <xf numFmtId="167" fontId="8" fillId="7" borderId="4" xfId="2" applyNumberFormat="1" applyFont="1" applyFill="1" applyBorder="1"/>
    <xf numFmtId="0" fontId="8" fillId="7" borderId="0" xfId="0" applyFont="1" applyFill="1"/>
    <xf numFmtId="0" fontId="0" fillId="7" borderId="0" xfId="0" applyFill="1"/>
    <xf numFmtId="167" fontId="7" fillId="12" borderId="4" xfId="2" applyNumberFormat="1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0" fontId="0" fillId="13" borderId="0" xfId="0" applyFill="1"/>
    <xf numFmtId="164" fontId="7" fillId="0" borderId="4" xfId="0" applyNumberFormat="1" applyFont="1" applyBorder="1" applyAlignment="1">
      <alignment horizontal="center"/>
    </xf>
    <xf numFmtId="167" fontId="6" fillId="10" borderId="4" xfId="2" applyNumberFormat="1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 vertical="center"/>
    </xf>
    <xf numFmtId="167" fontId="8" fillId="14" borderId="4" xfId="2" applyNumberFormat="1" applyFont="1" applyFill="1" applyBorder="1"/>
    <xf numFmtId="0" fontId="8" fillId="14" borderId="0" xfId="0" applyFont="1" applyFill="1"/>
    <xf numFmtId="0" fontId="0" fillId="14" borderId="0" xfId="0" applyFill="1"/>
    <xf numFmtId="20" fontId="7" fillId="8" borderId="4" xfId="0" applyNumberFormat="1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/>
    </xf>
    <xf numFmtId="167" fontId="7" fillId="14" borderId="4" xfId="2" applyNumberFormat="1" applyFont="1" applyFill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1" fontId="6" fillId="9" borderId="4" xfId="0" applyNumberFormat="1" applyFont="1" applyFill="1" applyBorder="1" applyAlignment="1">
      <alignment horizontal="center" vertical="center"/>
    </xf>
    <xf numFmtId="0" fontId="8" fillId="0" borderId="5" xfId="0" applyFont="1" applyBorder="1"/>
    <xf numFmtId="14" fontId="6" fillId="0" borderId="4" xfId="0" applyNumberFormat="1" applyFont="1" applyBorder="1" applyAlignment="1">
      <alignment horizontal="center" vertical="center"/>
    </xf>
    <xf numFmtId="1" fontId="7" fillId="9" borderId="4" xfId="0" applyNumberFormat="1" applyFont="1" applyFill="1" applyBorder="1" applyAlignment="1">
      <alignment horizontal="center" vertical="center"/>
    </xf>
    <xf numFmtId="14" fontId="6" fillId="0" borderId="0" xfId="0" applyNumberFormat="1" applyFont="1"/>
    <xf numFmtId="164" fontId="7" fillId="0" borderId="0" xfId="0" applyNumberFormat="1" applyFont="1"/>
    <xf numFmtId="20" fontId="7" fillId="0" borderId="0" xfId="0" applyNumberFormat="1" applyFont="1"/>
    <xf numFmtId="2" fontId="7" fillId="0" borderId="0" xfId="0" applyNumberFormat="1" applyFont="1"/>
    <xf numFmtId="2" fontId="7" fillId="15" borderId="0" xfId="0" applyNumberFormat="1" applyFont="1" applyFill="1" applyAlignment="1">
      <alignment horizontal="center"/>
    </xf>
    <xf numFmtId="0" fontId="7" fillId="7" borderId="0" xfId="0" applyFont="1" applyFill="1"/>
    <xf numFmtId="0" fontId="7" fillId="0" borderId="0" xfId="0" applyFont="1"/>
    <xf numFmtId="0" fontId="7" fillId="0" borderId="0" xfId="0" applyFont="1" applyAlignment="1">
      <alignment horizontal="center"/>
    </xf>
    <xf numFmtId="1" fontId="7" fillId="0" borderId="0" xfId="0" applyNumberFormat="1" applyFont="1"/>
    <xf numFmtId="165" fontId="7" fillId="0" borderId="0" xfId="0" applyNumberFormat="1" applyFont="1"/>
    <xf numFmtId="164" fontId="6" fillId="0" borderId="0" xfId="0" applyNumberFormat="1" applyFont="1"/>
    <xf numFmtId="20" fontId="6" fillId="0" borderId="0" xfId="0" applyNumberFormat="1" applyFont="1"/>
    <xf numFmtId="165" fontId="6" fillId="0" borderId="0" xfId="0" applyNumberFormat="1" applyFont="1"/>
    <xf numFmtId="2" fontId="6" fillId="0" borderId="0" xfId="0" applyNumberFormat="1" applyFont="1"/>
    <xf numFmtId="0" fontId="6" fillId="0" borderId="0" xfId="0" applyFont="1" applyAlignment="1">
      <alignment horizontal="center"/>
    </xf>
    <xf numFmtId="14" fontId="0" fillId="0" borderId="0" xfId="0" applyNumberFormat="1"/>
    <xf numFmtId="164" fontId="0" fillId="0" borderId="0" xfId="0" applyNumberFormat="1"/>
    <xf numFmtId="20" fontId="0" fillId="0" borderId="0" xfId="0" applyNumberFormat="1"/>
    <xf numFmtId="165" fontId="0" fillId="0" borderId="0" xfId="0" applyNumberFormat="1"/>
    <xf numFmtId="14" fontId="0" fillId="0" borderId="6" xfId="0" applyNumberFormat="1" applyBorder="1"/>
    <xf numFmtId="164" fontId="0" fillId="0" borderId="6" xfId="0" applyNumberFormat="1" applyBorder="1"/>
    <xf numFmtId="164" fontId="0" fillId="0" borderId="5" xfId="0" applyNumberFormat="1" applyBorder="1"/>
    <xf numFmtId="2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0" fillId="0" borderId="5" xfId="0" applyBorder="1"/>
    <xf numFmtId="0" fontId="0" fillId="0" borderId="10" xfId="0" applyBorder="1"/>
  </cellXfs>
  <cellStyles count="3">
    <cellStyle name="Millares [0]" xfId="1" builtinId="6"/>
    <cellStyle name="Millares 2" xfId="2" xr:uid="{2D1DFEF4-694B-4AFC-A2D9-D30A3EA806F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4EE54-50A4-406D-A047-8E7D389D9D07}">
  <sheetPr>
    <tabColor rgb="FF0070C0"/>
  </sheetPr>
  <dimension ref="A1:AG304"/>
  <sheetViews>
    <sheetView tabSelected="1" topLeftCell="A48" zoomScale="120" zoomScaleNormal="120" workbookViewId="0">
      <selection activeCell="A52" sqref="A52"/>
    </sheetView>
  </sheetViews>
  <sheetFormatPr baseColWidth="10" defaultRowHeight="15" x14ac:dyDescent="0.25"/>
  <cols>
    <col min="1" max="1" width="14" style="100" customWidth="1"/>
    <col min="2" max="2" width="17.7109375" style="100" customWidth="1"/>
    <col min="3" max="3" width="17.85546875" style="101" customWidth="1"/>
    <col min="4" max="4" width="27.140625" style="97" customWidth="1"/>
    <col min="5" max="5" width="20.85546875" style="98" customWidth="1"/>
    <col min="6" max="6" width="24.140625" style="98" customWidth="1"/>
    <col min="7" max="7" width="12.28515625" style="99" customWidth="1"/>
    <col min="8" max="8" width="17.28515625" style="100" customWidth="1"/>
    <col min="9" max="9" width="14.85546875" style="100" customWidth="1"/>
    <col min="10" max="10" width="17.140625" style="100" customWidth="1"/>
    <col min="11" max="11" width="16" style="100" customWidth="1"/>
    <col min="12" max="12" width="15.28515625" style="101" customWidth="1"/>
    <col min="13" max="13" width="14.42578125" customWidth="1"/>
    <col min="14" max="14" width="24.42578125" style="101" customWidth="1"/>
    <col min="15" max="15" width="19.42578125" customWidth="1"/>
    <col min="16" max="16" width="23" style="101" customWidth="1"/>
    <col min="17" max="17" width="135.140625" customWidth="1"/>
    <col min="18" max="18" width="12.5703125" style="100" bestFit="1" customWidth="1"/>
    <col min="19" max="20" width="11.42578125" style="100"/>
    <col min="21" max="21" width="17.28515625" style="100" customWidth="1"/>
    <col min="22" max="22" width="11.42578125" style="101"/>
    <col min="25" max="25" width="48.7109375" style="102" customWidth="1"/>
  </cols>
  <sheetData>
    <row r="1" spans="1:27" ht="15.75" x14ac:dyDescent="0.25">
      <c r="A1" s="1" t="s">
        <v>0</v>
      </c>
      <c r="B1" s="2"/>
      <c r="C1" s="2"/>
      <c r="D1" s="3"/>
      <c r="E1" s="4" t="s">
        <v>1</v>
      </c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7" ht="15.75" x14ac:dyDescent="0.25">
      <c r="A2" s="1" t="s">
        <v>2</v>
      </c>
      <c r="B2" s="2"/>
      <c r="C2" s="2"/>
      <c r="D2" s="3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6" t="s">
        <v>3</v>
      </c>
      <c r="S2" s="6"/>
      <c r="T2" s="6"/>
      <c r="U2" s="6"/>
      <c r="V2" s="6"/>
      <c r="W2" s="6"/>
      <c r="X2" s="6"/>
      <c r="Y2" s="6"/>
    </row>
    <row r="3" spans="1:27" ht="15.75" x14ac:dyDescent="0.25">
      <c r="A3" s="1" t="s">
        <v>4</v>
      </c>
      <c r="B3" s="2"/>
      <c r="C3" s="2"/>
      <c r="D3" s="3"/>
      <c r="E3" s="4"/>
      <c r="F3" s="4"/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  <c r="W3" s="6"/>
      <c r="X3" s="6"/>
      <c r="Y3" s="6"/>
    </row>
    <row r="4" spans="1:27" ht="15.75" x14ac:dyDescent="0.25">
      <c r="A4" s="7"/>
      <c r="B4" s="8" t="s">
        <v>5</v>
      </c>
      <c r="C4" s="8"/>
      <c r="D4" s="8"/>
      <c r="E4" s="9" t="s">
        <v>6</v>
      </c>
      <c r="F4" s="9"/>
      <c r="G4" s="9"/>
      <c r="H4" s="10" t="s">
        <v>7</v>
      </c>
      <c r="I4" s="10"/>
      <c r="J4" s="10"/>
      <c r="K4" s="10"/>
      <c r="L4" s="10"/>
      <c r="M4" s="10"/>
      <c r="N4" s="10"/>
      <c r="O4" s="11"/>
      <c r="P4" s="12" t="s">
        <v>8</v>
      </c>
      <c r="Q4" s="12"/>
      <c r="R4" s="10" t="s">
        <v>7</v>
      </c>
      <c r="S4" s="10"/>
      <c r="T4" s="10"/>
      <c r="U4" s="10"/>
      <c r="V4" s="10"/>
      <c r="W4" s="10"/>
      <c r="X4" s="10"/>
      <c r="Y4" s="11"/>
      <c r="Z4" s="13"/>
    </row>
    <row r="5" spans="1:27" ht="15.75" x14ac:dyDescent="0.25">
      <c r="A5" s="14" t="s">
        <v>9</v>
      </c>
      <c r="B5" s="14" t="s">
        <v>10</v>
      </c>
      <c r="C5" s="14" t="s">
        <v>11</v>
      </c>
      <c r="D5" s="15" t="s">
        <v>12</v>
      </c>
      <c r="E5" s="14" t="s">
        <v>13</v>
      </c>
      <c r="F5" s="14" t="s">
        <v>14</v>
      </c>
      <c r="G5" s="14" t="s">
        <v>15</v>
      </c>
      <c r="H5" s="14" t="s">
        <v>16</v>
      </c>
      <c r="I5" s="14" t="s">
        <v>17</v>
      </c>
      <c r="J5" s="14" t="s">
        <v>18</v>
      </c>
      <c r="K5" s="14" t="s">
        <v>19</v>
      </c>
      <c r="L5" s="14" t="s">
        <v>20</v>
      </c>
      <c r="M5" s="14" t="s">
        <v>21</v>
      </c>
      <c r="N5" s="14" t="s">
        <v>22</v>
      </c>
      <c r="O5" s="16" t="s">
        <v>23</v>
      </c>
      <c r="P5" s="16" t="s">
        <v>24</v>
      </c>
      <c r="Q5" s="17" t="s">
        <v>25</v>
      </c>
      <c r="R5" s="18" t="s">
        <v>16</v>
      </c>
      <c r="S5" s="18" t="s">
        <v>17</v>
      </c>
      <c r="T5" s="18" t="s">
        <v>18</v>
      </c>
      <c r="U5" s="18" t="s">
        <v>19</v>
      </c>
      <c r="V5" s="18" t="s">
        <v>26</v>
      </c>
      <c r="W5" s="18" t="s">
        <v>27</v>
      </c>
      <c r="X5" s="18" t="s">
        <v>22</v>
      </c>
      <c r="Y5" s="17" t="s">
        <v>28</v>
      </c>
    </row>
    <row r="6" spans="1:27" ht="15.75" x14ac:dyDescent="0.25">
      <c r="A6" s="19"/>
      <c r="B6" s="20"/>
      <c r="C6" s="20"/>
      <c r="D6" s="21"/>
      <c r="E6" s="22"/>
      <c r="F6" s="22"/>
      <c r="G6" s="23"/>
      <c r="H6" s="24">
        <v>1.5</v>
      </c>
      <c r="I6" s="25">
        <v>3</v>
      </c>
      <c r="J6" s="25">
        <v>7</v>
      </c>
      <c r="K6" s="25">
        <v>15</v>
      </c>
      <c r="L6" s="25">
        <v>25</v>
      </c>
      <c r="M6" s="26"/>
      <c r="N6" s="23"/>
      <c r="O6" s="27" t="s">
        <v>29</v>
      </c>
      <c r="P6" s="28"/>
      <c r="Q6" s="18"/>
      <c r="R6" s="29">
        <v>1.5</v>
      </c>
      <c r="S6" s="30">
        <v>3</v>
      </c>
      <c r="T6" s="30">
        <v>7</v>
      </c>
      <c r="U6" s="30">
        <v>15</v>
      </c>
      <c r="V6" s="30">
        <v>25</v>
      </c>
      <c r="W6" s="23"/>
      <c r="X6" s="23"/>
      <c r="Y6" s="27" t="s">
        <v>30</v>
      </c>
    </row>
    <row r="7" spans="1:27" ht="15.75" x14ac:dyDescent="0.25">
      <c r="A7" s="31">
        <v>46082</v>
      </c>
      <c r="B7" s="32">
        <v>0.26041666666666669</v>
      </c>
      <c r="C7" s="32">
        <v>0.7368055555555556</v>
      </c>
      <c r="D7" s="33">
        <f t="shared" ref="D7:D70" si="0">1+C7-B7</f>
        <v>1.476388888888889</v>
      </c>
      <c r="E7" s="34">
        <v>149866</v>
      </c>
      <c r="F7" s="35">
        <v>150983</v>
      </c>
      <c r="G7" s="36">
        <f t="shared" ref="G7:G70" si="1">(F7-E7)/100</f>
        <v>11.17</v>
      </c>
      <c r="H7" s="37"/>
      <c r="I7" s="37"/>
      <c r="J7" s="37"/>
      <c r="K7" s="37">
        <v>77</v>
      </c>
      <c r="L7" s="37"/>
      <c r="M7" s="38">
        <f t="shared" ref="M7:M29" si="2">+(($H$6*H7)+($I$6*I7)+($J$6*J7)+($K$6*K7)+($L$6*L7))</f>
        <v>1155</v>
      </c>
      <c r="N7" s="38">
        <f t="shared" ref="N7:N70" si="3">+M7</f>
        <v>1155</v>
      </c>
      <c r="O7" s="38">
        <f t="shared" ref="O7:O70" si="4">+M7/G7</f>
        <v>103.40196956132498</v>
      </c>
      <c r="P7" s="39" t="s">
        <v>31</v>
      </c>
      <c r="Q7" s="40"/>
      <c r="R7" s="41"/>
      <c r="S7" s="41"/>
      <c r="T7" s="41"/>
      <c r="U7" s="41"/>
      <c r="V7" s="41"/>
      <c r="W7" s="42" t="s">
        <v>32</v>
      </c>
      <c r="X7" s="42" t="s">
        <v>32</v>
      </c>
      <c r="Y7" s="42"/>
    </row>
    <row r="8" spans="1:27" ht="15.75" x14ac:dyDescent="0.25">
      <c r="A8" s="31">
        <v>46082</v>
      </c>
      <c r="B8" s="32">
        <v>0.77638888888888891</v>
      </c>
      <c r="C8" s="32">
        <v>0.24236111111111111</v>
      </c>
      <c r="D8" s="33">
        <f t="shared" si="0"/>
        <v>0.46597222222222212</v>
      </c>
      <c r="E8" s="34">
        <f t="shared" ref="E8:E71" si="5">F7</f>
        <v>150983</v>
      </c>
      <c r="F8" s="35">
        <v>152183</v>
      </c>
      <c r="G8" s="36">
        <f t="shared" si="1"/>
        <v>12</v>
      </c>
      <c r="H8" s="37"/>
      <c r="I8" s="37">
        <v>58</v>
      </c>
      <c r="J8" s="37"/>
      <c r="K8" s="37">
        <v>69</v>
      </c>
      <c r="L8" s="37">
        <v>6</v>
      </c>
      <c r="M8" s="38">
        <f t="shared" si="2"/>
        <v>1359</v>
      </c>
      <c r="N8" s="38">
        <f t="shared" si="3"/>
        <v>1359</v>
      </c>
      <c r="O8" s="38">
        <f t="shared" si="4"/>
        <v>113.25</v>
      </c>
      <c r="P8" s="39" t="s">
        <v>33</v>
      </c>
      <c r="Q8" s="40"/>
      <c r="R8" s="41"/>
      <c r="S8" s="41"/>
      <c r="T8" s="41"/>
      <c r="U8" s="41"/>
      <c r="V8" s="41"/>
      <c r="W8" s="42" t="s">
        <v>32</v>
      </c>
      <c r="X8" s="42" t="s">
        <v>32</v>
      </c>
      <c r="Y8" s="42"/>
    </row>
    <row r="9" spans="1:27" ht="15.75" x14ac:dyDescent="0.25">
      <c r="A9" s="31">
        <v>46083</v>
      </c>
      <c r="B9" s="32">
        <v>0.26874999999999999</v>
      </c>
      <c r="C9" s="32">
        <v>0.56944444444444442</v>
      </c>
      <c r="D9" s="33">
        <f t="shared" si="0"/>
        <v>1.3006944444444444</v>
      </c>
      <c r="E9" s="34">
        <f t="shared" si="5"/>
        <v>152183</v>
      </c>
      <c r="F9" s="43">
        <v>152928</v>
      </c>
      <c r="G9" s="36">
        <f t="shared" si="1"/>
        <v>7.45</v>
      </c>
      <c r="H9" s="44"/>
      <c r="I9" s="44">
        <v>68</v>
      </c>
      <c r="J9" s="44">
        <v>25</v>
      </c>
      <c r="K9" s="44">
        <v>18</v>
      </c>
      <c r="L9" s="44"/>
      <c r="M9" s="38">
        <f t="shared" si="2"/>
        <v>649</v>
      </c>
      <c r="N9" s="38">
        <f t="shared" si="3"/>
        <v>649</v>
      </c>
      <c r="O9" s="38">
        <f t="shared" si="4"/>
        <v>87.114093959731548</v>
      </c>
      <c r="P9" s="39" t="s">
        <v>34</v>
      </c>
      <c r="Q9" s="39"/>
      <c r="R9" s="45"/>
      <c r="S9" s="45"/>
      <c r="T9" s="45"/>
      <c r="U9" s="45"/>
      <c r="V9" s="45"/>
      <c r="W9" s="46" t="s">
        <v>32</v>
      </c>
      <c r="X9" s="46" t="s">
        <v>32</v>
      </c>
      <c r="Y9" s="46"/>
      <c r="Z9" s="47"/>
      <c r="AA9" s="47"/>
    </row>
    <row r="10" spans="1:27" ht="15.75" x14ac:dyDescent="0.25">
      <c r="A10" s="31">
        <v>46083</v>
      </c>
      <c r="B10" s="32">
        <v>0.60833333333333328</v>
      </c>
      <c r="C10" s="32">
        <v>0.73541666666666672</v>
      </c>
      <c r="D10" s="33">
        <f t="shared" si="0"/>
        <v>1.1270833333333332</v>
      </c>
      <c r="E10" s="34">
        <f t="shared" si="5"/>
        <v>152928</v>
      </c>
      <c r="F10" s="43">
        <v>153308</v>
      </c>
      <c r="G10" s="36">
        <f t="shared" si="1"/>
        <v>3.8</v>
      </c>
      <c r="H10" s="44">
        <v>9</v>
      </c>
      <c r="I10" s="44">
        <v>59</v>
      </c>
      <c r="J10" s="44">
        <v>9</v>
      </c>
      <c r="K10" s="44">
        <v>6</v>
      </c>
      <c r="L10" s="44"/>
      <c r="M10" s="38">
        <f t="shared" si="2"/>
        <v>343.5</v>
      </c>
      <c r="N10" s="38">
        <f t="shared" si="3"/>
        <v>343.5</v>
      </c>
      <c r="O10" s="38">
        <f t="shared" si="4"/>
        <v>90.394736842105274</v>
      </c>
      <c r="P10" s="39" t="s">
        <v>35</v>
      </c>
      <c r="Q10" s="39"/>
      <c r="R10" s="45"/>
      <c r="S10" s="45"/>
      <c r="T10" s="45"/>
      <c r="U10" s="45"/>
      <c r="V10" s="45"/>
      <c r="W10" s="46" t="s">
        <v>32</v>
      </c>
      <c r="X10" s="46" t="s">
        <v>32</v>
      </c>
      <c r="Y10" s="46"/>
      <c r="Z10" s="47"/>
      <c r="AA10" s="47"/>
    </row>
    <row r="11" spans="1:27" ht="15.75" x14ac:dyDescent="0.25">
      <c r="A11" s="31">
        <v>46083</v>
      </c>
      <c r="B11" s="32">
        <v>0.75902777777777775</v>
      </c>
      <c r="C11" s="32">
        <v>0.90138888888888891</v>
      </c>
      <c r="D11" s="33">
        <f t="shared" si="0"/>
        <v>1.1423611111111112</v>
      </c>
      <c r="E11" s="34">
        <f t="shared" si="5"/>
        <v>153308</v>
      </c>
      <c r="F11" s="43">
        <v>153740</v>
      </c>
      <c r="G11" s="36">
        <f t="shared" si="1"/>
        <v>4.32</v>
      </c>
      <c r="H11" s="44"/>
      <c r="I11" s="44">
        <v>100</v>
      </c>
      <c r="J11" s="44">
        <v>7</v>
      </c>
      <c r="K11" s="44">
        <v>2</v>
      </c>
      <c r="L11" s="44"/>
      <c r="M11" s="38">
        <f t="shared" si="2"/>
        <v>379</v>
      </c>
      <c r="N11" s="38">
        <f t="shared" si="3"/>
        <v>379</v>
      </c>
      <c r="O11" s="38">
        <f t="shared" si="4"/>
        <v>87.731481481481481</v>
      </c>
      <c r="P11" s="39" t="s">
        <v>36</v>
      </c>
      <c r="Q11" s="39"/>
      <c r="R11" s="45"/>
      <c r="S11" s="45"/>
      <c r="T11" s="45"/>
      <c r="U11" s="45"/>
      <c r="V11" s="45"/>
      <c r="W11" s="46"/>
      <c r="X11" s="46"/>
      <c r="Y11" s="46"/>
      <c r="Z11" s="47"/>
      <c r="AA11" s="47"/>
    </row>
    <row r="12" spans="1:27" ht="15.75" x14ac:dyDescent="0.25">
      <c r="A12" s="31">
        <v>46083</v>
      </c>
      <c r="B12" s="32">
        <v>0.9243055555555556</v>
      </c>
      <c r="C12" s="32">
        <v>0.24652777777777779</v>
      </c>
      <c r="D12" s="33">
        <f t="shared" si="0"/>
        <v>0.32222222222222208</v>
      </c>
      <c r="E12" s="34">
        <f t="shared" si="5"/>
        <v>153740</v>
      </c>
      <c r="F12" s="43">
        <v>154546</v>
      </c>
      <c r="G12" s="36">
        <f t="shared" si="1"/>
        <v>8.06</v>
      </c>
      <c r="H12" s="44"/>
      <c r="I12" s="44">
        <v>61</v>
      </c>
      <c r="J12" s="44"/>
      <c r="K12" s="44">
        <v>38</v>
      </c>
      <c r="L12" s="44"/>
      <c r="M12" s="38">
        <f t="shared" si="2"/>
        <v>753</v>
      </c>
      <c r="N12" s="38">
        <f t="shared" si="3"/>
        <v>753</v>
      </c>
      <c r="O12" s="38">
        <f t="shared" si="4"/>
        <v>93.424317617865995</v>
      </c>
      <c r="P12" s="39" t="s">
        <v>37</v>
      </c>
      <c r="Q12" s="39"/>
      <c r="R12" s="45"/>
      <c r="S12" s="45"/>
      <c r="T12" s="45"/>
      <c r="U12" s="45"/>
      <c r="V12" s="45"/>
      <c r="W12" s="46" t="s">
        <v>32</v>
      </c>
      <c r="X12" s="46" t="s">
        <v>32</v>
      </c>
      <c r="Y12" s="46"/>
      <c r="Z12" s="47"/>
      <c r="AA12" s="47"/>
    </row>
    <row r="13" spans="1:27" ht="15.75" x14ac:dyDescent="0.25">
      <c r="A13" s="31">
        <v>46084</v>
      </c>
      <c r="B13" s="32">
        <v>0.26944444444444443</v>
      </c>
      <c r="C13" s="32">
        <v>0.5708333333333333</v>
      </c>
      <c r="D13" s="33">
        <f t="shared" si="0"/>
        <v>1.3013888888888889</v>
      </c>
      <c r="E13" s="34">
        <f t="shared" si="5"/>
        <v>154546</v>
      </c>
      <c r="F13" s="43">
        <v>155319</v>
      </c>
      <c r="G13" s="36">
        <f t="shared" si="1"/>
        <v>7.73</v>
      </c>
      <c r="H13" s="44">
        <v>51</v>
      </c>
      <c r="I13" s="44"/>
      <c r="J13" s="44"/>
      <c r="K13" s="44">
        <v>44</v>
      </c>
      <c r="L13" s="44"/>
      <c r="M13" s="38">
        <f>+(($H$6*H13)+($I$6*I13)+($J$6*J13)+($K$6*K13)+(13*L13))</f>
        <v>736.5</v>
      </c>
      <c r="N13" s="38">
        <f t="shared" si="3"/>
        <v>736.5</v>
      </c>
      <c r="O13" s="38">
        <f t="shared" si="4"/>
        <v>95.278137128072444</v>
      </c>
      <c r="P13" s="39" t="s">
        <v>38</v>
      </c>
      <c r="Q13" s="39"/>
      <c r="R13" s="45"/>
      <c r="S13" s="45"/>
      <c r="T13" s="45"/>
      <c r="U13" s="45"/>
      <c r="V13" s="45"/>
      <c r="W13" s="46" t="s">
        <v>32</v>
      </c>
      <c r="X13" s="46" t="s">
        <v>32</v>
      </c>
      <c r="Y13" s="46"/>
      <c r="Z13" s="47"/>
      <c r="AA13" s="47"/>
    </row>
    <row r="14" spans="1:27" s="51" customFormat="1" ht="15.75" x14ac:dyDescent="0.25">
      <c r="A14" s="31">
        <v>46084</v>
      </c>
      <c r="B14" s="32">
        <v>0.60624999999999996</v>
      </c>
      <c r="C14" s="32">
        <v>0.75902777777777775</v>
      </c>
      <c r="D14" s="33">
        <f t="shared" si="0"/>
        <v>1.1527777777777779</v>
      </c>
      <c r="E14" s="34">
        <f t="shared" si="5"/>
        <v>155319</v>
      </c>
      <c r="F14" s="43">
        <v>155747</v>
      </c>
      <c r="G14" s="36">
        <f t="shared" si="1"/>
        <v>4.28</v>
      </c>
      <c r="H14" s="44"/>
      <c r="I14" s="44"/>
      <c r="J14" s="44"/>
      <c r="K14" s="44">
        <v>28</v>
      </c>
      <c r="L14" s="44"/>
      <c r="M14" s="38">
        <f t="shared" si="2"/>
        <v>420</v>
      </c>
      <c r="N14" s="38">
        <f t="shared" si="3"/>
        <v>420</v>
      </c>
      <c r="O14" s="38">
        <f t="shared" si="4"/>
        <v>98.130841121495322</v>
      </c>
      <c r="P14" s="39" t="s">
        <v>31</v>
      </c>
      <c r="Q14" s="48"/>
      <c r="R14" s="49"/>
      <c r="S14" s="49"/>
      <c r="T14" s="49"/>
      <c r="U14" s="49"/>
      <c r="V14" s="49"/>
      <c r="W14" s="49" t="s">
        <v>32</v>
      </c>
      <c r="X14" s="49" t="s">
        <v>32</v>
      </c>
      <c r="Y14" s="49"/>
      <c r="Z14" s="50"/>
      <c r="AA14" s="50"/>
    </row>
    <row r="15" spans="1:27" ht="15.75" x14ac:dyDescent="0.25">
      <c r="A15" s="31">
        <v>46084</v>
      </c>
      <c r="B15" s="32">
        <v>0.77222222222222225</v>
      </c>
      <c r="C15" s="32">
        <v>0.90833333333333333</v>
      </c>
      <c r="D15" s="33">
        <f t="shared" si="0"/>
        <v>1.1361111111111111</v>
      </c>
      <c r="E15" s="34">
        <f t="shared" si="5"/>
        <v>155747</v>
      </c>
      <c r="F15" s="43">
        <v>156112</v>
      </c>
      <c r="G15" s="36">
        <f t="shared" si="1"/>
        <v>3.65</v>
      </c>
      <c r="H15" s="44"/>
      <c r="I15" s="44"/>
      <c r="J15" s="44"/>
      <c r="K15" s="44">
        <v>9</v>
      </c>
      <c r="L15" s="44">
        <v>12</v>
      </c>
      <c r="M15" s="38">
        <f t="shared" si="2"/>
        <v>435</v>
      </c>
      <c r="N15" s="38">
        <f t="shared" si="3"/>
        <v>435</v>
      </c>
      <c r="O15" s="38">
        <f t="shared" si="4"/>
        <v>119.17808219178083</v>
      </c>
      <c r="P15" s="39" t="s">
        <v>31</v>
      </c>
      <c r="Q15" s="39"/>
      <c r="R15" s="45"/>
      <c r="S15" s="45"/>
      <c r="T15" s="45"/>
      <c r="U15" s="45"/>
      <c r="V15" s="45"/>
      <c r="W15" s="46" t="s">
        <v>32</v>
      </c>
      <c r="X15" s="46" t="s">
        <v>32</v>
      </c>
      <c r="Y15" s="46"/>
      <c r="Z15" s="47"/>
      <c r="AA15" s="47"/>
    </row>
    <row r="16" spans="1:27" ht="15.75" x14ac:dyDescent="0.25">
      <c r="A16" s="31">
        <v>46084</v>
      </c>
      <c r="B16" s="32">
        <v>0.92152777777777772</v>
      </c>
      <c r="C16" s="32">
        <v>0.24930555555555556</v>
      </c>
      <c r="D16" s="33">
        <f t="shared" si="0"/>
        <v>0.32777777777777772</v>
      </c>
      <c r="E16" s="34">
        <f t="shared" si="5"/>
        <v>156112</v>
      </c>
      <c r="F16" s="43">
        <v>156916</v>
      </c>
      <c r="G16" s="36">
        <f t="shared" si="1"/>
        <v>8.0399999999999991</v>
      </c>
      <c r="H16" s="44"/>
      <c r="I16" s="44">
        <v>60</v>
      </c>
      <c r="J16" s="44"/>
      <c r="K16" s="44">
        <v>21</v>
      </c>
      <c r="L16" s="44">
        <v>5</v>
      </c>
      <c r="M16" s="38">
        <f t="shared" si="2"/>
        <v>620</v>
      </c>
      <c r="N16" s="38">
        <f t="shared" si="3"/>
        <v>620</v>
      </c>
      <c r="O16" s="38">
        <f t="shared" si="4"/>
        <v>77.114427860696523</v>
      </c>
      <c r="P16" s="39" t="s">
        <v>37</v>
      </c>
      <c r="Q16" s="39"/>
      <c r="R16" s="45"/>
      <c r="S16" s="45"/>
      <c r="T16" s="45"/>
      <c r="U16" s="45"/>
      <c r="V16" s="45"/>
      <c r="W16" s="46"/>
      <c r="X16" s="46"/>
      <c r="Y16" s="46"/>
      <c r="Z16" s="47"/>
      <c r="AA16" s="47"/>
    </row>
    <row r="17" spans="1:27" ht="15.75" x14ac:dyDescent="0.25">
      <c r="A17" s="31">
        <v>46085</v>
      </c>
      <c r="B17" s="32">
        <v>0.27291666666666664</v>
      </c>
      <c r="C17" s="32">
        <v>0.56736111111111109</v>
      </c>
      <c r="D17" s="33">
        <f t="shared" si="0"/>
        <v>1.2944444444444443</v>
      </c>
      <c r="E17" s="34">
        <f t="shared" si="5"/>
        <v>156916</v>
      </c>
      <c r="F17" s="43">
        <v>157723</v>
      </c>
      <c r="G17" s="36">
        <f t="shared" si="1"/>
        <v>8.07</v>
      </c>
      <c r="H17" s="44"/>
      <c r="I17" s="44">
        <v>92</v>
      </c>
      <c r="J17" s="44"/>
      <c r="K17" s="44">
        <v>30</v>
      </c>
      <c r="L17" s="44"/>
      <c r="M17" s="38">
        <f t="shared" si="2"/>
        <v>726</v>
      </c>
      <c r="N17" s="38">
        <f t="shared" si="3"/>
        <v>726</v>
      </c>
      <c r="O17" s="38">
        <f t="shared" si="4"/>
        <v>89.962825278810399</v>
      </c>
      <c r="P17" s="39" t="s">
        <v>38</v>
      </c>
      <c r="Q17" s="39"/>
      <c r="R17" s="45"/>
      <c r="S17" s="45"/>
      <c r="T17" s="45"/>
      <c r="U17" s="45"/>
      <c r="V17" s="45"/>
      <c r="W17" s="46" t="s">
        <v>32</v>
      </c>
      <c r="X17" s="46" t="s">
        <v>32</v>
      </c>
      <c r="Y17" s="46"/>
      <c r="Z17" s="47"/>
      <c r="AA17" s="47"/>
    </row>
    <row r="18" spans="1:27" ht="15.75" x14ac:dyDescent="0.25">
      <c r="A18" s="31">
        <v>46085</v>
      </c>
      <c r="B18" s="32">
        <v>0.59375</v>
      </c>
      <c r="C18" s="32">
        <v>0.73958333333333337</v>
      </c>
      <c r="D18" s="33">
        <f t="shared" si="0"/>
        <v>1.1458333333333335</v>
      </c>
      <c r="E18" s="34">
        <f t="shared" si="5"/>
        <v>157723</v>
      </c>
      <c r="F18" s="43">
        <v>158140</v>
      </c>
      <c r="G18" s="36">
        <f t="shared" si="1"/>
        <v>4.17</v>
      </c>
      <c r="H18" s="44"/>
      <c r="I18" s="44">
        <v>50</v>
      </c>
      <c r="J18" s="44"/>
      <c r="K18" s="44">
        <v>11</v>
      </c>
      <c r="L18" s="44"/>
      <c r="M18" s="38">
        <f t="shared" si="2"/>
        <v>315</v>
      </c>
      <c r="N18" s="38">
        <f t="shared" si="3"/>
        <v>315</v>
      </c>
      <c r="O18" s="38">
        <f t="shared" si="4"/>
        <v>75.539568345323744</v>
      </c>
      <c r="P18" s="39" t="s">
        <v>39</v>
      </c>
      <c r="Q18" s="39"/>
      <c r="R18" s="45"/>
      <c r="S18" s="45"/>
      <c r="T18" s="45"/>
      <c r="U18" s="45"/>
      <c r="V18" s="45"/>
      <c r="W18" s="46" t="s">
        <v>32</v>
      </c>
      <c r="X18" s="46" t="s">
        <v>32</v>
      </c>
      <c r="Y18" s="46"/>
      <c r="Z18" s="47"/>
      <c r="AA18" s="47"/>
    </row>
    <row r="19" spans="1:27" s="51" customFormat="1" ht="15.75" x14ac:dyDescent="0.25">
      <c r="A19" s="31">
        <v>46085</v>
      </c>
      <c r="B19" s="32">
        <v>0.76041666666666663</v>
      </c>
      <c r="C19" s="32">
        <v>0.90972222222222221</v>
      </c>
      <c r="D19" s="33">
        <f t="shared" si="0"/>
        <v>1.1493055555555558</v>
      </c>
      <c r="E19" s="34">
        <f t="shared" si="5"/>
        <v>158140</v>
      </c>
      <c r="F19" s="43">
        <v>158504</v>
      </c>
      <c r="G19" s="36">
        <f t="shared" si="1"/>
        <v>3.64</v>
      </c>
      <c r="H19" s="44"/>
      <c r="I19" s="44">
        <v>10</v>
      </c>
      <c r="J19" s="44">
        <v>19</v>
      </c>
      <c r="K19" s="44">
        <v>8</v>
      </c>
      <c r="L19" s="44"/>
      <c r="M19" s="38">
        <f t="shared" si="2"/>
        <v>283</v>
      </c>
      <c r="N19" s="38">
        <f t="shared" si="3"/>
        <v>283</v>
      </c>
      <c r="O19" s="38">
        <f t="shared" si="4"/>
        <v>77.747252747252745</v>
      </c>
      <c r="P19" s="39" t="s">
        <v>39</v>
      </c>
      <c r="Q19" s="48"/>
      <c r="R19" s="49"/>
      <c r="S19" s="49"/>
      <c r="T19" s="49"/>
      <c r="U19" s="49"/>
      <c r="V19" s="49"/>
      <c r="W19" s="49" t="s">
        <v>32</v>
      </c>
      <c r="X19" s="49" t="s">
        <v>32</v>
      </c>
      <c r="Y19" s="49"/>
      <c r="Z19" s="50"/>
      <c r="AA19" s="50"/>
    </row>
    <row r="20" spans="1:27" ht="15.75" x14ac:dyDescent="0.25">
      <c r="A20" s="31">
        <v>46087</v>
      </c>
      <c r="B20" s="32">
        <v>0.67569444444444449</v>
      </c>
      <c r="C20" s="32">
        <v>0.7319444444444444</v>
      </c>
      <c r="D20" s="33">
        <f t="shared" si="0"/>
        <v>1.0562499999999999</v>
      </c>
      <c r="E20" s="34">
        <f t="shared" si="5"/>
        <v>158504</v>
      </c>
      <c r="F20" s="43">
        <v>159012</v>
      </c>
      <c r="G20" s="36">
        <f t="shared" si="1"/>
        <v>5.08</v>
      </c>
      <c r="H20" s="44"/>
      <c r="I20" s="44"/>
      <c r="J20" s="44"/>
      <c r="K20" s="44">
        <v>10</v>
      </c>
      <c r="L20" s="44"/>
      <c r="M20" s="38">
        <f t="shared" si="2"/>
        <v>150</v>
      </c>
      <c r="N20" s="38">
        <f t="shared" si="3"/>
        <v>150</v>
      </c>
      <c r="O20" s="38">
        <f t="shared" si="4"/>
        <v>29.527559055118111</v>
      </c>
      <c r="P20" s="39" t="s">
        <v>40</v>
      </c>
      <c r="Q20" s="39"/>
      <c r="R20" s="45"/>
      <c r="S20" s="45"/>
      <c r="T20" s="45"/>
      <c r="U20" s="45"/>
      <c r="V20" s="45"/>
      <c r="W20" s="46" t="s">
        <v>32</v>
      </c>
      <c r="X20" s="46" t="s">
        <v>32</v>
      </c>
      <c r="Y20" s="46"/>
      <c r="Z20" s="47"/>
      <c r="AA20" s="47"/>
    </row>
    <row r="21" spans="1:27" ht="15.75" x14ac:dyDescent="0.25">
      <c r="A21" s="31">
        <v>46087</v>
      </c>
      <c r="B21" s="32">
        <v>0.78888888888888886</v>
      </c>
      <c r="C21" s="32">
        <v>0.90902777777777777</v>
      </c>
      <c r="D21" s="33">
        <f t="shared" si="0"/>
        <v>1.120138888888889</v>
      </c>
      <c r="E21" s="34">
        <f t="shared" si="5"/>
        <v>159012</v>
      </c>
      <c r="F21" s="43">
        <v>159405</v>
      </c>
      <c r="G21" s="36">
        <f t="shared" si="1"/>
        <v>3.93</v>
      </c>
      <c r="H21" s="44"/>
      <c r="I21" s="44">
        <v>18</v>
      </c>
      <c r="J21" s="44"/>
      <c r="K21" s="44">
        <v>9</v>
      </c>
      <c r="L21" s="44"/>
      <c r="M21" s="38">
        <f t="shared" si="2"/>
        <v>189</v>
      </c>
      <c r="N21" s="38">
        <f t="shared" si="3"/>
        <v>189</v>
      </c>
      <c r="O21" s="38">
        <f t="shared" si="4"/>
        <v>48.091603053435115</v>
      </c>
      <c r="P21" s="39" t="s">
        <v>40</v>
      </c>
      <c r="Q21" s="39"/>
      <c r="R21" s="45"/>
      <c r="S21" s="45"/>
      <c r="T21" s="45"/>
      <c r="U21" s="45"/>
      <c r="V21" s="45"/>
      <c r="W21" s="46"/>
      <c r="X21" s="46"/>
      <c r="Y21" s="46"/>
      <c r="Z21" s="47"/>
      <c r="AA21" s="47"/>
    </row>
    <row r="22" spans="1:27" ht="15.75" x14ac:dyDescent="0.25">
      <c r="A22" s="31">
        <v>46087</v>
      </c>
      <c r="B22" s="32">
        <v>0.93125000000000002</v>
      </c>
      <c r="C22" s="32">
        <v>0.23958333333333334</v>
      </c>
      <c r="D22" s="33">
        <f t="shared" si="0"/>
        <v>0.30833333333333324</v>
      </c>
      <c r="E22" s="34">
        <f t="shared" si="5"/>
        <v>159405</v>
      </c>
      <c r="F22" s="43">
        <v>160208</v>
      </c>
      <c r="G22" s="36">
        <f t="shared" si="1"/>
        <v>8.0299999999999994</v>
      </c>
      <c r="H22" s="44"/>
      <c r="I22" s="44">
        <v>50</v>
      </c>
      <c r="J22" s="44"/>
      <c r="K22" s="44">
        <v>30</v>
      </c>
      <c r="L22" s="44"/>
      <c r="M22" s="38">
        <f t="shared" si="2"/>
        <v>600</v>
      </c>
      <c r="N22" s="38">
        <f t="shared" si="3"/>
        <v>600</v>
      </c>
      <c r="O22" s="38">
        <f t="shared" si="4"/>
        <v>74.719800747198008</v>
      </c>
      <c r="P22" s="39" t="s">
        <v>37</v>
      </c>
      <c r="Q22" s="39"/>
      <c r="R22" s="45"/>
      <c r="S22" s="45"/>
      <c r="T22" s="45"/>
      <c r="U22" s="45"/>
      <c r="V22" s="45"/>
      <c r="W22" s="46" t="s">
        <v>32</v>
      </c>
      <c r="X22" s="46" t="s">
        <v>32</v>
      </c>
      <c r="Y22" s="46"/>
      <c r="Z22" s="47"/>
      <c r="AA22" s="47"/>
    </row>
    <row r="23" spans="1:27" ht="15.75" x14ac:dyDescent="0.25">
      <c r="A23" s="31">
        <v>46088</v>
      </c>
      <c r="B23" s="32">
        <v>0.27430555555555558</v>
      </c>
      <c r="C23" s="32">
        <v>0.57986111111111116</v>
      </c>
      <c r="D23" s="33">
        <f t="shared" si="0"/>
        <v>1.3055555555555556</v>
      </c>
      <c r="E23" s="34">
        <f t="shared" si="5"/>
        <v>160208</v>
      </c>
      <c r="F23" s="43">
        <v>161020</v>
      </c>
      <c r="G23" s="36">
        <f t="shared" si="1"/>
        <v>8.1199999999999992</v>
      </c>
      <c r="H23" s="44">
        <v>46</v>
      </c>
      <c r="I23" s="44">
        <v>38</v>
      </c>
      <c r="J23" s="44">
        <v>27</v>
      </c>
      <c r="K23" s="44">
        <v>16</v>
      </c>
      <c r="L23" s="44"/>
      <c r="M23" s="38">
        <f>+(($H$6*H23)+($I$6*I23)+($J$6*J23)+($K$6*K23)+(13*L23))</f>
        <v>612</v>
      </c>
      <c r="N23" s="38">
        <f t="shared" si="3"/>
        <v>612</v>
      </c>
      <c r="O23" s="38">
        <f t="shared" si="4"/>
        <v>75.369458128078819</v>
      </c>
      <c r="P23" s="39" t="s">
        <v>34</v>
      </c>
      <c r="Q23" s="39"/>
      <c r="R23" s="45"/>
      <c r="S23" s="45"/>
      <c r="T23" s="45"/>
      <c r="U23" s="45"/>
      <c r="V23" s="45"/>
      <c r="W23" s="46"/>
      <c r="X23" s="46"/>
      <c r="Y23" s="46"/>
      <c r="Z23" s="47"/>
      <c r="AA23" s="47"/>
    </row>
    <row r="24" spans="1:27" s="55" customFormat="1" ht="15.75" x14ac:dyDescent="0.25">
      <c r="A24" s="31">
        <v>46088</v>
      </c>
      <c r="B24" s="32">
        <v>0.6020833333333333</v>
      </c>
      <c r="C24" s="32">
        <v>0.76388888888888884</v>
      </c>
      <c r="D24" s="33">
        <f t="shared" si="0"/>
        <v>1.1618055555555555</v>
      </c>
      <c r="E24" s="34">
        <f t="shared" si="5"/>
        <v>161020</v>
      </c>
      <c r="F24" s="43">
        <v>161433</v>
      </c>
      <c r="G24" s="36">
        <f t="shared" si="1"/>
        <v>4.13</v>
      </c>
      <c r="H24" s="44"/>
      <c r="I24" s="44">
        <v>59</v>
      </c>
      <c r="J24" s="44">
        <v>29</v>
      </c>
      <c r="K24" s="44"/>
      <c r="L24" s="44"/>
      <c r="M24" s="44">
        <f t="shared" si="2"/>
        <v>380</v>
      </c>
      <c r="N24" s="44">
        <f t="shared" si="3"/>
        <v>380</v>
      </c>
      <c r="O24" s="44">
        <f t="shared" si="4"/>
        <v>92.009685230024218</v>
      </c>
      <c r="P24" s="39" t="s">
        <v>35</v>
      </c>
      <c r="Q24" s="52"/>
      <c r="R24" s="53"/>
      <c r="S24" s="53"/>
      <c r="T24" s="53"/>
      <c r="U24" s="53"/>
      <c r="V24" s="53"/>
      <c r="W24" s="53"/>
      <c r="X24" s="53"/>
      <c r="Y24" s="53"/>
      <c r="Z24" s="54"/>
      <c r="AA24" s="54"/>
    </row>
    <row r="25" spans="1:27" ht="15.75" x14ac:dyDescent="0.25">
      <c r="A25" s="31">
        <v>46088</v>
      </c>
      <c r="B25" s="32">
        <v>0.78194444444444444</v>
      </c>
      <c r="C25" s="32">
        <v>0.90694444444444444</v>
      </c>
      <c r="D25" s="33">
        <f t="shared" si="0"/>
        <v>1.125</v>
      </c>
      <c r="E25" s="34">
        <f t="shared" si="5"/>
        <v>161433</v>
      </c>
      <c r="F25" s="35">
        <v>161815</v>
      </c>
      <c r="G25" s="36">
        <f t="shared" si="1"/>
        <v>3.82</v>
      </c>
      <c r="H25" s="37"/>
      <c r="I25" s="37"/>
      <c r="J25" s="37"/>
      <c r="K25" s="37">
        <v>24</v>
      </c>
      <c r="L25" s="37"/>
      <c r="M25" s="38">
        <f t="shared" si="2"/>
        <v>360</v>
      </c>
      <c r="N25" s="38">
        <f t="shared" si="3"/>
        <v>360</v>
      </c>
      <c r="O25" s="38">
        <f t="shared" si="4"/>
        <v>94.240837696335078</v>
      </c>
      <c r="P25" s="39" t="s">
        <v>41</v>
      </c>
      <c r="Q25" s="40"/>
      <c r="R25" s="41"/>
      <c r="S25" s="41"/>
      <c r="T25" s="41"/>
      <c r="U25" s="41"/>
      <c r="V25" s="41"/>
      <c r="W25" s="42" t="s">
        <v>32</v>
      </c>
      <c r="X25" s="42" t="s">
        <v>32</v>
      </c>
      <c r="Y25" s="42"/>
    </row>
    <row r="26" spans="1:27" ht="15.75" x14ac:dyDescent="0.25">
      <c r="A26" s="31">
        <v>46088</v>
      </c>
      <c r="B26" s="32">
        <v>0.9291666666666667</v>
      </c>
      <c r="C26" s="32">
        <v>0.23680555555555555</v>
      </c>
      <c r="D26" s="33">
        <f t="shared" si="0"/>
        <v>0.3076388888888888</v>
      </c>
      <c r="E26" s="34">
        <f t="shared" si="5"/>
        <v>161815</v>
      </c>
      <c r="F26" s="35">
        <v>162600</v>
      </c>
      <c r="G26" s="36">
        <f t="shared" si="1"/>
        <v>7.85</v>
      </c>
      <c r="H26" s="37">
        <v>17</v>
      </c>
      <c r="I26" s="37">
        <v>61</v>
      </c>
      <c r="J26" s="37">
        <v>33</v>
      </c>
      <c r="K26" s="37">
        <v>14</v>
      </c>
      <c r="L26" s="37"/>
      <c r="M26" s="38">
        <f t="shared" si="2"/>
        <v>649.5</v>
      </c>
      <c r="N26" s="38">
        <f t="shared" si="3"/>
        <v>649.5</v>
      </c>
      <c r="O26" s="38">
        <f t="shared" si="4"/>
        <v>82.738853503184714</v>
      </c>
      <c r="P26" s="39" t="s">
        <v>37</v>
      </c>
      <c r="Q26" s="40"/>
      <c r="R26" s="41"/>
      <c r="S26" s="41"/>
      <c r="T26" s="41"/>
      <c r="U26" s="41"/>
      <c r="V26" s="41"/>
      <c r="W26" s="42" t="s">
        <v>32</v>
      </c>
      <c r="X26" s="42" t="s">
        <v>32</v>
      </c>
      <c r="Y26" s="42"/>
    </row>
    <row r="27" spans="1:27" ht="15.75" x14ac:dyDescent="0.25">
      <c r="A27" s="31">
        <v>46089</v>
      </c>
      <c r="B27" s="32">
        <v>0.26041666666666669</v>
      </c>
      <c r="C27" s="32">
        <v>0.66319444444444442</v>
      </c>
      <c r="D27" s="33">
        <f t="shared" si="0"/>
        <v>1.4027777777777777</v>
      </c>
      <c r="E27" s="34">
        <f t="shared" si="5"/>
        <v>162600</v>
      </c>
      <c r="F27" s="43">
        <v>163632</v>
      </c>
      <c r="G27" s="36">
        <f t="shared" si="1"/>
        <v>10.32</v>
      </c>
      <c r="H27" s="44"/>
      <c r="I27" s="44">
        <v>77</v>
      </c>
      <c r="J27" s="44"/>
      <c r="K27" s="44">
        <v>46</v>
      </c>
      <c r="L27" s="44"/>
      <c r="M27" s="38">
        <f t="shared" si="2"/>
        <v>921</v>
      </c>
      <c r="N27" s="38">
        <f t="shared" si="3"/>
        <v>921</v>
      </c>
      <c r="O27" s="38">
        <f t="shared" si="4"/>
        <v>89.244186046511629</v>
      </c>
      <c r="P27" s="39" t="s">
        <v>42</v>
      </c>
      <c r="Q27" s="39" t="s">
        <v>43</v>
      </c>
      <c r="R27" s="45"/>
      <c r="S27" s="45"/>
      <c r="T27" s="45"/>
      <c r="U27" s="45"/>
      <c r="V27" s="45"/>
      <c r="W27" s="46" t="s">
        <v>32</v>
      </c>
      <c r="X27" s="46" t="s">
        <v>32</v>
      </c>
      <c r="Y27" s="46"/>
      <c r="Z27" s="47"/>
      <c r="AA27" s="47"/>
    </row>
    <row r="28" spans="1:27" ht="15.75" x14ac:dyDescent="0.25">
      <c r="A28" s="31">
        <v>46089</v>
      </c>
      <c r="B28" s="32">
        <v>3.888888888888889E-2</v>
      </c>
      <c r="C28" s="32">
        <v>0.24027777777777778</v>
      </c>
      <c r="D28" s="33">
        <f t="shared" si="0"/>
        <v>1.2013888888888888</v>
      </c>
      <c r="E28" s="34">
        <f t="shared" si="5"/>
        <v>163632</v>
      </c>
      <c r="F28" s="43">
        <v>164202</v>
      </c>
      <c r="G28" s="36">
        <f t="shared" si="1"/>
        <v>5.7</v>
      </c>
      <c r="H28" s="44"/>
      <c r="I28" s="44">
        <v>62</v>
      </c>
      <c r="J28" s="44"/>
      <c r="K28" s="44">
        <v>15</v>
      </c>
      <c r="L28" s="44"/>
      <c r="M28" s="38">
        <f>+(($H$6*H28)+($I$6*I28)+($J$6*J28)+($K$6*K28)+(13*L28))</f>
        <v>411</v>
      </c>
      <c r="N28" s="38">
        <f t="shared" si="3"/>
        <v>411</v>
      </c>
      <c r="O28" s="38">
        <f t="shared" si="4"/>
        <v>72.10526315789474</v>
      </c>
      <c r="P28" s="39" t="s">
        <v>39</v>
      </c>
      <c r="Q28" s="39" t="s">
        <v>44</v>
      </c>
      <c r="R28" s="45"/>
      <c r="S28" s="45"/>
      <c r="T28" s="45"/>
      <c r="U28" s="45"/>
      <c r="V28" s="45"/>
      <c r="W28" s="46" t="s">
        <v>32</v>
      </c>
      <c r="X28" s="46" t="s">
        <v>32</v>
      </c>
      <c r="Y28" s="46"/>
      <c r="Z28" s="47"/>
      <c r="AA28" s="47"/>
    </row>
    <row r="29" spans="1:27" ht="15.75" x14ac:dyDescent="0.25">
      <c r="A29" s="31">
        <v>46090</v>
      </c>
      <c r="B29" s="32">
        <v>0.25694444444444442</v>
      </c>
      <c r="C29" s="32">
        <v>0.56944444444444442</v>
      </c>
      <c r="D29" s="33">
        <f t="shared" si="0"/>
        <v>1.3125</v>
      </c>
      <c r="E29" s="34">
        <f t="shared" si="5"/>
        <v>164202</v>
      </c>
      <c r="F29" s="43">
        <v>164920</v>
      </c>
      <c r="G29" s="36">
        <f t="shared" si="1"/>
        <v>7.18</v>
      </c>
      <c r="H29" s="44"/>
      <c r="I29" s="44">
        <v>40</v>
      </c>
      <c r="J29" s="44"/>
      <c r="K29" s="44">
        <v>48</v>
      </c>
      <c r="L29" s="44"/>
      <c r="M29" s="38">
        <f t="shared" si="2"/>
        <v>840</v>
      </c>
      <c r="N29" s="38">
        <f t="shared" si="3"/>
        <v>840</v>
      </c>
      <c r="O29" s="38">
        <f t="shared" si="4"/>
        <v>116.99164345403901</v>
      </c>
      <c r="P29" s="39" t="s">
        <v>36</v>
      </c>
      <c r="Q29" s="17"/>
      <c r="R29" s="45"/>
      <c r="S29" s="45"/>
      <c r="T29" s="45"/>
      <c r="U29" s="45"/>
      <c r="V29" s="45"/>
      <c r="W29" s="46" t="s">
        <v>32</v>
      </c>
      <c r="X29" s="46" t="s">
        <v>32</v>
      </c>
      <c r="Y29" s="46"/>
      <c r="Z29" s="47"/>
      <c r="AA29" s="47"/>
    </row>
    <row r="30" spans="1:27" ht="15.75" x14ac:dyDescent="0.25">
      <c r="A30" s="31">
        <v>46090</v>
      </c>
      <c r="B30" s="32">
        <v>0.60486111111111107</v>
      </c>
      <c r="C30" s="32">
        <v>0.73333333333333328</v>
      </c>
      <c r="D30" s="33">
        <f t="shared" si="0"/>
        <v>1.1284722222222223</v>
      </c>
      <c r="E30" s="34">
        <f t="shared" si="5"/>
        <v>164920</v>
      </c>
      <c r="F30" s="43">
        <v>165302</v>
      </c>
      <c r="G30" s="36">
        <f t="shared" si="1"/>
        <v>3.82</v>
      </c>
      <c r="H30" s="44"/>
      <c r="I30" s="44"/>
      <c r="J30" s="44"/>
      <c r="K30" s="44">
        <v>24</v>
      </c>
      <c r="L30" s="44">
        <v>2</v>
      </c>
      <c r="M30" s="38">
        <f>+(($H$6*H30)+($I$6*I30)+($J$6*J30)+($K$6*K30)+(13*L30))</f>
        <v>386</v>
      </c>
      <c r="N30" s="38">
        <f t="shared" si="3"/>
        <v>386</v>
      </c>
      <c r="O30" s="38">
        <f t="shared" si="4"/>
        <v>101.04712041884817</v>
      </c>
      <c r="P30" s="39" t="s">
        <v>39</v>
      </c>
      <c r="Q30" s="39"/>
      <c r="R30" s="45"/>
      <c r="S30" s="45"/>
      <c r="T30" s="45"/>
      <c r="U30" s="45"/>
      <c r="V30" s="45"/>
      <c r="W30" s="46" t="s">
        <v>32</v>
      </c>
      <c r="X30" s="46" t="s">
        <v>32</v>
      </c>
      <c r="Y30" s="46"/>
      <c r="Z30" s="47"/>
      <c r="AA30" s="47"/>
    </row>
    <row r="31" spans="1:27" ht="15.75" x14ac:dyDescent="0.25">
      <c r="A31" s="31">
        <v>46090</v>
      </c>
      <c r="B31" s="32">
        <v>0.77777777777777779</v>
      </c>
      <c r="C31" s="32">
        <v>0.90347222222222223</v>
      </c>
      <c r="D31" s="33">
        <f t="shared" si="0"/>
        <v>1.1256944444444446</v>
      </c>
      <c r="E31" s="34">
        <f t="shared" si="5"/>
        <v>165302</v>
      </c>
      <c r="F31" s="43">
        <v>165693</v>
      </c>
      <c r="G31" s="36">
        <f t="shared" si="1"/>
        <v>3.91</v>
      </c>
      <c r="H31" s="44"/>
      <c r="I31" s="44">
        <v>68</v>
      </c>
      <c r="J31" s="44"/>
      <c r="K31" s="44">
        <v>8</v>
      </c>
      <c r="L31" s="44"/>
      <c r="M31" s="38">
        <f>+(($H$6*H31)+($I$6*I31)+($J$6*J31)+($K$6*K31)+($L$6*L31))</f>
        <v>324</v>
      </c>
      <c r="N31" s="38">
        <f t="shared" si="3"/>
        <v>324</v>
      </c>
      <c r="O31" s="38">
        <f t="shared" si="4"/>
        <v>82.864450127877234</v>
      </c>
      <c r="P31" s="39" t="s">
        <v>40</v>
      </c>
      <c r="Q31" s="39"/>
      <c r="R31" s="45"/>
      <c r="S31" s="45"/>
      <c r="T31" s="45"/>
      <c r="U31" s="45"/>
      <c r="V31" s="45"/>
      <c r="W31" s="46" t="s">
        <v>32</v>
      </c>
      <c r="X31" s="46" t="s">
        <v>32</v>
      </c>
      <c r="Y31" s="46"/>
      <c r="Z31" s="47"/>
      <c r="AA31" s="47"/>
    </row>
    <row r="32" spans="1:27" ht="15.75" x14ac:dyDescent="0.25">
      <c r="A32" s="31">
        <v>46090</v>
      </c>
      <c r="B32" s="32">
        <v>0.92361111111111116</v>
      </c>
      <c r="C32" s="32">
        <v>0.23402777777777778</v>
      </c>
      <c r="D32" s="33">
        <f>1+C32-B32</f>
        <v>0.31041666666666656</v>
      </c>
      <c r="E32" s="34">
        <f t="shared" si="5"/>
        <v>165693</v>
      </c>
      <c r="F32" s="43">
        <v>166485</v>
      </c>
      <c r="G32" s="36">
        <f t="shared" si="1"/>
        <v>7.92</v>
      </c>
      <c r="H32" s="44"/>
      <c r="I32" s="44">
        <v>115</v>
      </c>
      <c r="J32" s="44">
        <v>36</v>
      </c>
      <c r="K32" s="44">
        <v>12</v>
      </c>
      <c r="L32" s="44"/>
      <c r="M32" s="38">
        <f>+(($H$6*H32)+($I$6*I32)+($J$6*J32)+($K$6*K32)+(13*L32))</f>
        <v>777</v>
      </c>
      <c r="N32" s="38">
        <f>+M32</f>
        <v>777</v>
      </c>
      <c r="O32" s="38">
        <f>+M32/G32</f>
        <v>98.106060606060609</v>
      </c>
      <c r="P32" s="39" t="s">
        <v>37</v>
      </c>
      <c r="Q32" s="39"/>
      <c r="R32" s="45"/>
      <c r="S32" s="45"/>
      <c r="T32" s="45"/>
      <c r="U32" s="45"/>
      <c r="V32" s="45"/>
      <c r="W32" s="46" t="s">
        <v>32</v>
      </c>
      <c r="X32" s="46" t="s">
        <v>32</v>
      </c>
      <c r="Y32" s="46"/>
      <c r="Z32" s="47"/>
      <c r="AA32" s="47"/>
    </row>
    <row r="33" spans="1:27" ht="15.75" x14ac:dyDescent="0.25">
      <c r="A33" s="31">
        <v>46091</v>
      </c>
      <c r="B33" s="32">
        <v>0.25347222222222221</v>
      </c>
      <c r="C33" s="32">
        <v>0.57499999999999996</v>
      </c>
      <c r="D33" s="33">
        <f>1+C33-B33</f>
        <v>1.3215277777777779</v>
      </c>
      <c r="E33" s="34">
        <f t="shared" si="5"/>
        <v>166485</v>
      </c>
      <c r="F33" s="43">
        <v>167280</v>
      </c>
      <c r="G33" s="36">
        <f t="shared" si="1"/>
        <v>7.95</v>
      </c>
      <c r="H33" s="44">
        <v>20</v>
      </c>
      <c r="I33" s="44"/>
      <c r="J33" s="44">
        <v>51</v>
      </c>
      <c r="K33" s="44">
        <v>30</v>
      </c>
      <c r="L33" s="44"/>
      <c r="M33" s="38">
        <f>+(($H$6*H33)+($I$6*I33)+($J$6*J33)+($K$6*K33)+($L$6*L33))</f>
        <v>837</v>
      </c>
      <c r="N33" s="38">
        <f>+M33</f>
        <v>837</v>
      </c>
      <c r="O33" s="38">
        <f>+M33/G33</f>
        <v>105.28301886792453</v>
      </c>
      <c r="P33" s="39" t="s">
        <v>45</v>
      </c>
      <c r="Q33" s="39"/>
      <c r="R33" s="45"/>
      <c r="S33" s="45"/>
      <c r="T33" s="45"/>
      <c r="U33" s="45"/>
      <c r="V33" s="45"/>
      <c r="W33" s="46" t="s">
        <v>32</v>
      </c>
      <c r="X33" s="46" t="s">
        <v>32</v>
      </c>
      <c r="Y33" s="46"/>
      <c r="Z33" s="47"/>
      <c r="AA33" s="47"/>
    </row>
    <row r="34" spans="1:27" ht="15.75" x14ac:dyDescent="0.25">
      <c r="A34" s="31">
        <v>46091</v>
      </c>
      <c r="B34" s="32">
        <v>0.59722222222222221</v>
      </c>
      <c r="C34" s="32">
        <v>0.74305555555555558</v>
      </c>
      <c r="D34" s="33">
        <f>1+C34-B34</f>
        <v>1.1458333333333335</v>
      </c>
      <c r="E34" s="34">
        <f t="shared" si="5"/>
        <v>167280</v>
      </c>
      <c r="F34" s="43">
        <v>167691</v>
      </c>
      <c r="G34" s="36">
        <f t="shared" si="1"/>
        <v>4.1100000000000003</v>
      </c>
      <c r="H34" s="44"/>
      <c r="I34" s="44"/>
      <c r="J34" s="44"/>
      <c r="K34" s="44">
        <v>28</v>
      </c>
      <c r="L34" s="44"/>
      <c r="M34" s="56">
        <f>+(($H$6*H34)+($I$6*I34)+($J$6*J34)+($K$6*K34)+(13*L34))</f>
        <v>420</v>
      </c>
      <c r="N34" s="38">
        <f>+M34</f>
        <v>420</v>
      </c>
      <c r="O34" s="38">
        <f>+M34/G34</f>
        <v>102.1897810218978</v>
      </c>
      <c r="P34" s="52" t="s">
        <v>42</v>
      </c>
      <c r="Q34" s="39"/>
      <c r="R34" s="45"/>
      <c r="S34" s="45"/>
      <c r="T34" s="45"/>
      <c r="U34" s="45"/>
      <c r="V34" s="45"/>
      <c r="W34" s="46" t="s">
        <v>32</v>
      </c>
      <c r="X34" s="46" t="s">
        <v>32</v>
      </c>
      <c r="Y34" s="46"/>
      <c r="Z34" s="47"/>
      <c r="AA34" s="47"/>
    </row>
    <row r="35" spans="1:27" ht="15.75" x14ac:dyDescent="0.25">
      <c r="A35" s="31">
        <v>46091</v>
      </c>
      <c r="B35" s="32">
        <v>0.77569444444444446</v>
      </c>
      <c r="C35" s="32">
        <v>0.90486111111111112</v>
      </c>
      <c r="D35" s="33">
        <f t="shared" si="0"/>
        <v>1.1291666666666667</v>
      </c>
      <c r="E35" s="34">
        <f t="shared" si="5"/>
        <v>167691</v>
      </c>
      <c r="F35" s="43">
        <v>168085</v>
      </c>
      <c r="G35" s="36">
        <f t="shared" si="1"/>
        <v>3.94</v>
      </c>
      <c r="H35" s="44"/>
      <c r="I35" s="44"/>
      <c r="J35" s="44"/>
      <c r="K35" s="44">
        <v>27</v>
      </c>
      <c r="L35" s="44"/>
      <c r="M35" s="38">
        <f>+(($H$6*H35)+($I$6*I35)+($J$6*J35)+($K$6*K35)+($L$6*L35))</f>
        <v>405</v>
      </c>
      <c r="N35" s="38">
        <f t="shared" si="3"/>
        <v>405</v>
      </c>
      <c r="O35" s="38">
        <f t="shared" si="4"/>
        <v>102.79187817258884</v>
      </c>
      <c r="P35" s="39" t="s">
        <v>31</v>
      </c>
      <c r="Q35" s="39"/>
      <c r="R35" s="45"/>
      <c r="S35" s="45"/>
      <c r="T35" s="45"/>
      <c r="U35" s="45"/>
      <c r="V35" s="45"/>
      <c r="W35" s="46">
        <f>+(($H$6*R35)+($I$6*S35)+($J$6*T35)+($K$6*U35)+($L$6*V35))</f>
        <v>0</v>
      </c>
      <c r="X35" s="46">
        <f>+W35</f>
        <v>0</v>
      </c>
      <c r="Y35" s="46"/>
      <c r="Z35" s="47"/>
      <c r="AA35" s="47"/>
    </row>
    <row r="36" spans="1:27" ht="15.75" x14ac:dyDescent="0.25">
      <c r="A36" s="31">
        <v>46091</v>
      </c>
      <c r="B36" s="32">
        <v>0.91874999999999996</v>
      </c>
      <c r="C36" s="32">
        <v>0.24861111111111112</v>
      </c>
      <c r="D36" s="33">
        <f t="shared" si="0"/>
        <v>0.32986111111111116</v>
      </c>
      <c r="E36" s="34">
        <v>168085</v>
      </c>
      <c r="F36" s="43">
        <v>168882</v>
      </c>
      <c r="G36" s="36">
        <f t="shared" si="1"/>
        <v>7.97</v>
      </c>
      <c r="H36" s="44"/>
      <c r="I36" s="44">
        <v>71</v>
      </c>
      <c r="J36" s="44"/>
      <c r="K36" s="44">
        <v>43</v>
      </c>
      <c r="L36" s="44"/>
      <c r="M36" s="38">
        <f>+(($H$6*H36)+($I$6*I36)+($J$6*J36)+($K$6*K36)+($L$6*L36))</f>
        <v>858</v>
      </c>
      <c r="N36" s="38">
        <f t="shared" si="3"/>
        <v>858</v>
      </c>
      <c r="O36" s="38">
        <f t="shared" si="4"/>
        <v>107.65370138017566</v>
      </c>
      <c r="P36" s="39" t="s">
        <v>36</v>
      </c>
      <c r="Q36" s="39"/>
      <c r="R36" s="45"/>
      <c r="S36" s="45"/>
      <c r="T36" s="45"/>
      <c r="U36" s="45"/>
      <c r="V36" s="45"/>
      <c r="W36" s="46"/>
      <c r="X36" s="46"/>
      <c r="Y36" s="46"/>
      <c r="Z36" s="47"/>
      <c r="AA36" s="47"/>
    </row>
    <row r="37" spans="1:27" ht="15.75" x14ac:dyDescent="0.25">
      <c r="A37" s="31">
        <v>46090</v>
      </c>
      <c r="B37" s="32">
        <v>0.27083333333333331</v>
      </c>
      <c r="C37" s="32">
        <v>0.55763888888888891</v>
      </c>
      <c r="D37" s="33">
        <f t="shared" si="0"/>
        <v>1.2868055555555558</v>
      </c>
      <c r="E37" s="34">
        <f t="shared" si="5"/>
        <v>168882</v>
      </c>
      <c r="F37" s="43">
        <v>169588</v>
      </c>
      <c r="G37" s="36">
        <f t="shared" si="1"/>
        <v>7.06</v>
      </c>
      <c r="H37" s="44"/>
      <c r="I37" s="44"/>
      <c r="J37" s="44">
        <v>30</v>
      </c>
      <c r="K37" s="44">
        <v>24</v>
      </c>
      <c r="L37" s="44"/>
      <c r="M37" s="38">
        <f>+(($H$6*H37)+($I$6*I37)+($J$6*J37)+($K$6*K37)+(13*L37))</f>
        <v>570</v>
      </c>
      <c r="N37" s="38">
        <f t="shared" si="3"/>
        <v>570</v>
      </c>
      <c r="O37" s="38">
        <f t="shared" si="4"/>
        <v>80.736543909348441</v>
      </c>
      <c r="P37" s="39" t="s">
        <v>38</v>
      </c>
      <c r="Q37" s="39"/>
      <c r="R37" s="45"/>
      <c r="S37" s="45"/>
      <c r="T37" s="45"/>
      <c r="U37" s="45"/>
      <c r="V37" s="45"/>
      <c r="W37" s="46"/>
      <c r="X37" s="46"/>
      <c r="Y37" s="46"/>
      <c r="Z37" s="47"/>
      <c r="AA37" s="47"/>
    </row>
    <row r="38" spans="1:27" ht="15.75" x14ac:dyDescent="0.25">
      <c r="A38" s="31">
        <v>46092</v>
      </c>
      <c r="B38" s="32">
        <v>0.75763888888888886</v>
      </c>
      <c r="C38" s="32">
        <v>0.90347222222222223</v>
      </c>
      <c r="D38" s="33">
        <f t="shared" si="0"/>
        <v>1.1458333333333335</v>
      </c>
      <c r="E38" s="34">
        <v>169915</v>
      </c>
      <c r="F38" s="43">
        <v>170302</v>
      </c>
      <c r="G38" s="36">
        <f t="shared" si="1"/>
        <v>3.87</v>
      </c>
      <c r="H38" s="44"/>
      <c r="I38" s="44"/>
      <c r="J38" s="44"/>
      <c r="K38" s="44">
        <v>27</v>
      </c>
      <c r="L38" s="44"/>
      <c r="M38" s="38">
        <f t="shared" ref="M38:M44" si="6">+(($H$6*H38)+($I$6*I38)+($J$6*J38)+($K$6*K38)+($L$6*L38))</f>
        <v>405</v>
      </c>
      <c r="N38" s="38">
        <f t="shared" si="3"/>
        <v>405</v>
      </c>
      <c r="O38" s="38">
        <f t="shared" si="4"/>
        <v>104.65116279069767</v>
      </c>
      <c r="P38" s="39" t="s">
        <v>45</v>
      </c>
      <c r="Q38" s="39"/>
      <c r="R38" s="45"/>
      <c r="S38" s="45"/>
      <c r="T38" s="45"/>
      <c r="U38" s="45"/>
      <c r="V38" s="45"/>
      <c r="W38" s="46">
        <f>+(($H$6*R38)+($I$6*S38)+($J$6*T38)+($K$6*U38)+($L$6*V38))</f>
        <v>0</v>
      </c>
      <c r="X38" s="46">
        <f>+W38</f>
        <v>0</v>
      </c>
      <c r="Y38" s="46"/>
      <c r="Z38" s="47"/>
      <c r="AA38" s="47"/>
    </row>
    <row r="39" spans="1:27" ht="14.25" customHeight="1" x14ac:dyDescent="0.25">
      <c r="A39" s="31">
        <v>46092</v>
      </c>
      <c r="B39" s="32">
        <v>0.92152777777777772</v>
      </c>
      <c r="C39" s="32">
        <v>0.23819444444444443</v>
      </c>
      <c r="D39" s="33">
        <f t="shared" si="0"/>
        <v>0.31666666666666665</v>
      </c>
      <c r="E39" s="34">
        <f t="shared" si="5"/>
        <v>170302</v>
      </c>
      <c r="F39" s="43">
        <v>171091</v>
      </c>
      <c r="G39" s="36">
        <f t="shared" si="1"/>
        <v>7.89</v>
      </c>
      <c r="H39" s="44"/>
      <c r="I39" s="44">
        <v>109</v>
      </c>
      <c r="J39" s="44"/>
      <c r="K39" s="44">
        <v>34</v>
      </c>
      <c r="L39" s="44"/>
      <c r="M39" s="38">
        <f>+(($H$6*H39)+($I$6*I39)+($J$6*J39)+($K$6*K39)+(13*L39))</f>
        <v>837</v>
      </c>
      <c r="N39" s="38">
        <f t="shared" si="3"/>
        <v>837</v>
      </c>
      <c r="O39" s="38">
        <f t="shared" si="4"/>
        <v>106.08365019011407</v>
      </c>
      <c r="P39" s="39" t="s">
        <v>36</v>
      </c>
      <c r="Q39" s="39"/>
      <c r="R39" s="45"/>
      <c r="S39" s="45"/>
      <c r="T39" s="45"/>
      <c r="U39" s="45"/>
      <c r="V39" s="45"/>
      <c r="W39" s="46"/>
      <c r="X39" s="46"/>
      <c r="Y39" s="46"/>
      <c r="Z39" s="47"/>
      <c r="AA39" s="47"/>
    </row>
    <row r="40" spans="1:27" ht="14.25" customHeight="1" x14ac:dyDescent="0.25">
      <c r="A40" s="31">
        <v>46093</v>
      </c>
      <c r="B40" s="32">
        <v>0.26805555555555555</v>
      </c>
      <c r="C40" s="32">
        <v>0.58333333333333337</v>
      </c>
      <c r="D40" s="33">
        <f t="shared" si="0"/>
        <v>1.315277777777778</v>
      </c>
      <c r="E40" s="34">
        <f t="shared" si="5"/>
        <v>171091</v>
      </c>
      <c r="F40" s="43">
        <v>171609</v>
      </c>
      <c r="G40" s="36">
        <f t="shared" si="1"/>
        <v>5.18</v>
      </c>
      <c r="H40" s="44"/>
      <c r="I40" s="44"/>
      <c r="J40" s="44">
        <v>36</v>
      </c>
      <c r="K40" s="44">
        <v>15</v>
      </c>
      <c r="L40" s="44">
        <v>2</v>
      </c>
      <c r="M40" s="38">
        <f>+(($H$6*H40)+($I$6*I40)+($J$6*J40)+($K$6*K40)+(13*L40))</f>
        <v>503</v>
      </c>
      <c r="N40" s="38">
        <f t="shared" si="3"/>
        <v>503</v>
      </c>
      <c r="O40" s="38">
        <f t="shared" si="4"/>
        <v>97.104247104247108</v>
      </c>
      <c r="P40" s="39" t="s">
        <v>41</v>
      </c>
      <c r="Q40" s="39"/>
      <c r="R40" s="45"/>
      <c r="S40" s="45"/>
      <c r="T40" s="45"/>
      <c r="U40" s="45"/>
      <c r="V40" s="45"/>
      <c r="W40" s="46">
        <f t="shared" ref="W40:W48" si="7">+(($H$6*R40)+($I$6*S40)+($J$6*T40)+($K$6*U40)+($L$6*V40))</f>
        <v>0</v>
      </c>
      <c r="X40" s="46">
        <f t="shared" ref="X40:X48" si="8">+W40</f>
        <v>0</v>
      </c>
      <c r="Y40" s="46"/>
      <c r="Z40" s="47"/>
      <c r="AA40" s="47"/>
    </row>
    <row r="41" spans="1:27" ht="15.75" x14ac:dyDescent="0.25">
      <c r="A41" s="31">
        <v>46093</v>
      </c>
      <c r="B41" s="32">
        <v>0.59861111111111109</v>
      </c>
      <c r="C41" s="32">
        <v>0.74930555555555556</v>
      </c>
      <c r="D41" s="33">
        <f t="shared" si="0"/>
        <v>1.1506944444444445</v>
      </c>
      <c r="E41" s="34">
        <f t="shared" si="5"/>
        <v>171609</v>
      </c>
      <c r="F41" s="43">
        <v>172003</v>
      </c>
      <c r="G41" s="36">
        <v>4</v>
      </c>
      <c r="H41" s="44"/>
      <c r="I41" s="44"/>
      <c r="J41" s="44">
        <v>90</v>
      </c>
      <c r="K41" s="44">
        <v>6</v>
      </c>
      <c r="L41" s="44"/>
      <c r="M41" s="38">
        <f t="shared" si="6"/>
        <v>720</v>
      </c>
      <c r="N41" s="38">
        <f t="shared" si="3"/>
        <v>720</v>
      </c>
      <c r="O41" s="38">
        <f t="shared" si="4"/>
        <v>180</v>
      </c>
      <c r="P41" s="39" t="s">
        <v>31</v>
      </c>
      <c r="Q41" s="39"/>
      <c r="R41" s="45"/>
      <c r="S41" s="45"/>
      <c r="T41" s="45"/>
      <c r="U41" s="45"/>
      <c r="V41" s="45"/>
      <c r="W41" s="46">
        <f t="shared" si="7"/>
        <v>0</v>
      </c>
      <c r="X41" s="46">
        <f t="shared" si="8"/>
        <v>0</v>
      </c>
      <c r="Y41" s="46"/>
      <c r="Z41" s="47"/>
      <c r="AA41" s="47"/>
    </row>
    <row r="42" spans="1:27" ht="15.75" x14ac:dyDescent="0.25">
      <c r="A42" s="31">
        <v>46093</v>
      </c>
      <c r="B42" s="32">
        <v>0.78055555555555556</v>
      </c>
      <c r="C42" s="32">
        <v>0.90763888888888888</v>
      </c>
      <c r="D42" s="33">
        <f t="shared" si="0"/>
        <v>1.1270833333333332</v>
      </c>
      <c r="E42" s="34">
        <f t="shared" si="5"/>
        <v>172003</v>
      </c>
      <c r="F42" s="35">
        <v>172396</v>
      </c>
      <c r="G42" s="36">
        <f t="shared" si="1"/>
        <v>3.93</v>
      </c>
      <c r="H42" s="44"/>
      <c r="I42" s="44">
        <v>11</v>
      </c>
      <c r="J42" s="44"/>
      <c r="K42" s="44">
        <v>24</v>
      </c>
      <c r="L42" s="44"/>
      <c r="M42" s="38">
        <f t="shared" si="6"/>
        <v>393</v>
      </c>
      <c r="N42" s="38">
        <f t="shared" si="3"/>
        <v>393</v>
      </c>
      <c r="O42" s="38">
        <f t="shared" si="4"/>
        <v>100</v>
      </c>
      <c r="P42" s="39" t="s">
        <v>40</v>
      </c>
      <c r="Q42" s="39"/>
      <c r="R42" s="45"/>
      <c r="S42" s="45"/>
      <c r="T42" s="45"/>
      <c r="U42" s="45"/>
      <c r="V42" s="45"/>
      <c r="W42" s="46">
        <f t="shared" si="7"/>
        <v>0</v>
      </c>
      <c r="X42" s="46">
        <f t="shared" si="8"/>
        <v>0</v>
      </c>
      <c r="Y42" s="46"/>
      <c r="Z42" s="47"/>
      <c r="AA42" s="47"/>
    </row>
    <row r="43" spans="1:27" ht="15.75" x14ac:dyDescent="0.25">
      <c r="A43" s="31">
        <v>46093</v>
      </c>
      <c r="B43" s="32">
        <v>0.92777777777777781</v>
      </c>
      <c r="C43" s="32">
        <v>0.2361111111111111</v>
      </c>
      <c r="D43" s="33">
        <f t="shared" si="0"/>
        <v>0.30833333333333335</v>
      </c>
      <c r="E43" s="34">
        <f t="shared" si="5"/>
        <v>172396</v>
      </c>
      <c r="F43" s="43">
        <v>173205</v>
      </c>
      <c r="G43" s="36">
        <f t="shared" si="1"/>
        <v>8.09</v>
      </c>
      <c r="H43" s="44"/>
      <c r="I43" s="44"/>
      <c r="J43" s="44">
        <v>46</v>
      </c>
      <c r="K43" s="44">
        <v>32</v>
      </c>
      <c r="L43" s="44"/>
      <c r="M43" s="38">
        <f>+(($H$6*H43)+($I$6*I43)+($J$6*J43)+($K$6*K43)+(13*L43))</f>
        <v>802</v>
      </c>
      <c r="N43" s="38">
        <f t="shared" si="3"/>
        <v>802</v>
      </c>
      <c r="O43" s="38">
        <f t="shared" si="4"/>
        <v>99.134734239802228</v>
      </c>
      <c r="P43" s="39" t="s">
        <v>36</v>
      </c>
      <c r="Q43" s="39"/>
      <c r="R43" s="45"/>
      <c r="S43" s="45"/>
      <c r="T43" s="45"/>
      <c r="U43" s="45"/>
      <c r="V43" s="45"/>
      <c r="W43" s="46">
        <f t="shared" si="7"/>
        <v>0</v>
      </c>
      <c r="X43" s="46">
        <f t="shared" si="8"/>
        <v>0</v>
      </c>
      <c r="Y43" s="46"/>
      <c r="Z43" s="47"/>
      <c r="AA43" s="47"/>
    </row>
    <row r="44" spans="1:27" ht="15.75" x14ac:dyDescent="0.25">
      <c r="A44" s="31">
        <v>46094</v>
      </c>
      <c r="B44" s="32">
        <v>0.25694444444444442</v>
      </c>
      <c r="C44" s="32">
        <v>0.58194444444444449</v>
      </c>
      <c r="D44" s="33">
        <f t="shared" si="0"/>
        <v>1.325</v>
      </c>
      <c r="E44" s="34">
        <f t="shared" si="5"/>
        <v>173205</v>
      </c>
      <c r="F44" s="43">
        <v>174007</v>
      </c>
      <c r="G44" s="36">
        <f t="shared" si="1"/>
        <v>8.02</v>
      </c>
      <c r="H44" s="44">
        <v>3</v>
      </c>
      <c r="I44" s="44">
        <v>87</v>
      </c>
      <c r="J44" s="44">
        <v>36</v>
      </c>
      <c r="K44" s="44">
        <v>25</v>
      </c>
      <c r="L44" s="44"/>
      <c r="M44" s="38">
        <f t="shared" si="6"/>
        <v>892.5</v>
      </c>
      <c r="N44" s="38">
        <f t="shared" si="3"/>
        <v>892.5</v>
      </c>
      <c r="O44" s="38">
        <f t="shared" si="4"/>
        <v>111.28428927680798</v>
      </c>
      <c r="P44" s="57" t="s">
        <v>41</v>
      </c>
      <c r="Q44" s="39"/>
      <c r="R44" s="45"/>
      <c r="S44" s="45"/>
      <c r="T44" s="45"/>
      <c r="U44" s="45"/>
      <c r="V44" s="45"/>
      <c r="W44" s="46">
        <f t="shared" si="7"/>
        <v>0</v>
      </c>
      <c r="X44" s="46">
        <f t="shared" si="8"/>
        <v>0</v>
      </c>
      <c r="Y44" s="46"/>
      <c r="Z44" s="47"/>
      <c r="AA44" s="47"/>
    </row>
    <row r="45" spans="1:27" ht="15.75" x14ac:dyDescent="0.25">
      <c r="A45" s="31">
        <v>46094</v>
      </c>
      <c r="B45" s="32">
        <v>0.60763888888888884</v>
      </c>
      <c r="C45" s="32">
        <v>0.74652777777777779</v>
      </c>
      <c r="D45" s="33">
        <f t="shared" si="0"/>
        <v>1.1388888888888888</v>
      </c>
      <c r="E45" s="34">
        <f t="shared" si="5"/>
        <v>174007</v>
      </c>
      <c r="F45" s="43">
        <v>174392</v>
      </c>
      <c r="G45" s="36">
        <f t="shared" si="1"/>
        <v>3.85</v>
      </c>
      <c r="H45" s="44"/>
      <c r="I45" s="44"/>
      <c r="J45" s="44"/>
      <c r="K45" s="44">
        <v>14</v>
      </c>
      <c r="L45" s="44">
        <v>8</v>
      </c>
      <c r="M45" s="38">
        <f>+(($H$6*H45)+($I$6*I45)+($J$6*J45)+($K$6*K45)+($L$6*L45))</f>
        <v>410</v>
      </c>
      <c r="N45" s="38">
        <f t="shared" si="3"/>
        <v>410</v>
      </c>
      <c r="O45" s="38">
        <f t="shared" si="4"/>
        <v>106.49350649350649</v>
      </c>
      <c r="P45" s="39" t="s">
        <v>40</v>
      </c>
      <c r="Q45" s="39"/>
      <c r="R45" s="45"/>
      <c r="S45" s="45"/>
      <c r="T45" s="45"/>
      <c r="U45" s="45"/>
      <c r="V45" s="45"/>
      <c r="W45" s="46">
        <f t="shared" si="7"/>
        <v>0</v>
      </c>
      <c r="X45" s="46">
        <f t="shared" si="8"/>
        <v>0</v>
      </c>
      <c r="Y45" s="46"/>
      <c r="Z45" s="47"/>
      <c r="AA45" s="47"/>
    </row>
    <row r="46" spans="1:27" ht="15.75" x14ac:dyDescent="0.25">
      <c r="A46" s="31">
        <v>46094</v>
      </c>
      <c r="B46" s="32">
        <v>0.78055555555555556</v>
      </c>
      <c r="C46" s="32">
        <v>0.90833333333333333</v>
      </c>
      <c r="D46" s="33">
        <f t="shared" si="0"/>
        <v>1.1277777777777778</v>
      </c>
      <c r="E46" s="34">
        <f t="shared" si="5"/>
        <v>174392</v>
      </c>
      <c r="F46" s="35">
        <v>174736</v>
      </c>
      <c r="G46" s="36">
        <f t="shared" si="1"/>
        <v>3.44</v>
      </c>
      <c r="H46" s="44"/>
      <c r="I46" s="44"/>
      <c r="J46" s="44"/>
      <c r="K46" s="44">
        <v>22</v>
      </c>
      <c r="L46" s="44"/>
      <c r="M46" s="38">
        <f>+(($H$6*H46)+($I$6*I46)+($J$6*J46)+($K$6*K46)+($L$6*L46))</f>
        <v>330</v>
      </c>
      <c r="N46" s="38">
        <f t="shared" si="3"/>
        <v>330</v>
      </c>
      <c r="O46" s="38">
        <f t="shared" si="4"/>
        <v>95.930232558139537</v>
      </c>
      <c r="P46" s="39" t="s">
        <v>40</v>
      </c>
      <c r="Q46" s="39"/>
      <c r="R46" s="45"/>
      <c r="S46" s="45"/>
      <c r="T46" s="45"/>
      <c r="U46" s="45"/>
      <c r="V46" s="45"/>
      <c r="W46" s="46">
        <f t="shared" si="7"/>
        <v>0</v>
      </c>
      <c r="X46" s="46">
        <f t="shared" si="8"/>
        <v>0</v>
      </c>
      <c r="Y46" s="46"/>
      <c r="Z46" s="47"/>
      <c r="AA46" s="47"/>
    </row>
    <row r="47" spans="1:27" ht="15.75" x14ac:dyDescent="0.25">
      <c r="A47" s="31">
        <v>46094</v>
      </c>
      <c r="B47" s="32">
        <v>0.93055555555555558</v>
      </c>
      <c r="C47" s="32">
        <v>0.23749999999999999</v>
      </c>
      <c r="D47" s="33">
        <f t="shared" si="0"/>
        <v>0.30694444444444446</v>
      </c>
      <c r="E47" s="34">
        <f t="shared" si="5"/>
        <v>174736</v>
      </c>
      <c r="F47" s="43">
        <v>175527</v>
      </c>
      <c r="G47" s="36">
        <f t="shared" si="1"/>
        <v>7.91</v>
      </c>
      <c r="H47" s="44"/>
      <c r="I47" s="44">
        <v>93</v>
      </c>
      <c r="J47" s="44"/>
      <c r="K47" s="44">
        <v>46</v>
      </c>
      <c r="L47" s="44"/>
      <c r="M47" s="38">
        <f>+(($H$6*H47)+($I$6*I47)+($J$6*J47)+($K$6*K47)+($L$6*L47))</f>
        <v>969</v>
      </c>
      <c r="N47" s="38">
        <f t="shared" si="3"/>
        <v>969</v>
      </c>
      <c r="O47" s="38">
        <f t="shared" si="4"/>
        <v>122.5031605562579</v>
      </c>
      <c r="P47" s="39" t="s">
        <v>36</v>
      </c>
      <c r="Q47" s="39"/>
      <c r="R47" s="45"/>
      <c r="S47" s="45"/>
      <c r="T47" s="45"/>
      <c r="U47" s="45"/>
      <c r="V47" s="45"/>
      <c r="W47" s="46">
        <f t="shared" si="7"/>
        <v>0</v>
      </c>
      <c r="X47" s="46">
        <f t="shared" si="8"/>
        <v>0</v>
      </c>
      <c r="Y47" s="46"/>
      <c r="Z47" s="47"/>
      <c r="AA47" s="47"/>
    </row>
    <row r="48" spans="1:27" ht="15.75" x14ac:dyDescent="0.25">
      <c r="A48" s="31">
        <v>46095</v>
      </c>
      <c r="B48" s="32">
        <v>0.25624999999999998</v>
      </c>
      <c r="C48" s="32">
        <v>0.57499999999999996</v>
      </c>
      <c r="D48" s="33">
        <f t="shared" si="0"/>
        <v>1.3187500000000001</v>
      </c>
      <c r="E48" s="34">
        <f t="shared" si="5"/>
        <v>175527</v>
      </c>
      <c r="F48" s="43">
        <v>176302</v>
      </c>
      <c r="G48" s="36">
        <f t="shared" si="1"/>
        <v>7.75</v>
      </c>
      <c r="H48" s="44">
        <v>48</v>
      </c>
      <c r="I48" s="44">
        <v>37</v>
      </c>
      <c r="J48" s="44"/>
      <c r="K48" s="44">
        <v>36</v>
      </c>
      <c r="L48" s="44"/>
      <c r="M48" s="38">
        <f>+(($H$6*H48)+($I$6*I48)+($J$6*J48)+($K$6*K48)+($L$6*L48))</f>
        <v>723</v>
      </c>
      <c r="N48" s="38">
        <f t="shared" si="3"/>
        <v>723</v>
      </c>
      <c r="O48" s="38">
        <f t="shared" si="4"/>
        <v>93.290322580645167</v>
      </c>
      <c r="P48" s="57" t="s">
        <v>38</v>
      </c>
      <c r="Q48" s="39" t="s">
        <v>46</v>
      </c>
      <c r="R48" s="45"/>
      <c r="S48" s="45"/>
      <c r="T48" s="45"/>
      <c r="U48" s="45"/>
      <c r="V48" s="45"/>
      <c r="W48" s="46">
        <f t="shared" si="7"/>
        <v>0</v>
      </c>
      <c r="X48" s="46">
        <f t="shared" si="8"/>
        <v>0</v>
      </c>
      <c r="Y48" s="46"/>
      <c r="Z48" s="47"/>
      <c r="AA48" s="47"/>
    </row>
    <row r="49" spans="1:33" ht="15.75" x14ac:dyDescent="0.25">
      <c r="A49" s="31">
        <v>46095</v>
      </c>
      <c r="B49" s="32">
        <v>0.60763888888888884</v>
      </c>
      <c r="C49" s="32">
        <v>0.75555555555555554</v>
      </c>
      <c r="D49" s="33">
        <f t="shared" si="0"/>
        <v>1.1479166666666667</v>
      </c>
      <c r="E49" s="34">
        <f t="shared" si="5"/>
        <v>176302</v>
      </c>
      <c r="F49" s="43">
        <v>176776</v>
      </c>
      <c r="G49" s="36">
        <v>4</v>
      </c>
      <c r="H49" s="44"/>
      <c r="I49" s="44"/>
      <c r="J49" s="44"/>
      <c r="K49" s="44">
        <v>30</v>
      </c>
      <c r="L49" s="44"/>
      <c r="M49" s="38">
        <f>+(($H$6*H49)+($I$6*I49)+($J$6*J49)+($K$6*K49)+(13*L49))</f>
        <v>450</v>
      </c>
      <c r="N49" s="38">
        <f t="shared" si="3"/>
        <v>450</v>
      </c>
      <c r="O49" s="38">
        <f t="shared" si="4"/>
        <v>112.5</v>
      </c>
      <c r="P49" s="52" t="s">
        <v>40</v>
      </c>
      <c r="Q49" s="39"/>
      <c r="R49" s="45"/>
      <c r="S49" s="45"/>
      <c r="T49" s="45"/>
      <c r="U49" s="45"/>
      <c r="V49" s="45"/>
      <c r="W49" s="46"/>
      <c r="X49" s="46"/>
      <c r="Y49" s="46"/>
      <c r="Z49" s="47"/>
      <c r="AA49" s="47"/>
    </row>
    <row r="50" spans="1:33" s="58" customFormat="1" ht="15.75" x14ac:dyDescent="0.25">
      <c r="A50" s="31">
        <v>46095</v>
      </c>
      <c r="B50" s="32">
        <v>0.77152777777777781</v>
      </c>
      <c r="C50" s="32">
        <v>0.91388888888888886</v>
      </c>
      <c r="D50" s="33">
        <f t="shared" si="0"/>
        <v>1.1423611111111109</v>
      </c>
      <c r="E50" s="34">
        <f t="shared" si="5"/>
        <v>176776</v>
      </c>
      <c r="F50" s="43">
        <v>176964</v>
      </c>
      <c r="G50" s="36">
        <v>4</v>
      </c>
      <c r="H50" s="44"/>
      <c r="I50" s="44"/>
      <c r="J50" s="44"/>
      <c r="K50" s="44">
        <v>27</v>
      </c>
      <c r="L50" s="44"/>
      <c r="M50" s="38">
        <f>+(($H$6*H50)+($I$6*I50)+($J$6*J50)+($K$6*K50)+($L$6*L50))</f>
        <v>405</v>
      </c>
      <c r="N50" s="44">
        <f t="shared" si="3"/>
        <v>405</v>
      </c>
      <c r="O50" s="44">
        <f t="shared" si="4"/>
        <v>101.25</v>
      </c>
      <c r="P50" s="39" t="s">
        <v>41</v>
      </c>
      <c r="Q50" s="52"/>
      <c r="R50" s="53"/>
      <c r="S50" s="53"/>
      <c r="T50" s="53"/>
      <c r="U50" s="53"/>
      <c r="V50" s="53"/>
      <c r="W50" s="53"/>
      <c r="X50" s="53"/>
      <c r="Y50" s="53"/>
      <c r="Z50" s="54"/>
      <c r="AA50" s="54"/>
      <c r="AB50" s="55"/>
      <c r="AC50" s="55"/>
      <c r="AD50" s="55"/>
      <c r="AE50" s="55"/>
      <c r="AF50" s="55"/>
      <c r="AG50" s="55"/>
    </row>
    <row r="51" spans="1:33" ht="15.75" x14ac:dyDescent="0.25">
      <c r="A51" s="31">
        <v>46095</v>
      </c>
      <c r="B51" s="32">
        <v>0.93263888888888891</v>
      </c>
      <c r="C51" s="32">
        <v>0.24166666666666667</v>
      </c>
      <c r="D51" s="33">
        <f t="shared" si="0"/>
        <v>0.30902777777777779</v>
      </c>
      <c r="E51" s="34">
        <f t="shared" si="5"/>
        <v>176964</v>
      </c>
      <c r="F51" s="43">
        <v>177877</v>
      </c>
      <c r="G51" s="36">
        <v>8</v>
      </c>
      <c r="H51" s="44"/>
      <c r="I51" s="44">
        <v>134</v>
      </c>
      <c r="J51" s="44">
        <v>35</v>
      </c>
      <c r="K51" s="44">
        <v>2</v>
      </c>
      <c r="L51" s="44">
        <v>6</v>
      </c>
      <c r="M51" s="38">
        <f>+(($H$6*H51)+($I$6*I51)+($J$6*J51)+($K$6*K51)+($L$6*L51))</f>
        <v>827</v>
      </c>
      <c r="N51" s="38">
        <f t="shared" si="3"/>
        <v>827</v>
      </c>
      <c r="O51" s="38">
        <f t="shared" si="4"/>
        <v>103.375</v>
      </c>
      <c r="P51" s="39" t="s">
        <v>36</v>
      </c>
      <c r="Q51" s="39"/>
      <c r="R51" s="45"/>
      <c r="S51" s="45"/>
      <c r="T51" s="45"/>
      <c r="U51" s="45"/>
      <c r="V51" s="45"/>
      <c r="W51" s="46">
        <f>+(($H$6*R51)+($I$6*S51)+($J$6*T51)+($K$6*U51)+($L$6*V51))</f>
        <v>0</v>
      </c>
      <c r="X51" s="46">
        <f>+W51</f>
        <v>0</v>
      </c>
      <c r="Y51" s="46"/>
      <c r="Z51" s="47"/>
      <c r="AA51" s="47"/>
    </row>
    <row r="52" spans="1:33" ht="15.75" x14ac:dyDescent="0.25">
      <c r="A52" s="31"/>
      <c r="B52" s="32"/>
      <c r="C52" s="32"/>
      <c r="D52" s="33">
        <f t="shared" si="0"/>
        <v>1</v>
      </c>
      <c r="E52" s="34">
        <f t="shared" si="5"/>
        <v>177877</v>
      </c>
      <c r="F52" s="43"/>
      <c r="G52" s="36">
        <f t="shared" si="1"/>
        <v>-1778.77</v>
      </c>
      <c r="H52" s="44"/>
      <c r="I52" s="44"/>
      <c r="J52" s="44"/>
      <c r="K52" s="44"/>
      <c r="L52" s="44"/>
      <c r="M52" s="38">
        <f>+(($H$6*H52)+($I$6*I52)+($J$6*J52)+($K$6*K52)+($L$6*L52))</f>
        <v>0</v>
      </c>
      <c r="N52" s="38">
        <f t="shared" si="3"/>
        <v>0</v>
      </c>
      <c r="O52" s="38">
        <f t="shared" si="4"/>
        <v>0</v>
      </c>
      <c r="P52" s="39" t="s">
        <v>39</v>
      </c>
      <c r="Q52" s="39"/>
      <c r="R52" s="45"/>
      <c r="S52" s="45"/>
      <c r="T52" s="45"/>
      <c r="U52" s="45"/>
      <c r="V52" s="45"/>
      <c r="W52" s="46">
        <f>+(($H$6*R52)+($I$6*S52)+($J$6*T52)+($K$6*U52)+($L$6*V52))</f>
        <v>0</v>
      </c>
      <c r="X52" s="46">
        <f>+W52</f>
        <v>0</v>
      </c>
      <c r="Y52" s="46"/>
      <c r="Z52" s="47"/>
      <c r="AA52" s="47"/>
    </row>
    <row r="53" spans="1:33" ht="15.75" x14ac:dyDescent="0.25">
      <c r="A53" s="31"/>
      <c r="B53" s="32"/>
      <c r="C53" s="32"/>
      <c r="D53" s="33">
        <f t="shared" si="0"/>
        <v>1</v>
      </c>
      <c r="E53" s="34">
        <f t="shared" si="5"/>
        <v>0</v>
      </c>
      <c r="F53" s="43"/>
      <c r="G53" s="36">
        <f t="shared" si="1"/>
        <v>0</v>
      </c>
      <c r="H53" s="44"/>
      <c r="I53" s="44"/>
      <c r="J53" s="44"/>
      <c r="K53" s="44"/>
      <c r="L53" s="44"/>
      <c r="M53" s="38">
        <f>+(($H$6*H53)+($I$6*I53)+($J$6*J53)+($K$6*K53)+(13*L53))</f>
        <v>0</v>
      </c>
      <c r="N53" s="38">
        <f t="shared" si="3"/>
        <v>0</v>
      </c>
      <c r="O53" s="38" t="e">
        <f t="shared" si="4"/>
        <v>#DIV/0!</v>
      </c>
      <c r="P53" s="39" t="s">
        <v>38</v>
      </c>
      <c r="Q53" s="39"/>
      <c r="R53" s="45"/>
      <c r="S53" s="45"/>
      <c r="T53" s="45"/>
      <c r="U53" s="45"/>
      <c r="V53" s="45"/>
      <c r="W53" s="46">
        <f>+(($H$6*R53)+($I$6*S53)+($J$6*T53)+($K$6*U53)+($L$6*V53))</f>
        <v>0</v>
      </c>
      <c r="X53" s="46">
        <f>+W53</f>
        <v>0</v>
      </c>
      <c r="Y53" s="46"/>
      <c r="Z53" s="47"/>
      <c r="AA53" s="47"/>
    </row>
    <row r="54" spans="1:33" ht="15.75" x14ac:dyDescent="0.25">
      <c r="A54" s="31"/>
      <c r="B54" s="59"/>
      <c r="C54" s="59"/>
      <c r="D54" s="33">
        <f t="shared" si="0"/>
        <v>1</v>
      </c>
      <c r="E54" s="34">
        <f t="shared" si="5"/>
        <v>0</v>
      </c>
      <c r="F54" s="43"/>
      <c r="G54" s="36">
        <f t="shared" si="1"/>
        <v>0</v>
      </c>
      <c r="H54" s="44"/>
      <c r="I54" s="44"/>
      <c r="J54" s="44"/>
      <c r="K54" s="44"/>
      <c r="L54" s="44"/>
      <c r="M54" s="38">
        <f t="shared" ref="M54:M69" si="9">+(($H$6*H54)+($I$6*I54)+($J$6*J54)+($K$6*K54)+($L$6*L54))</f>
        <v>0</v>
      </c>
      <c r="N54" s="38">
        <f t="shared" si="3"/>
        <v>0</v>
      </c>
      <c r="O54" s="38" t="e">
        <f t="shared" si="4"/>
        <v>#DIV/0!</v>
      </c>
      <c r="P54" s="39" t="s">
        <v>31</v>
      </c>
      <c r="Q54" s="39"/>
      <c r="R54" s="45"/>
      <c r="S54" s="45"/>
      <c r="T54" s="45"/>
      <c r="U54" s="45"/>
      <c r="V54" s="45"/>
      <c r="W54" s="46">
        <f>+(($H$6*R54)+($I$6*S54)+($J$6*T54)+($K$6*U54)+($L$6*V54))</f>
        <v>0</v>
      </c>
      <c r="X54" s="46">
        <f>+W54</f>
        <v>0</v>
      </c>
      <c r="Y54" s="46"/>
      <c r="Z54" s="47"/>
      <c r="AA54" s="47"/>
    </row>
    <row r="55" spans="1:33" ht="15.75" x14ac:dyDescent="0.25">
      <c r="A55" s="31"/>
      <c r="B55" s="32"/>
      <c r="C55" s="32"/>
      <c r="D55" s="33">
        <f t="shared" si="0"/>
        <v>1</v>
      </c>
      <c r="E55" s="34">
        <f t="shared" si="5"/>
        <v>0</v>
      </c>
      <c r="F55" s="43"/>
      <c r="G55" s="36">
        <f t="shared" si="1"/>
        <v>0</v>
      </c>
      <c r="H55" s="44"/>
      <c r="I55" s="44"/>
      <c r="J55" s="44"/>
      <c r="K55" s="44"/>
      <c r="L55" s="44"/>
      <c r="M55" s="38">
        <f t="shared" si="9"/>
        <v>0</v>
      </c>
      <c r="N55" s="38">
        <f t="shared" si="3"/>
        <v>0</v>
      </c>
      <c r="O55" s="38" t="e">
        <f t="shared" si="4"/>
        <v>#DIV/0!</v>
      </c>
      <c r="P55" s="39" t="s">
        <v>38</v>
      </c>
      <c r="Q55" s="39"/>
      <c r="R55" s="45"/>
      <c r="S55" s="45"/>
      <c r="T55" s="45"/>
      <c r="U55" s="45"/>
      <c r="V55" s="45"/>
      <c r="W55" s="46"/>
      <c r="X55" s="46"/>
      <c r="Y55" s="46"/>
      <c r="Z55" s="47"/>
      <c r="AA55" s="47"/>
    </row>
    <row r="56" spans="1:33" ht="15.75" x14ac:dyDescent="0.25">
      <c r="A56" s="31"/>
      <c r="B56" s="32"/>
      <c r="C56" s="32"/>
      <c r="D56" s="33">
        <f t="shared" si="0"/>
        <v>1</v>
      </c>
      <c r="E56" s="34">
        <f t="shared" si="5"/>
        <v>0</v>
      </c>
      <c r="F56" s="43"/>
      <c r="G56" s="36">
        <f t="shared" si="1"/>
        <v>0</v>
      </c>
      <c r="H56" s="44"/>
      <c r="I56" s="44"/>
      <c r="J56" s="44"/>
      <c r="K56" s="44"/>
      <c r="L56" s="44"/>
      <c r="M56" s="38">
        <f>+(($H$6*H56)+($I$6*I56)+($J$6*J56)+($K$6*K56)+(13*L56))</f>
        <v>0</v>
      </c>
      <c r="N56" s="38">
        <f t="shared" si="3"/>
        <v>0</v>
      </c>
      <c r="O56" s="38" t="e">
        <f t="shared" si="4"/>
        <v>#DIV/0!</v>
      </c>
      <c r="P56" s="39" t="s">
        <v>38</v>
      </c>
      <c r="Q56" s="39"/>
      <c r="R56" s="45"/>
      <c r="S56" s="45"/>
      <c r="T56" s="45"/>
      <c r="U56" s="45"/>
      <c r="V56" s="45"/>
      <c r="W56" s="46"/>
      <c r="X56" s="46"/>
      <c r="Y56" s="46"/>
      <c r="Z56" s="47"/>
      <c r="AA56" s="47"/>
    </row>
    <row r="57" spans="1:33" ht="15.75" x14ac:dyDescent="0.25">
      <c r="A57" s="31"/>
      <c r="B57" s="32"/>
      <c r="C57" s="32"/>
      <c r="D57" s="33">
        <f t="shared" si="0"/>
        <v>1</v>
      </c>
      <c r="E57" s="34">
        <f t="shared" si="5"/>
        <v>0</v>
      </c>
      <c r="F57" s="35"/>
      <c r="G57" s="36">
        <f t="shared" si="1"/>
        <v>0</v>
      </c>
      <c r="H57" s="37"/>
      <c r="I57" s="37"/>
      <c r="J57" s="37"/>
      <c r="K57" s="37"/>
      <c r="L57" s="37"/>
      <c r="M57" s="38">
        <f t="shared" si="9"/>
        <v>0</v>
      </c>
      <c r="N57" s="38">
        <f t="shared" si="3"/>
        <v>0</v>
      </c>
      <c r="O57" s="38" t="e">
        <f t="shared" si="4"/>
        <v>#DIV/0!</v>
      </c>
      <c r="P57" s="39" t="s">
        <v>33</v>
      </c>
      <c r="Q57" s="39"/>
      <c r="R57" s="45"/>
      <c r="S57" s="45"/>
      <c r="T57" s="45"/>
      <c r="U57" s="45"/>
      <c r="V57" s="45"/>
      <c r="W57" s="46"/>
      <c r="X57" s="46"/>
      <c r="Y57" s="46"/>
      <c r="Z57" s="47"/>
      <c r="AA57" s="47"/>
    </row>
    <row r="58" spans="1:33" ht="15.75" x14ac:dyDescent="0.25">
      <c r="A58" s="31"/>
      <c r="B58" s="32"/>
      <c r="C58" s="32"/>
      <c r="D58" s="33">
        <f t="shared" si="0"/>
        <v>1</v>
      </c>
      <c r="E58" s="34">
        <f t="shared" si="5"/>
        <v>0</v>
      </c>
      <c r="F58" s="35"/>
      <c r="G58" s="36">
        <f t="shared" si="1"/>
        <v>0</v>
      </c>
      <c r="H58" s="37"/>
      <c r="I58" s="37"/>
      <c r="J58" s="37"/>
      <c r="K58" s="37"/>
      <c r="L58" s="37"/>
      <c r="M58" s="38">
        <f t="shared" si="9"/>
        <v>0</v>
      </c>
      <c r="N58" s="60">
        <f t="shared" si="3"/>
        <v>0</v>
      </c>
      <c r="O58" s="38" t="e">
        <f t="shared" si="4"/>
        <v>#DIV/0!</v>
      </c>
      <c r="P58" s="52" t="s">
        <v>45</v>
      </c>
      <c r="Q58" s="39"/>
      <c r="R58" s="45"/>
      <c r="S58" s="45"/>
      <c r="T58" s="45"/>
      <c r="U58" s="45"/>
      <c r="V58" s="45"/>
      <c r="W58" s="46"/>
      <c r="X58" s="46"/>
      <c r="Y58" s="46"/>
      <c r="Z58" s="47"/>
      <c r="AA58" s="47"/>
    </row>
    <row r="59" spans="1:33" s="55" customFormat="1" ht="15.75" x14ac:dyDescent="0.25">
      <c r="A59" s="31"/>
      <c r="B59" s="59"/>
      <c r="C59" s="59"/>
      <c r="D59" s="33">
        <f t="shared" si="0"/>
        <v>1</v>
      </c>
      <c r="E59" s="34">
        <f t="shared" si="5"/>
        <v>0</v>
      </c>
      <c r="F59" s="43"/>
      <c r="G59" s="36">
        <f t="shared" si="1"/>
        <v>0</v>
      </c>
      <c r="H59" s="44"/>
      <c r="I59" s="44"/>
      <c r="J59" s="44"/>
      <c r="K59" s="44"/>
      <c r="L59" s="44"/>
      <c r="M59" s="38">
        <f t="shared" si="9"/>
        <v>0</v>
      </c>
      <c r="N59" s="37">
        <f t="shared" si="3"/>
        <v>0</v>
      </c>
      <c r="O59" s="44" t="e">
        <f t="shared" si="4"/>
        <v>#DIV/0!</v>
      </c>
      <c r="P59" s="39" t="s">
        <v>39</v>
      </c>
      <c r="Q59" s="52"/>
      <c r="R59" s="53"/>
      <c r="S59" s="53"/>
      <c r="T59" s="53"/>
      <c r="U59" s="53"/>
      <c r="V59" s="53"/>
      <c r="W59" s="53"/>
      <c r="X59" s="53"/>
      <c r="Y59" s="53"/>
      <c r="Z59" s="54"/>
      <c r="AA59" s="54"/>
    </row>
    <row r="60" spans="1:33" s="64" customFormat="1" ht="15.75" x14ac:dyDescent="0.25">
      <c r="A60" s="31"/>
      <c r="B60" s="32"/>
      <c r="C60" s="32"/>
      <c r="D60" s="33">
        <f t="shared" si="0"/>
        <v>1</v>
      </c>
      <c r="E60" s="34">
        <f t="shared" si="5"/>
        <v>0</v>
      </c>
      <c r="F60" s="43"/>
      <c r="G60" s="36">
        <f t="shared" si="1"/>
        <v>0</v>
      </c>
      <c r="H60" s="44"/>
      <c r="I60" s="44"/>
      <c r="J60" s="44"/>
      <c r="K60" s="44"/>
      <c r="L60" s="44"/>
      <c r="M60" s="38">
        <f t="shared" si="9"/>
        <v>0</v>
      </c>
      <c r="N60" s="60">
        <f t="shared" si="3"/>
        <v>0</v>
      </c>
      <c r="O60" s="38" t="e">
        <f t="shared" si="4"/>
        <v>#DIV/0!</v>
      </c>
      <c r="P60" s="39" t="s">
        <v>39</v>
      </c>
      <c r="Q60" s="61"/>
      <c r="R60" s="62"/>
      <c r="S60" s="62"/>
      <c r="T60" s="62"/>
      <c r="U60" s="62"/>
      <c r="V60" s="62"/>
      <c r="W60" s="62"/>
      <c r="X60" s="62"/>
      <c r="Y60" s="62"/>
      <c r="Z60" s="63"/>
      <c r="AA60" s="63"/>
    </row>
    <row r="61" spans="1:33" ht="15.75" x14ac:dyDescent="0.25">
      <c r="A61" s="31"/>
      <c r="B61" s="32"/>
      <c r="C61" s="32"/>
      <c r="D61" s="65">
        <f t="shared" si="0"/>
        <v>1</v>
      </c>
      <c r="E61" s="34">
        <f t="shared" si="5"/>
        <v>0</v>
      </c>
      <c r="F61" s="43"/>
      <c r="G61" s="36">
        <f t="shared" si="1"/>
        <v>0</v>
      </c>
      <c r="H61" s="44"/>
      <c r="I61" s="44"/>
      <c r="J61" s="44"/>
      <c r="K61" s="44"/>
      <c r="L61" s="44"/>
      <c r="M61" s="38">
        <f t="shared" si="9"/>
        <v>0</v>
      </c>
      <c r="N61" s="60">
        <f t="shared" si="3"/>
        <v>0</v>
      </c>
      <c r="O61" s="38" t="e">
        <f t="shared" si="4"/>
        <v>#DIV/0!</v>
      </c>
      <c r="P61" s="39" t="s">
        <v>33</v>
      </c>
      <c r="Q61" s="39"/>
      <c r="R61" s="45"/>
      <c r="S61" s="45"/>
      <c r="T61" s="45"/>
      <c r="U61" s="45"/>
      <c r="V61" s="45"/>
      <c r="W61" s="46"/>
      <c r="X61" s="46"/>
      <c r="Y61" s="46"/>
      <c r="Z61" s="47"/>
      <c r="AA61" s="47"/>
    </row>
    <row r="62" spans="1:33" ht="15.75" x14ac:dyDescent="0.25">
      <c r="A62" s="31"/>
      <c r="B62" s="32"/>
      <c r="C62" s="32"/>
      <c r="D62" s="65">
        <f t="shared" si="0"/>
        <v>1</v>
      </c>
      <c r="E62" s="34">
        <f t="shared" si="5"/>
        <v>0</v>
      </c>
      <c r="F62" s="43"/>
      <c r="G62" s="36">
        <f t="shared" si="1"/>
        <v>0</v>
      </c>
      <c r="H62" s="44"/>
      <c r="I62" s="44"/>
      <c r="J62" s="44"/>
      <c r="K62" s="44"/>
      <c r="L62" s="44"/>
      <c r="M62" s="38">
        <f t="shared" si="9"/>
        <v>0</v>
      </c>
      <c r="N62" s="60">
        <f t="shared" si="3"/>
        <v>0</v>
      </c>
      <c r="O62" s="38" t="e">
        <f t="shared" si="4"/>
        <v>#DIV/0!</v>
      </c>
      <c r="P62" s="39" t="s">
        <v>45</v>
      </c>
      <c r="Q62" s="39"/>
      <c r="R62" s="45"/>
      <c r="S62" s="45"/>
      <c r="T62" s="45"/>
      <c r="U62" s="45"/>
      <c r="V62" s="45"/>
      <c r="W62" s="46"/>
      <c r="X62" s="46"/>
      <c r="Y62" s="46"/>
      <c r="Z62" s="47"/>
      <c r="AA62" s="47"/>
    </row>
    <row r="63" spans="1:33" ht="15.75" x14ac:dyDescent="0.25">
      <c r="A63" s="31"/>
      <c r="B63" s="32"/>
      <c r="C63" s="32"/>
      <c r="D63" s="65">
        <f t="shared" si="0"/>
        <v>1</v>
      </c>
      <c r="E63" s="34">
        <f t="shared" si="5"/>
        <v>0</v>
      </c>
      <c r="F63" s="43"/>
      <c r="G63" s="36">
        <f t="shared" si="1"/>
        <v>0</v>
      </c>
      <c r="H63" s="44"/>
      <c r="I63" s="44"/>
      <c r="J63" s="44"/>
      <c r="K63" s="44"/>
      <c r="L63" s="44"/>
      <c r="M63" s="38">
        <f t="shared" si="9"/>
        <v>0</v>
      </c>
      <c r="N63" s="60">
        <f t="shared" si="3"/>
        <v>0</v>
      </c>
      <c r="O63" s="38" t="e">
        <f t="shared" si="4"/>
        <v>#DIV/0!</v>
      </c>
      <c r="P63" s="39" t="s">
        <v>39</v>
      </c>
      <c r="Q63" s="39"/>
      <c r="R63" s="45"/>
      <c r="S63" s="45"/>
      <c r="T63" s="45"/>
      <c r="U63" s="45"/>
      <c r="V63" s="45"/>
      <c r="W63" s="46"/>
      <c r="X63" s="46"/>
      <c r="Y63" s="46"/>
      <c r="Z63" s="47"/>
      <c r="AA63" s="47"/>
    </row>
    <row r="64" spans="1:33" ht="15.75" x14ac:dyDescent="0.25">
      <c r="A64" s="31"/>
      <c r="B64" s="59"/>
      <c r="C64" s="59"/>
      <c r="D64" s="65">
        <f t="shared" si="0"/>
        <v>1</v>
      </c>
      <c r="E64" s="34">
        <f t="shared" si="5"/>
        <v>0</v>
      </c>
      <c r="F64" s="43"/>
      <c r="G64" s="36">
        <f t="shared" si="1"/>
        <v>0</v>
      </c>
      <c r="H64" s="44"/>
      <c r="I64" s="44"/>
      <c r="J64" s="44"/>
      <c r="K64" s="44"/>
      <c r="L64" s="44"/>
      <c r="M64" s="38">
        <f t="shared" si="9"/>
        <v>0</v>
      </c>
      <c r="N64" s="60">
        <f t="shared" si="3"/>
        <v>0</v>
      </c>
      <c r="O64" s="38" t="e">
        <f t="shared" si="4"/>
        <v>#DIV/0!</v>
      </c>
      <c r="P64" s="39" t="s">
        <v>40</v>
      </c>
      <c r="Q64" s="39"/>
      <c r="R64" s="45"/>
      <c r="S64" s="45"/>
      <c r="T64" s="45"/>
      <c r="U64" s="45"/>
      <c r="V64" s="45"/>
      <c r="W64" s="46">
        <f>+(($H$6*R64)+($I$6*S64)+($J$6*T64)+($K$6*U64)+($L$6*V64))</f>
        <v>0</v>
      </c>
      <c r="X64" s="46">
        <f>+W64</f>
        <v>0</v>
      </c>
      <c r="Y64" s="46"/>
      <c r="Z64" s="47"/>
      <c r="AA64" s="47"/>
    </row>
    <row r="65" spans="1:27" ht="15.75" x14ac:dyDescent="0.25">
      <c r="A65" s="31"/>
      <c r="B65" s="32"/>
      <c r="C65" s="32"/>
      <c r="D65" s="65">
        <f t="shared" si="0"/>
        <v>1</v>
      </c>
      <c r="E65" s="34">
        <f t="shared" si="5"/>
        <v>0</v>
      </c>
      <c r="F65" s="43"/>
      <c r="G65" s="36">
        <f t="shared" si="1"/>
        <v>0</v>
      </c>
      <c r="H65" s="44"/>
      <c r="I65" s="44"/>
      <c r="J65" s="44"/>
      <c r="K65" s="44"/>
      <c r="L65" s="44"/>
      <c r="M65" s="38">
        <f t="shared" si="9"/>
        <v>0</v>
      </c>
      <c r="N65" s="60">
        <f t="shared" si="3"/>
        <v>0</v>
      </c>
      <c r="O65" s="38" t="e">
        <f t="shared" si="4"/>
        <v>#DIV/0!</v>
      </c>
      <c r="P65" s="39" t="s">
        <v>40</v>
      </c>
      <c r="Q65" s="39"/>
      <c r="R65" s="45"/>
      <c r="S65" s="45"/>
      <c r="T65" s="45"/>
      <c r="U65" s="45"/>
      <c r="V65" s="45"/>
      <c r="W65" s="46"/>
      <c r="X65" s="46"/>
      <c r="Y65" s="46"/>
      <c r="Z65" s="47"/>
      <c r="AA65" s="47"/>
    </row>
    <row r="66" spans="1:27" ht="15.75" x14ac:dyDescent="0.25">
      <c r="A66" s="31"/>
      <c r="B66" s="32"/>
      <c r="C66" s="32"/>
      <c r="D66" s="65">
        <f t="shared" si="0"/>
        <v>1</v>
      </c>
      <c r="E66" s="34">
        <f t="shared" si="5"/>
        <v>0</v>
      </c>
      <c r="F66" s="43"/>
      <c r="G66" s="36">
        <f t="shared" si="1"/>
        <v>0</v>
      </c>
      <c r="H66" s="44"/>
      <c r="I66" s="44"/>
      <c r="J66" s="44"/>
      <c r="K66" s="44"/>
      <c r="L66" s="44"/>
      <c r="M66" s="38">
        <f t="shared" si="9"/>
        <v>0</v>
      </c>
      <c r="N66" s="38">
        <f t="shared" si="3"/>
        <v>0</v>
      </c>
      <c r="O66" s="38" t="e">
        <f t="shared" si="4"/>
        <v>#DIV/0!</v>
      </c>
      <c r="P66" s="57" t="s">
        <v>45</v>
      </c>
      <c r="Q66" s="39"/>
      <c r="R66" s="45"/>
      <c r="S66" s="45"/>
      <c r="T66" s="45"/>
      <c r="U66" s="45"/>
      <c r="V66" s="45"/>
      <c r="W66" s="46">
        <f>+(($H$6*R66)+($I$6*S66)+($J$6*T66)+($K$6*U66)+($L$6*V66))</f>
        <v>0</v>
      </c>
      <c r="X66" s="46">
        <f>+W66</f>
        <v>0</v>
      </c>
      <c r="Y66" s="46"/>
      <c r="Z66" s="47"/>
      <c r="AA66" s="47"/>
    </row>
    <row r="67" spans="1:27" ht="15.75" x14ac:dyDescent="0.25">
      <c r="A67" s="31"/>
      <c r="B67" s="32"/>
      <c r="C67" s="32"/>
      <c r="D67" s="65">
        <f t="shared" si="0"/>
        <v>1</v>
      </c>
      <c r="E67" s="34">
        <f t="shared" si="5"/>
        <v>0</v>
      </c>
      <c r="F67" s="43"/>
      <c r="G67" s="36">
        <f t="shared" si="1"/>
        <v>0</v>
      </c>
      <c r="H67" s="44"/>
      <c r="I67" s="44"/>
      <c r="J67" s="44"/>
      <c r="K67" s="44"/>
      <c r="L67" s="44"/>
      <c r="M67" s="38">
        <f t="shared" si="9"/>
        <v>0</v>
      </c>
      <c r="N67" s="38">
        <f t="shared" si="3"/>
        <v>0</v>
      </c>
      <c r="O67" s="38" t="e">
        <f t="shared" si="4"/>
        <v>#DIV/0!</v>
      </c>
      <c r="P67" s="39" t="s">
        <v>41</v>
      </c>
      <c r="Q67" s="39"/>
      <c r="R67" s="45"/>
      <c r="S67" s="45"/>
      <c r="T67" s="45"/>
      <c r="U67" s="45"/>
      <c r="V67" s="45"/>
      <c r="W67" s="46">
        <f>+(($H$6*R67)+($I$6*S67)+($J$6*T67)+($K$6*U67)+($L$6*V67))</f>
        <v>0</v>
      </c>
      <c r="X67" s="46">
        <f>+W67</f>
        <v>0</v>
      </c>
      <c r="Y67" s="46"/>
      <c r="Z67" s="47"/>
      <c r="AA67" s="47"/>
    </row>
    <row r="68" spans="1:27" ht="15.75" x14ac:dyDescent="0.25">
      <c r="A68" s="31"/>
      <c r="B68" s="32"/>
      <c r="C68" s="32"/>
      <c r="D68" s="65">
        <f t="shared" si="0"/>
        <v>1</v>
      </c>
      <c r="E68" s="34">
        <f t="shared" si="5"/>
        <v>0</v>
      </c>
      <c r="F68" s="43"/>
      <c r="G68" s="36">
        <f t="shared" si="1"/>
        <v>0</v>
      </c>
      <c r="H68" s="44"/>
      <c r="I68" s="44"/>
      <c r="J68" s="44"/>
      <c r="K68" s="44"/>
      <c r="L68" s="44"/>
      <c r="M68" s="38">
        <f t="shared" si="9"/>
        <v>0</v>
      </c>
      <c r="N68" s="38">
        <f t="shared" si="3"/>
        <v>0</v>
      </c>
      <c r="O68" s="38" t="e">
        <f t="shared" si="4"/>
        <v>#DIV/0!</v>
      </c>
      <c r="P68" s="39" t="s">
        <v>39</v>
      </c>
      <c r="Q68" s="39"/>
      <c r="R68" s="45"/>
      <c r="S68" s="45"/>
      <c r="T68" s="45"/>
      <c r="U68" s="45"/>
      <c r="V68" s="45"/>
      <c r="W68" s="46">
        <f>+(($H$6*R68)+($I$6*S68)+($J$6*T68)+($K$6*U68)+($L$6*V68))</f>
        <v>0</v>
      </c>
      <c r="X68" s="46">
        <f>+W68</f>
        <v>0</v>
      </c>
      <c r="Y68" s="46"/>
      <c r="Z68" s="47"/>
      <c r="AA68" s="47"/>
    </row>
    <row r="69" spans="1:27" ht="15.75" x14ac:dyDescent="0.25">
      <c r="A69" s="31"/>
      <c r="B69" s="32"/>
      <c r="C69" s="32"/>
      <c r="D69" s="65">
        <f t="shared" si="0"/>
        <v>1</v>
      </c>
      <c r="E69" s="34">
        <f t="shared" si="5"/>
        <v>0</v>
      </c>
      <c r="F69" s="43"/>
      <c r="G69" s="36">
        <f t="shared" si="1"/>
        <v>0</v>
      </c>
      <c r="H69" s="44"/>
      <c r="I69" s="44"/>
      <c r="J69" s="44"/>
      <c r="K69" s="44"/>
      <c r="L69" s="44"/>
      <c r="M69" s="38">
        <f t="shared" si="9"/>
        <v>0</v>
      </c>
      <c r="N69" s="38">
        <f t="shared" si="3"/>
        <v>0</v>
      </c>
      <c r="O69" s="38" t="e">
        <f t="shared" si="4"/>
        <v>#DIV/0!</v>
      </c>
      <c r="P69" s="39" t="s">
        <v>37</v>
      </c>
      <c r="Q69" s="39"/>
      <c r="R69" s="45"/>
      <c r="S69" s="45"/>
      <c r="T69" s="45"/>
      <c r="U69" s="45"/>
      <c r="V69" s="45"/>
      <c r="W69" s="46"/>
      <c r="X69" s="46"/>
      <c r="Y69" s="46"/>
      <c r="Z69" s="47"/>
      <c r="AA69" s="47"/>
    </row>
    <row r="70" spans="1:27" ht="15.75" x14ac:dyDescent="0.25">
      <c r="A70" s="31"/>
      <c r="B70" s="32"/>
      <c r="C70" s="32"/>
      <c r="D70" s="65">
        <f t="shared" si="0"/>
        <v>1</v>
      </c>
      <c r="E70" s="34">
        <f t="shared" si="5"/>
        <v>0</v>
      </c>
      <c r="F70" s="43"/>
      <c r="G70" s="36">
        <f t="shared" si="1"/>
        <v>0</v>
      </c>
      <c r="H70" s="44"/>
      <c r="I70" s="44"/>
      <c r="J70" s="44"/>
      <c r="K70" s="44"/>
      <c r="L70" s="44"/>
      <c r="M70" s="38">
        <f>+(($H$6*H70)+($I$6*I70)+($J$6*J70)+($K$6*K70)+(L70*25))</f>
        <v>0</v>
      </c>
      <c r="N70" s="38">
        <f t="shared" si="3"/>
        <v>0</v>
      </c>
      <c r="O70" s="38" t="e">
        <f t="shared" si="4"/>
        <v>#DIV/0!</v>
      </c>
      <c r="P70" s="39" t="s">
        <v>45</v>
      </c>
      <c r="Q70" s="39"/>
      <c r="R70" s="45"/>
      <c r="S70" s="45"/>
      <c r="T70" s="45"/>
      <c r="U70" s="45"/>
      <c r="V70" s="45"/>
      <c r="W70" s="46"/>
      <c r="X70" s="46"/>
      <c r="Y70" s="46"/>
      <c r="Z70" s="47"/>
      <c r="AA70" s="47"/>
    </row>
    <row r="71" spans="1:27" ht="15.75" x14ac:dyDescent="0.25">
      <c r="A71" s="31"/>
      <c r="B71" s="32"/>
      <c r="C71" s="32"/>
      <c r="D71" s="65">
        <f t="shared" ref="D71:D131" si="10">1+C71-B71</f>
        <v>1</v>
      </c>
      <c r="E71" s="34">
        <f t="shared" si="5"/>
        <v>0</v>
      </c>
      <c r="F71" s="43"/>
      <c r="G71" s="36">
        <f t="shared" ref="G71:G130" si="11">(F71-E71)/100</f>
        <v>0</v>
      </c>
      <c r="H71" s="44"/>
      <c r="I71" s="44"/>
      <c r="J71" s="44"/>
      <c r="K71" s="44"/>
      <c r="L71" s="44"/>
      <c r="M71" s="38">
        <f>+(($H$6*H71)+($I$6*I71)+($J$6*J71)+($K$6*K71)+(13*L71))</f>
        <v>0</v>
      </c>
      <c r="N71" s="38">
        <f t="shared" ref="N71:N131" si="12">+M71</f>
        <v>0</v>
      </c>
      <c r="O71" s="38" t="e">
        <f t="shared" ref="O71:O131" si="13">+M71/G71</f>
        <v>#DIV/0!</v>
      </c>
      <c r="P71" s="39" t="s">
        <v>38</v>
      </c>
      <c r="Q71" s="39"/>
      <c r="R71" s="45"/>
      <c r="S71" s="45"/>
      <c r="T71" s="45"/>
      <c r="U71" s="45"/>
      <c r="V71" s="45"/>
      <c r="W71" s="46">
        <f>+(($H$6*R71)+($I$6*S71)+($J$6*T71)+($K$6*U71)+($L$6*V71))</f>
        <v>0</v>
      </c>
      <c r="X71" s="46">
        <f>+W71</f>
        <v>0</v>
      </c>
      <c r="Y71" s="46"/>
      <c r="Z71" s="47"/>
      <c r="AA71" s="47"/>
    </row>
    <row r="72" spans="1:27" ht="15.75" x14ac:dyDescent="0.25">
      <c r="A72" s="31"/>
      <c r="B72" s="32"/>
      <c r="C72" s="32"/>
      <c r="D72" s="65">
        <f t="shared" si="10"/>
        <v>1</v>
      </c>
      <c r="E72" s="34">
        <f t="shared" ref="E72:E122" si="14">F71</f>
        <v>0</v>
      </c>
      <c r="F72" s="43"/>
      <c r="G72" s="36">
        <f t="shared" si="11"/>
        <v>0</v>
      </c>
      <c r="H72" s="44"/>
      <c r="I72" s="44"/>
      <c r="J72" s="44"/>
      <c r="K72" s="44"/>
      <c r="L72" s="44"/>
      <c r="M72" s="38">
        <f t="shared" ref="M72:M131" si="15">+(($H$6*H72)+($I$6*I72)+($J$6*J72)+($K$6*K72)+($L$6*L72))</f>
        <v>0</v>
      </c>
      <c r="N72" s="38">
        <f t="shared" si="12"/>
        <v>0</v>
      </c>
      <c r="O72" s="38" t="e">
        <f t="shared" si="13"/>
        <v>#DIV/0!</v>
      </c>
      <c r="P72" s="39" t="s">
        <v>39</v>
      </c>
      <c r="Q72" s="39"/>
      <c r="R72" s="45"/>
      <c r="S72" s="45"/>
      <c r="T72" s="45"/>
      <c r="U72" s="45"/>
      <c r="V72" s="45"/>
      <c r="W72" s="46">
        <f>+(($H$6*R72)+($I$6*S72)+($J$6*T72)+($K$6*U72)+($L$6*V72))</f>
        <v>0</v>
      </c>
      <c r="X72" s="46">
        <f>+W72</f>
        <v>0</v>
      </c>
      <c r="Y72" s="46"/>
      <c r="Z72" s="47"/>
      <c r="AA72" s="47"/>
    </row>
    <row r="73" spans="1:27" ht="15.75" x14ac:dyDescent="0.25">
      <c r="A73" s="31"/>
      <c r="B73" s="32"/>
      <c r="C73" s="32"/>
      <c r="D73" s="65">
        <f t="shared" si="10"/>
        <v>1</v>
      </c>
      <c r="E73" s="34">
        <f t="shared" si="14"/>
        <v>0</v>
      </c>
      <c r="F73" s="43"/>
      <c r="G73" s="36">
        <f t="shared" si="11"/>
        <v>0</v>
      </c>
      <c r="H73" s="44"/>
      <c r="I73" s="44"/>
      <c r="J73" s="44"/>
      <c r="K73" s="44"/>
      <c r="L73" s="44"/>
      <c r="M73" s="38">
        <f t="shared" si="15"/>
        <v>0</v>
      </c>
      <c r="N73" s="38">
        <f t="shared" si="12"/>
        <v>0</v>
      </c>
      <c r="O73" s="38" t="e">
        <f t="shared" si="13"/>
        <v>#DIV/0!</v>
      </c>
      <c r="P73" s="39" t="s">
        <v>39</v>
      </c>
      <c r="Q73" s="39"/>
      <c r="R73" s="45"/>
      <c r="S73" s="45"/>
      <c r="T73" s="45"/>
      <c r="U73" s="45"/>
      <c r="V73" s="45"/>
      <c r="W73" s="46">
        <f>+(($H$6*R73)+($I$6*S73)+($J$6*T73)+($K$6*U73)+($L$6*V73))</f>
        <v>0</v>
      </c>
      <c r="X73" s="46">
        <f>+W73</f>
        <v>0</v>
      </c>
      <c r="Y73" s="46"/>
      <c r="Z73" s="47"/>
      <c r="AA73" s="47"/>
    </row>
    <row r="74" spans="1:27" ht="15.75" x14ac:dyDescent="0.25">
      <c r="A74" s="31"/>
      <c r="B74" s="32"/>
      <c r="C74" s="32"/>
      <c r="D74" s="65">
        <f t="shared" si="10"/>
        <v>1</v>
      </c>
      <c r="E74" s="34">
        <f t="shared" si="14"/>
        <v>0</v>
      </c>
      <c r="F74" s="43"/>
      <c r="G74" s="36">
        <f t="shared" si="11"/>
        <v>0</v>
      </c>
      <c r="H74" s="44"/>
      <c r="I74" s="44"/>
      <c r="J74" s="44"/>
      <c r="K74" s="44"/>
      <c r="L74" s="44"/>
      <c r="M74" s="38">
        <f t="shared" si="15"/>
        <v>0</v>
      </c>
      <c r="N74" s="38">
        <f t="shared" si="12"/>
        <v>0</v>
      </c>
      <c r="O74" s="38" t="e">
        <f t="shared" si="13"/>
        <v>#DIV/0!</v>
      </c>
      <c r="P74" s="39" t="s">
        <v>45</v>
      </c>
      <c r="Q74" s="39"/>
      <c r="R74" s="45"/>
      <c r="S74" s="45"/>
      <c r="T74" s="45"/>
      <c r="U74" s="45"/>
      <c r="V74" s="45"/>
      <c r="W74" s="46">
        <f>+(($H$6*R74)+($I$6*S74)+($J$6*T74)+($K$6*U74)+($L$6*V74))</f>
        <v>0</v>
      </c>
      <c r="X74" s="46">
        <f>+W74</f>
        <v>0</v>
      </c>
      <c r="Y74" s="46"/>
      <c r="Z74" s="47"/>
      <c r="AA74" s="47"/>
    </row>
    <row r="75" spans="1:27" ht="15.75" x14ac:dyDescent="0.25">
      <c r="A75" s="31"/>
      <c r="B75" s="32"/>
      <c r="C75" s="32"/>
      <c r="D75" s="33">
        <f t="shared" si="10"/>
        <v>1</v>
      </c>
      <c r="E75" s="34">
        <f t="shared" si="14"/>
        <v>0</v>
      </c>
      <c r="F75" s="35"/>
      <c r="G75" s="36">
        <f t="shared" si="11"/>
        <v>0</v>
      </c>
      <c r="H75" s="37"/>
      <c r="I75" s="37"/>
      <c r="J75" s="37"/>
      <c r="K75" s="37"/>
      <c r="L75" s="37"/>
      <c r="M75" s="38">
        <f t="shared" si="15"/>
        <v>0</v>
      </c>
      <c r="N75" s="38">
        <f t="shared" si="12"/>
        <v>0</v>
      </c>
      <c r="O75" s="38" t="e">
        <f t="shared" si="13"/>
        <v>#DIV/0!</v>
      </c>
      <c r="P75" s="39" t="s">
        <v>41</v>
      </c>
      <c r="Q75" s="39"/>
      <c r="R75" s="45"/>
      <c r="S75" s="45"/>
      <c r="T75" s="45"/>
      <c r="U75" s="45"/>
      <c r="V75" s="45"/>
      <c r="W75" s="46">
        <f>+(($H$6*R75)+($I$6*S75)+($J$6*T75)+($K$6*U75)+($L$6*V75))</f>
        <v>0</v>
      </c>
      <c r="X75" s="46">
        <f>+W75</f>
        <v>0</v>
      </c>
      <c r="Y75" s="46"/>
      <c r="Z75" s="47"/>
      <c r="AA75" s="47"/>
    </row>
    <row r="76" spans="1:27" ht="15.75" x14ac:dyDescent="0.25">
      <c r="A76" s="31"/>
      <c r="B76" s="32"/>
      <c r="C76" s="32"/>
      <c r="D76" s="33">
        <f t="shared" si="10"/>
        <v>1</v>
      </c>
      <c r="E76" s="34">
        <f t="shared" si="14"/>
        <v>0</v>
      </c>
      <c r="F76" s="35"/>
      <c r="G76" s="36">
        <f t="shared" si="11"/>
        <v>0</v>
      </c>
      <c r="H76" s="37"/>
      <c r="I76" s="37"/>
      <c r="J76" s="37"/>
      <c r="K76" s="37"/>
      <c r="L76" s="37"/>
      <c r="M76" s="38">
        <f t="shared" si="15"/>
        <v>0</v>
      </c>
      <c r="N76" s="38">
        <f t="shared" si="12"/>
        <v>0</v>
      </c>
      <c r="O76" s="38" t="e">
        <f t="shared" si="13"/>
        <v>#DIV/0!</v>
      </c>
      <c r="P76" s="39" t="s">
        <v>39</v>
      </c>
      <c r="Q76" s="39"/>
      <c r="R76" s="45"/>
      <c r="S76" s="45"/>
      <c r="T76" s="45"/>
      <c r="U76" s="45"/>
      <c r="V76" s="45"/>
      <c r="W76" s="46"/>
      <c r="X76" s="46"/>
      <c r="Y76" s="46"/>
      <c r="Z76" s="47"/>
      <c r="AA76" s="47"/>
    </row>
    <row r="77" spans="1:27" ht="15.75" x14ac:dyDescent="0.25">
      <c r="A77" s="31"/>
      <c r="B77" s="32"/>
      <c r="C77" s="32"/>
      <c r="D77" s="65">
        <f t="shared" si="10"/>
        <v>1</v>
      </c>
      <c r="E77" s="34">
        <f t="shared" si="14"/>
        <v>0</v>
      </c>
      <c r="F77" s="43"/>
      <c r="G77" s="36">
        <f t="shared" si="11"/>
        <v>0</v>
      </c>
      <c r="H77" s="44"/>
      <c r="I77" s="44"/>
      <c r="J77" s="44"/>
      <c r="K77" s="44"/>
      <c r="L77" s="44"/>
      <c r="M77" s="38">
        <f t="shared" si="15"/>
        <v>0</v>
      </c>
      <c r="N77" s="38">
        <f t="shared" si="12"/>
        <v>0</v>
      </c>
      <c r="O77" s="38" t="e">
        <f t="shared" si="13"/>
        <v>#DIV/0!</v>
      </c>
      <c r="P77" s="39" t="s">
        <v>39</v>
      </c>
      <c r="Q77" s="39"/>
      <c r="R77" s="45"/>
      <c r="S77" s="45"/>
      <c r="T77" s="45"/>
      <c r="U77" s="45"/>
      <c r="V77" s="45"/>
      <c r="W77" s="46"/>
      <c r="X77" s="46"/>
      <c r="Y77" s="46"/>
      <c r="Z77" s="47"/>
      <c r="AA77" s="47"/>
    </row>
    <row r="78" spans="1:27" ht="15.75" x14ac:dyDescent="0.25">
      <c r="A78" s="31"/>
      <c r="B78" s="32"/>
      <c r="C78" s="32"/>
      <c r="D78" s="65">
        <f t="shared" si="10"/>
        <v>1</v>
      </c>
      <c r="E78" s="34">
        <f t="shared" si="14"/>
        <v>0</v>
      </c>
      <c r="F78" s="43"/>
      <c r="G78" s="36">
        <f t="shared" si="11"/>
        <v>0</v>
      </c>
      <c r="H78" s="44"/>
      <c r="I78" s="44"/>
      <c r="J78" s="44"/>
      <c r="K78" s="44"/>
      <c r="L78" s="44"/>
      <c r="M78" s="38">
        <f>+(($H$6*H78)+($I$6*I78)+($J$6*J78)+($K$6*K78)+(13*L78))</f>
        <v>0</v>
      </c>
      <c r="N78" s="38">
        <f t="shared" si="12"/>
        <v>0</v>
      </c>
      <c r="O78" s="38" t="e">
        <f t="shared" si="13"/>
        <v>#DIV/0!</v>
      </c>
      <c r="P78" s="39" t="s">
        <v>41</v>
      </c>
      <c r="Q78" s="39"/>
      <c r="R78" s="45"/>
      <c r="S78" s="45"/>
      <c r="T78" s="45"/>
      <c r="U78" s="45"/>
      <c r="V78" s="45"/>
      <c r="W78" s="46">
        <f t="shared" ref="W78:W93" si="16">+(($H$6*R78)+($I$6*S78)+($J$6*T78)+($K$6*U78)+($L$6*V78))</f>
        <v>0</v>
      </c>
      <c r="X78" s="46">
        <f t="shared" ref="X78:X93" si="17">+W78</f>
        <v>0</v>
      </c>
      <c r="Y78" s="46"/>
      <c r="Z78" s="47"/>
      <c r="AA78" s="47"/>
    </row>
    <row r="79" spans="1:27" ht="15.75" x14ac:dyDescent="0.25">
      <c r="A79" s="31"/>
      <c r="B79" s="32"/>
      <c r="C79" s="32"/>
      <c r="D79" s="65">
        <f t="shared" si="10"/>
        <v>1</v>
      </c>
      <c r="E79" s="34">
        <f t="shared" si="14"/>
        <v>0</v>
      </c>
      <c r="F79" s="43"/>
      <c r="G79" s="36">
        <f t="shared" si="11"/>
        <v>0</v>
      </c>
      <c r="H79" s="44"/>
      <c r="I79" s="44"/>
      <c r="J79" s="44"/>
      <c r="K79" s="44"/>
      <c r="L79" s="44"/>
      <c r="M79" s="38">
        <f t="shared" si="15"/>
        <v>0</v>
      </c>
      <c r="N79" s="38">
        <f t="shared" si="12"/>
        <v>0</v>
      </c>
      <c r="O79" s="38" t="e">
        <f t="shared" si="13"/>
        <v>#DIV/0!</v>
      </c>
      <c r="P79" s="39" t="s">
        <v>38</v>
      </c>
      <c r="Q79" s="39"/>
      <c r="R79" s="45"/>
      <c r="S79" s="45"/>
      <c r="T79" s="45"/>
      <c r="U79" s="45"/>
      <c r="V79" s="45"/>
      <c r="W79" s="46">
        <f t="shared" si="16"/>
        <v>0</v>
      </c>
      <c r="X79" s="46">
        <f t="shared" si="17"/>
        <v>0</v>
      </c>
      <c r="Y79" s="46"/>
      <c r="Z79" s="47"/>
      <c r="AA79" s="47"/>
    </row>
    <row r="80" spans="1:27" ht="15.75" x14ac:dyDescent="0.25">
      <c r="A80" s="31"/>
      <c r="B80" s="32"/>
      <c r="C80" s="32"/>
      <c r="D80" s="65">
        <f t="shared" si="10"/>
        <v>1</v>
      </c>
      <c r="E80" s="34">
        <f t="shared" si="14"/>
        <v>0</v>
      </c>
      <c r="F80" s="43"/>
      <c r="G80" s="36">
        <f t="shared" si="11"/>
        <v>0</v>
      </c>
      <c r="H80" s="44"/>
      <c r="I80" s="44"/>
      <c r="J80" s="44"/>
      <c r="K80" s="44"/>
      <c r="L80" s="44"/>
      <c r="M80" s="38">
        <f t="shared" si="15"/>
        <v>0</v>
      </c>
      <c r="N80" s="38">
        <f t="shared" si="12"/>
        <v>0</v>
      </c>
      <c r="O80" s="38" t="e">
        <f t="shared" si="13"/>
        <v>#DIV/0!</v>
      </c>
      <c r="P80" s="39" t="s">
        <v>37</v>
      </c>
      <c r="Q80" s="39"/>
      <c r="R80" s="45"/>
      <c r="S80" s="45"/>
      <c r="T80" s="45"/>
      <c r="U80" s="45"/>
      <c r="V80" s="45"/>
      <c r="W80" s="46">
        <f t="shared" si="16"/>
        <v>0</v>
      </c>
      <c r="X80" s="46">
        <f t="shared" si="17"/>
        <v>0</v>
      </c>
      <c r="Y80" s="46"/>
      <c r="Z80" s="47"/>
      <c r="AA80" s="47"/>
    </row>
    <row r="81" spans="1:27" s="64" customFormat="1" ht="15.75" x14ac:dyDescent="0.25">
      <c r="A81" s="31"/>
      <c r="B81" s="32"/>
      <c r="C81" s="32"/>
      <c r="D81" s="65">
        <f t="shared" si="10"/>
        <v>1</v>
      </c>
      <c r="E81" s="34">
        <f t="shared" si="14"/>
        <v>0</v>
      </c>
      <c r="F81" s="43"/>
      <c r="G81" s="36">
        <f t="shared" si="11"/>
        <v>0</v>
      </c>
      <c r="H81" s="44"/>
      <c r="I81" s="44"/>
      <c r="J81" s="44"/>
      <c r="K81" s="44"/>
      <c r="L81" s="44"/>
      <c r="M81" s="38">
        <f t="shared" si="15"/>
        <v>0</v>
      </c>
      <c r="N81" s="38">
        <f t="shared" si="12"/>
        <v>0</v>
      </c>
      <c r="O81" s="38" t="e">
        <f t="shared" si="13"/>
        <v>#DIV/0!</v>
      </c>
      <c r="P81" s="39" t="s">
        <v>42</v>
      </c>
      <c r="Q81" s="61"/>
      <c r="R81" s="62"/>
      <c r="S81" s="62"/>
      <c r="T81" s="62"/>
      <c r="U81" s="62"/>
      <c r="V81" s="62"/>
      <c r="W81" s="62">
        <f t="shared" si="16"/>
        <v>0</v>
      </c>
      <c r="X81" s="62">
        <f t="shared" si="17"/>
        <v>0</v>
      </c>
      <c r="Y81" s="62"/>
      <c r="Z81" s="63"/>
      <c r="AA81" s="63"/>
    </row>
    <row r="82" spans="1:27" ht="15.75" x14ac:dyDescent="0.25">
      <c r="A82" s="31"/>
      <c r="B82" s="32"/>
      <c r="C82" s="32"/>
      <c r="D82" s="65">
        <f t="shared" si="10"/>
        <v>1</v>
      </c>
      <c r="E82" s="34">
        <f t="shared" si="14"/>
        <v>0</v>
      </c>
      <c r="F82" s="43"/>
      <c r="G82" s="36">
        <f t="shared" si="11"/>
        <v>0</v>
      </c>
      <c r="H82" s="44"/>
      <c r="I82" s="44"/>
      <c r="J82" s="44"/>
      <c r="K82" s="44"/>
      <c r="L82" s="44"/>
      <c r="M82" s="38">
        <f t="shared" si="15"/>
        <v>0</v>
      </c>
      <c r="N82" s="38">
        <f t="shared" si="12"/>
        <v>0</v>
      </c>
      <c r="O82" s="38" t="e">
        <f t="shared" si="13"/>
        <v>#DIV/0!</v>
      </c>
      <c r="P82" s="52" t="s">
        <v>33</v>
      </c>
      <c r="Q82" s="39"/>
      <c r="R82" s="45"/>
      <c r="S82" s="45"/>
      <c r="T82" s="45"/>
      <c r="U82" s="45"/>
      <c r="V82" s="45"/>
      <c r="W82" s="46">
        <f t="shared" si="16"/>
        <v>0</v>
      </c>
      <c r="X82" s="46">
        <f t="shared" si="17"/>
        <v>0</v>
      </c>
      <c r="Y82" s="46"/>
      <c r="Z82" s="47"/>
      <c r="AA82" s="47"/>
    </row>
    <row r="83" spans="1:27" ht="15.75" x14ac:dyDescent="0.25">
      <c r="A83" s="31"/>
      <c r="B83" s="32"/>
      <c r="C83" s="32"/>
      <c r="D83" s="65">
        <f t="shared" si="10"/>
        <v>1</v>
      </c>
      <c r="E83" s="34">
        <f t="shared" si="14"/>
        <v>0</v>
      </c>
      <c r="F83" s="43"/>
      <c r="G83" s="36">
        <f t="shared" si="11"/>
        <v>0</v>
      </c>
      <c r="H83" s="44"/>
      <c r="I83" s="44"/>
      <c r="J83" s="44"/>
      <c r="K83" s="44"/>
      <c r="L83" s="44"/>
      <c r="M83" s="44">
        <f t="shared" si="15"/>
        <v>0</v>
      </c>
      <c r="N83" s="38">
        <f t="shared" si="12"/>
        <v>0</v>
      </c>
      <c r="O83" s="44" t="e">
        <f t="shared" si="13"/>
        <v>#DIV/0!</v>
      </c>
      <c r="P83" s="39" t="s">
        <v>38</v>
      </c>
      <c r="Q83" s="66"/>
      <c r="R83" s="45"/>
      <c r="S83" s="45"/>
      <c r="T83" s="45"/>
      <c r="U83" s="45"/>
      <c r="V83" s="45"/>
      <c r="W83" s="46">
        <f t="shared" si="16"/>
        <v>0</v>
      </c>
      <c r="X83" s="46">
        <f t="shared" si="17"/>
        <v>0</v>
      </c>
      <c r="Y83" s="46"/>
      <c r="Z83" s="47"/>
      <c r="AA83" s="47"/>
    </row>
    <row r="84" spans="1:27" ht="15.75" x14ac:dyDescent="0.25">
      <c r="A84" s="31"/>
      <c r="B84" s="32"/>
      <c r="C84" s="32"/>
      <c r="D84" s="65">
        <f t="shared" si="10"/>
        <v>1</v>
      </c>
      <c r="E84" s="34">
        <f t="shared" si="14"/>
        <v>0</v>
      </c>
      <c r="F84" s="43"/>
      <c r="G84" s="36">
        <v>8</v>
      </c>
      <c r="H84" s="44"/>
      <c r="I84" s="44"/>
      <c r="J84" s="44"/>
      <c r="K84" s="44"/>
      <c r="L84" s="44"/>
      <c r="M84" s="38">
        <f t="shared" si="15"/>
        <v>0</v>
      </c>
      <c r="N84" s="38">
        <f t="shared" si="12"/>
        <v>0</v>
      </c>
      <c r="O84" s="38">
        <f t="shared" si="13"/>
        <v>0</v>
      </c>
      <c r="P84" s="57" t="s">
        <v>41</v>
      </c>
      <c r="Q84" s="39"/>
      <c r="R84" s="45"/>
      <c r="S84" s="45"/>
      <c r="T84" s="45"/>
      <c r="U84" s="45"/>
      <c r="V84" s="45"/>
      <c r="W84" s="46">
        <f t="shared" si="16"/>
        <v>0</v>
      </c>
      <c r="X84" s="46">
        <f t="shared" si="17"/>
        <v>0</v>
      </c>
      <c r="Y84" s="46"/>
      <c r="Z84" s="47"/>
      <c r="AA84" s="47"/>
    </row>
    <row r="85" spans="1:27" ht="15.75" x14ac:dyDescent="0.25">
      <c r="A85" s="31"/>
      <c r="B85" s="32"/>
      <c r="C85" s="32"/>
      <c r="D85" s="65">
        <f t="shared" si="10"/>
        <v>1</v>
      </c>
      <c r="E85" s="34">
        <f t="shared" si="14"/>
        <v>0</v>
      </c>
      <c r="F85" s="43"/>
      <c r="G85" s="36">
        <f t="shared" si="11"/>
        <v>0</v>
      </c>
      <c r="H85" s="44"/>
      <c r="I85" s="44"/>
      <c r="J85" s="44"/>
      <c r="K85" s="44"/>
      <c r="L85" s="44"/>
      <c r="M85" s="38">
        <f t="shared" si="15"/>
        <v>0</v>
      </c>
      <c r="N85" s="38">
        <f t="shared" si="12"/>
        <v>0</v>
      </c>
      <c r="O85" s="38" t="e">
        <f t="shared" si="13"/>
        <v>#DIV/0!</v>
      </c>
      <c r="P85" s="39" t="s">
        <v>31</v>
      </c>
      <c r="Q85" s="39"/>
      <c r="R85" s="45"/>
      <c r="S85" s="45"/>
      <c r="T85" s="45"/>
      <c r="U85" s="45"/>
      <c r="V85" s="45"/>
      <c r="W85" s="46">
        <f t="shared" si="16"/>
        <v>0</v>
      </c>
      <c r="X85" s="46">
        <f t="shared" si="17"/>
        <v>0</v>
      </c>
      <c r="Y85" s="46"/>
      <c r="Z85" s="47"/>
      <c r="AA85" s="47"/>
    </row>
    <row r="86" spans="1:27" ht="15.75" x14ac:dyDescent="0.25">
      <c r="A86" s="31"/>
      <c r="B86" s="32"/>
      <c r="C86" s="32"/>
      <c r="D86" s="65">
        <f t="shared" si="10"/>
        <v>1</v>
      </c>
      <c r="E86" s="34">
        <f t="shared" si="14"/>
        <v>0</v>
      </c>
      <c r="F86" s="43"/>
      <c r="G86" s="36">
        <f t="shared" si="11"/>
        <v>0</v>
      </c>
      <c r="H86" s="44"/>
      <c r="I86" s="44"/>
      <c r="J86" s="44"/>
      <c r="K86" s="44"/>
      <c r="L86" s="44"/>
      <c r="M86" s="38">
        <f t="shared" si="15"/>
        <v>0</v>
      </c>
      <c r="N86" s="38">
        <f t="shared" si="12"/>
        <v>0</v>
      </c>
      <c r="O86" s="38" t="e">
        <f t="shared" si="13"/>
        <v>#DIV/0!</v>
      </c>
      <c r="P86" s="39" t="s">
        <v>31</v>
      </c>
      <c r="Q86" s="39"/>
      <c r="R86" s="45"/>
      <c r="S86" s="45"/>
      <c r="T86" s="45"/>
      <c r="U86" s="45"/>
      <c r="V86" s="45"/>
      <c r="W86" s="46">
        <f t="shared" si="16"/>
        <v>0</v>
      </c>
      <c r="X86" s="46">
        <f t="shared" si="17"/>
        <v>0</v>
      </c>
      <c r="Y86" s="46"/>
      <c r="Z86" s="47"/>
      <c r="AA86" s="47"/>
    </row>
    <row r="87" spans="1:27" ht="15.75" x14ac:dyDescent="0.25">
      <c r="A87" s="31"/>
      <c r="B87" s="32"/>
      <c r="C87" s="32"/>
      <c r="D87" s="65">
        <f t="shared" si="10"/>
        <v>1</v>
      </c>
      <c r="E87" s="34">
        <f t="shared" si="14"/>
        <v>0</v>
      </c>
      <c r="F87" s="43"/>
      <c r="G87" s="36">
        <f t="shared" si="11"/>
        <v>0</v>
      </c>
      <c r="H87" s="44"/>
      <c r="I87" s="44"/>
      <c r="J87" s="44"/>
      <c r="K87" s="44"/>
      <c r="L87" s="44"/>
      <c r="M87" s="38">
        <f t="shared" si="15"/>
        <v>0</v>
      </c>
      <c r="N87" s="38">
        <f t="shared" si="12"/>
        <v>0</v>
      </c>
      <c r="O87" s="38" t="e">
        <f t="shared" si="13"/>
        <v>#DIV/0!</v>
      </c>
      <c r="P87" s="39" t="s">
        <v>38</v>
      </c>
      <c r="Q87" s="39"/>
      <c r="R87" s="45"/>
      <c r="S87" s="45"/>
      <c r="T87" s="45"/>
      <c r="U87" s="45"/>
      <c r="V87" s="45"/>
      <c r="W87" s="46">
        <f t="shared" si="16"/>
        <v>0</v>
      </c>
      <c r="X87" s="46">
        <f t="shared" si="17"/>
        <v>0</v>
      </c>
      <c r="Y87" s="46"/>
      <c r="Z87" s="47"/>
      <c r="AA87" s="47"/>
    </row>
    <row r="88" spans="1:27" ht="15.75" x14ac:dyDescent="0.25">
      <c r="A88" s="31"/>
      <c r="B88" s="32"/>
      <c r="C88" s="32"/>
      <c r="D88" s="65">
        <f t="shared" si="10"/>
        <v>1</v>
      </c>
      <c r="E88" s="34">
        <f t="shared" si="14"/>
        <v>0</v>
      </c>
      <c r="F88" s="43"/>
      <c r="G88" s="36">
        <f t="shared" si="11"/>
        <v>0</v>
      </c>
      <c r="H88" s="44"/>
      <c r="I88" s="44"/>
      <c r="J88" s="44"/>
      <c r="K88" s="44"/>
      <c r="L88" s="44"/>
      <c r="M88" s="38">
        <f t="shared" si="15"/>
        <v>0</v>
      </c>
      <c r="N88" s="38">
        <f t="shared" si="12"/>
        <v>0</v>
      </c>
      <c r="O88" s="38" t="e">
        <f t="shared" si="13"/>
        <v>#DIV/0!</v>
      </c>
      <c r="P88" s="39" t="s">
        <v>39</v>
      </c>
      <c r="Q88" s="39"/>
      <c r="R88" s="45"/>
      <c r="S88" s="45"/>
      <c r="T88" s="45"/>
      <c r="U88" s="45"/>
      <c r="V88" s="45"/>
      <c r="W88" s="46">
        <f t="shared" si="16"/>
        <v>0</v>
      </c>
      <c r="X88" s="46">
        <f t="shared" si="17"/>
        <v>0</v>
      </c>
      <c r="Y88" s="46"/>
      <c r="Z88" s="47"/>
      <c r="AA88" s="47"/>
    </row>
    <row r="89" spans="1:27" ht="15.75" x14ac:dyDescent="0.25">
      <c r="A89" s="31"/>
      <c r="B89" s="32"/>
      <c r="C89" s="32"/>
      <c r="D89" s="65">
        <v>1.1409722222222223</v>
      </c>
      <c r="E89" s="34">
        <f t="shared" si="14"/>
        <v>0</v>
      </c>
      <c r="F89" s="43"/>
      <c r="G89" s="36">
        <v>3.97</v>
      </c>
      <c r="H89" s="44"/>
      <c r="I89" s="44"/>
      <c r="J89" s="44"/>
      <c r="K89" s="44"/>
      <c r="L89" s="44"/>
      <c r="M89" s="38">
        <v>402</v>
      </c>
      <c r="N89" s="38">
        <v>402</v>
      </c>
      <c r="O89" s="38">
        <v>101.25944584382871</v>
      </c>
      <c r="P89" s="39" t="s">
        <v>33</v>
      </c>
      <c r="Q89" s="39"/>
      <c r="R89" s="45"/>
      <c r="S89" s="45"/>
      <c r="T89" s="45"/>
      <c r="U89" s="45"/>
      <c r="V89" s="45"/>
      <c r="W89" s="46">
        <v>0</v>
      </c>
      <c r="X89" s="46">
        <v>0</v>
      </c>
      <c r="Y89" s="46"/>
      <c r="Z89" s="47"/>
      <c r="AA89" s="47"/>
    </row>
    <row r="90" spans="1:27" ht="15.75" x14ac:dyDescent="0.25">
      <c r="A90" s="31"/>
      <c r="B90" s="32"/>
      <c r="C90" s="32"/>
      <c r="D90" s="65">
        <v>1.1409722222222223</v>
      </c>
      <c r="E90" s="34">
        <f t="shared" si="14"/>
        <v>0</v>
      </c>
      <c r="F90" s="43"/>
      <c r="G90" s="36">
        <v>3.97</v>
      </c>
      <c r="H90" s="44"/>
      <c r="I90" s="44"/>
      <c r="J90" s="44"/>
      <c r="K90" s="44"/>
      <c r="L90" s="44"/>
      <c r="M90" s="38">
        <v>402</v>
      </c>
      <c r="N90" s="38">
        <v>402</v>
      </c>
      <c r="O90" s="38">
        <v>101.25944584382871</v>
      </c>
      <c r="P90" s="39" t="s">
        <v>33</v>
      </c>
      <c r="Q90" s="39"/>
      <c r="R90" s="45"/>
      <c r="S90" s="45"/>
      <c r="T90" s="45"/>
      <c r="U90" s="45"/>
      <c r="V90" s="45"/>
      <c r="W90" s="46">
        <v>0</v>
      </c>
      <c r="X90" s="46">
        <v>0</v>
      </c>
      <c r="Y90" s="46"/>
      <c r="Z90" s="47"/>
      <c r="AA90" s="47"/>
    </row>
    <row r="91" spans="1:27" ht="15.75" x14ac:dyDescent="0.25">
      <c r="A91" s="31"/>
      <c r="B91" s="32"/>
      <c r="C91" s="32"/>
      <c r="D91" s="65">
        <f t="shared" si="10"/>
        <v>1</v>
      </c>
      <c r="E91" s="34">
        <f t="shared" si="14"/>
        <v>0</v>
      </c>
      <c r="F91" s="43"/>
      <c r="G91" s="36">
        <f t="shared" si="11"/>
        <v>0</v>
      </c>
      <c r="H91" s="44"/>
      <c r="I91" s="44"/>
      <c r="J91" s="44"/>
      <c r="K91" s="44"/>
      <c r="L91" s="44"/>
      <c r="M91" s="38">
        <f t="shared" si="15"/>
        <v>0</v>
      </c>
      <c r="N91" s="38">
        <f t="shared" si="12"/>
        <v>0</v>
      </c>
      <c r="O91" s="38" t="e">
        <f t="shared" si="13"/>
        <v>#DIV/0!</v>
      </c>
      <c r="P91" s="39" t="s">
        <v>38</v>
      </c>
      <c r="Q91" s="39"/>
      <c r="R91" s="45"/>
      <c r="S91" s="45"/>
      <c r="T91" s="45"/>
      <c r="U91" s="45"/>
      <c r="V91" s="45"/>
      <c r="W91" s="46">
        <f t="shared" si="16"/>
        <v>0</v>
      </c>
      <c r="X91" s="46">
        <f t="shared" si="17"/>
        <v>0</v>
      </c>
      <c r="Y91" s="46"/>
      <c r="Z91" s="47"/>
      <c r="AA91" s="47"/>
    </row>
    <row r="92" spans="1:27" ht="15.75" x14ac:dyDescent="0.25">
      <c r="A92" s="31"/>
      <c r="B92" s="32"/>
      <c r="C92" s="32"/>
      <c r="D92" s="65">
        <f t="shared" si="10"/>
        <v>1</v>
      </c>
      <c r="E92" s="34">
        <f t="shared" si="14"/>
        <v>0</v>
      </c>
      <c r="F92" s="43"/>
      <c r="G92" s="36">
        <f t="shared" si="11"/>
        <v>0</v>
      </c>
      <c r="H92" s="44"/>
      <c r="I92" s="44"/>
      <c r="J92" s="44"/>
      <c r="K92" s="44"/>
      <c r="L92" s="44"/>
      <c r="M92" s="38">
        <f t="shared" si="15"/>
        <v>0</v>
      </c>
      <c r="N92" s="38">
        <f t="shared" si="12"/>
        <v>0</v>
      </c>
      <c r="O92" s="38" t="e">
        <f t="shared" si="13"/>
        <v>#DIV/0!</v>
      </c>
      <c r="P92" s="39" t="s">
        <v>39</v>
      </c>
      <c r="Q92" s="39"/>
      <c r="R92" s="45"/>
      <c r="S92" s="45"/>
      <c r="T92" s="45"/>
      <c r="U92" s="45"/>
      <c r="V92" s="45"/>
      <c r="W92" s="46">
        <f t="shared" si="16"/>
        <v>0</v>
      </c>
      <c r="X92" s="46">
        <f t="shared" si="17"/>
        <v>0</v>
      </c>
      <c r="Y92" s="46"/>
      <c r="Z92" s="47"/>
      <c r="AA92" s="47"/>
    </row>
    <row r="93" spans="1:27" ht="15.75" x14ac:dyDescent="0.25">
      <c r="A93" s="31"/>
      <c r="B93" s="32"/>
      <c r="C93" s="32"/>
      <c r="D93" s="65">
        <f t="shared" si="10"/>
        <v>1</v>
      </c>
      <c r="E93" s="34">
        <f t="shared" si="14"/>
        <v>0</v>
      </c>
      <c r="F93" s="43"/>
      <c r="G93" s="36">
        <f t="shared" si="11"/>
        <v>0</v>
      </c>
      <c r="H93" s="44"/>
      <c r="I93" s="44"/>
      <c r="J93" s="44"/>
      <c r="K93" s="44"/>
      <c r="L93" s="44"/>
      <c r="M93" s="38">
        <f t="shared" si="15"/>
        <v>0</v>
      </c>
      <c r="N93" s="38">
        <f t="shared" si="12"/>
        <v>0</v>
      </c>
      <c r="O93" s="38" t="e">
        <f t="shared" si="13"/>
        <v>#DIV/0!</v>
      </c>
      <c r="P93" s="39" t="s">
        <v>42</v>
      </c>
      <c r="Q93" s="39"/>
      <c r="R93" s="45"/>
      <c r="S93" s="45"/>
      <c r="T93" s="45"/>
      <c r="U93" s="45"/>
      <c r="V93" s="45"/>
      <c r="W93" s="46">
        <f t="shared" si="16"/>
        <v>0</v>
      </c>
      <c r="X93" s="46">
        <f t="shared" si="17"/>
        <v>0</v>
      </c>
      <c r="Y93" s="46"/>
      <c r="Z93" s="47"/>
      <c r="AA93" s="47"/>
    </row>
    <row r="94" spans="1:27" ht="15.75" x14ac:dyDescent="0.25">
      <c r="A94" s="31"/>
      <c r="B94" s="32"/>
      <c r="C94" s="32"/>
      <c r="D94" s="65">
        <f t="shared" si="10"/>
        <v>1</v>
      </c>
      <c r="E94" s="34">
        <f t="shared" si="14"/>
        <v>0</v>
      </c>
      <c r="F94" s="43"/>
      <c r="G94" s="36">
        <f t="shared" si="11"/>
        <v>0</v>
      </c>
      <c r="H94" s="44"/>
      <c r="I94" s="44"/>
      <c r="J94" s="44"/>
      <c r="K94" s="44"/>
      <c r="L94" s="44"/>
      <c r="M94" s="38">
        <f t="shared" si="15"/>
        <v>0</v>
      </c>
      <c r="N94" s="38">
        <f t="shared" si="12"/>
        <v>0</v>
      </c>
      <c r="O94" s="38" t="e">
        <f t="shared" si="13"/>
        <v>#DIV/0!</v>
      </c>
      <c r="P94" s="57" t="s">
        <v>36</v>
      </c>
      <c r="Q94" s="39"/>
      <c r="R94" s="45"/>
      <c r="S94" s="45"/>
      <c r="T94" s="45"/>
      <c r="U94" s="45"/>
      <c r="V94" s="45"/>
      <c r="W94" s="46"/>
      <c r="X94" s="46"/>
      <c r="Y94" s="46"/>
      <c r="Z94" s="47"/>
      <c r="AA94" s="47"/>
    </row>
    <row r="95" spans="1:27" ht="15.75" x14ac:dyDescent="0.25">
      <c r="A95" s="31"/>
      <c r="B95" s="32"/>
      <c r="C95" s="32"/>
      <c r="D95" s="65">
        <f t="shared" si="10"/>
        <v>1</v>
      </c>
      <c r="E95" s="34">
        <f t="shared" si="14"/>
        <v>0</v>
      </c>
      <c r="F95" s="43"/>
      <c r="G95" s="36">
        <f t="shared" si="11"/>
        <v>0</v>
      </c>
      <c r="H95" s="44"/>
      <c r="I95" s="44"/>
      <c r="J95" s="44"/>
      <c r="K95" s="44"/>
      <c r="L95" s="44"/>
      <c r="M95" s="38">
        <f t="shared" si="15"/>
        <v>0</v>
      </c>
      <c r="N95" s="38">
        <f t="shared" si="12"/>
        <v>0</v>
      </c>
      <c r="O95" s="38" t="e">
        <f t="shared" si="13"/>
        <v>#DIV/0!</v>
      </c>
      <c r="P95" s="52" t="s">
        <v>38</v>
      </c>
      <c r="Q95" s="39"/>
      <c r="R95" s="45"/>
      <c r="S95" s="45"/>
      <c r="T95" s="45"/>
      <c r="U95" s="45"/>
      <c r="V95" s="45"/>
      <c r="W95" s="46"/>
      <c r="X95" s="46"/>
      <c r="Y95" s="46"/>
      <c r="Z95" s="47"/>
      <c r="AA95" s="47"/>
    </row>
    <row r="96" spans="1:27" ht="15.75" x14ac:dyDescent="0.25">
      <c r="A96" s="31"/>
      <c r="B96" s="32"/>
      <c r="C96" s="32"/>
      <c r="D96" s="65">
        <f t="shared" si="10"/>
        <v>1</v>
      </c>
      <c r="E96" s="34">
        <f t="shared" si="14"/>
        <v>0</v>
      </c>
      <c r="F96" s="43"/>
      <c r="G96" s="36">
        <f t="shared" si="11"/>
        <v>0</v>
      </c>
      <c r="H96" s="44"/>
      <c r="I96" s="44"/>
      <c r="J96" s="44"/>
      <c r="K96" s="44"/>
      <c r="L96" s="44"/>
      <c r="M96" s="44">
        <f>+(($H$6*H96)+($I$6*I96)+($J$6*J96)+($K$6*K96)+(13*L96))</f>
        <v>0</v>
      </c>
      <c r="N96" s="44">
        <f t="shared" si="12"/>
        <v>0</v>
      </c>
      <c r="O96" s="44" t="e">
        <f t="shared" si="13"/>
        <v>#DIV/0!</v>
      </c>
      <c r="P96" s="39" t="s">
        <v>39</v>
      </c>
      <c r="Q96" s="39"/>
      <c r="R96" s="45"/>
      <c r="S96" s="45"/>
      <c r="T96" s="45"/>
      <c r="U96" s="45"/>
      <c r="V96" s="45"/>
      <c r="W96" s="46">
        <f t="shared" ref="W96:W131" si="18">+(($H$6*R96)+($I$6*S96)+($J$6*T96)+($K$6*U96)+($L$6*V96))</f>
        <v>0</v>
      </c>
      <c r="X96" s="46">
        <f t="shared" ref="X96:X131" si="19">+W96</f>
        <v>0</v>
      </c>
      <c r="Y96" s="46"/>
      <c r="Z96" s="47"/>
      <c r="AA96" s="47"/>
    </row>
    <row r="97" spans="1:27" ht="15.75" x14ac:dyDescent="0.25">
      <c r="A97" s="31"/>
      <c r="B97" s="32"/>
      <c r="C97" s="32"/>
      <c r="D97" s="65">
        <f t="shared" si="10"/>
        <v>1</v>
      </c>
      <c r="E97" s="34">
        <f t="shared" si="14"/>
        <v>0</v>
      </c>
      <c r="F97" s="43"/>
      <c r="G97" s="36">
        <f t="shared" si="11"/>
        <v>0</v>
      </c>
      <c r="H97" s="44"/>
      <c r="I97" s="44"/>
      <c r="J97" s="44"/>
      <c r="K97" s="44"/>
      <c r="L97" s="44"/>
      <c r="M97" s="38">
        <f t="shared" si="15"/>
        <v>0</v>
      </c>
      <c r="N97" s="38">
        <f t="shared" si="12"/>
        <v>0</v>
      </c>
      <c r="O97" s="38" t="e">
        <f t="shared" si="13"/>
        <v>#DIV/0!</v>
      </c>
      <c r="P97" s="39" t="s">
        <v>42</v>
      </c>
      <c r="Q97" s="39"/>
      <c r="R97" s="45"/>
      <c r="S97" s="45"/>
      <c r="T97" s="45"/>
      <c r="U97" s="45"/>
      <c r="V97" s="45"/>
      <c r="W97" s="46">
        <f t="shared" si="18"/>
        <v>0</v>
      </c>
      <c r="X97" s="46">
        <f t="shared" si="19"/>
        <v>0</v>
      </c>
      <c r="Y97" s="46"/>
      <c r="Z97" s="47"/>
      <c r="AA97" s="47"/>
    </row>
    <row r="98" spans="1:27" ht="15.75" x14ac:dyDescent="0.25">
      <c r="A98" s="31"/>
      <c r="B98" s="32"/>
      <c r="C98" s="32"/>
      <c r="D98" s="65">
        <f t="shared" si="10"/>
        <v>1</v>
      </c>
      <c r="E98" s="34">
        <f t="shared" si="14"/>
        <v>0</v>
      </c>
      <c r="F98" s="43"/>
      <c r="G98" s="36">
        <f t="shared" si="11"/>
        <v>0</v>
      </c>
      <c r="H98" s="44"/>
      <c r="I98" s="44"/>
      <c r="J98" s="44"/>
      <c r="K98" s="44"/>
      <c r="L98" s="44"/>
      <c r="M98" s="38">
        <f t="shared" si="15"/>
        <v>0</v>
      </c>
      <c r="N98" s="38">
        <f t="shared" si="12"/>
        <v>0</v>
      </c>
      <c r="O98" s="38" t="e">
        <f t="shared" si="13"/>
        <v>#DIV/0!</v>
      </c>
      <c r="P98" s="39" t="s">
        <v>35</v>
      </c>
      <c r="Q98" s="39"/>
      <c r="R98" s="45"/>
      <c r="S98" s="45"/>
      <c r="T98" s="45"/>
      <c r="U98" s="45"/>
      <c r="V98" s="45"/>
      <c r="W98" s="46">
        <f t="shared" si="18"/>
        <v>0</v>
      </c>
      <c r="X98" s="46">
        <f t="shared" si="19"/>
        <v>0</v>
      </c>
      <c r="Y98" s="46"/>
      <c r="Z98" s="47"/>
      <c r="AA98" s="47"/>
    </row>
    <row r="99" spans="1:27" ht="15.75" x14ac:dyDescent="0.25">
      <c r="A99" s="31"/>
      <c r="B99" s="32"/>
      <c r="C99" s="32"/>
      <c r="D99" s="65">
        <f t="shared" si="10"/>
        <v>1</v>
      </c>
      <c r="E99" s="34">
        <f t="shared" si="14"/>
        <v>0</v>
      </c>
      <c r="F99" s="43"/>
      <c r="G99" s="36">
        <f t="shared" si="11"/>
        <v>0</v>
      </c>
      <c r="H99" s="44"/>
      <c r="I99" s="44"/>
      <c r="J99" s="44"/>
      <c r="K99" s="44"/>
      <c r="L99" s="44"/>
      <c r="M99" s="38">
        <f t="shared" si="15"/>
        <v>0</v>
      </c>
      <c r="N99" s="38">
        <f t="shared" si="12"/>
        <v>0</v>
      </c>
      <c r="O99" s="38" t="e">
        <f t="shared" si="13"/>
        <v>#DIV/0!</v>
      </c>
      <c r="P99" s="39" t="s">
        <v>38</v>
      </c>
      <c r="Q99" s="39"/>
      <c r="R99" s="45"/>
      <c r="S99" s="45"/>
      <c r="T99" s="45"/>
      <c r="U99" s="45"/>
      <c r="V99" s="45"/>
      <c r="W99" s="46">
        <f t="shared" si="18"/>
        <v>0</v>
      </c>
      <c r="X99" s="46">
        <f t="shared" si="19"/>
        <v>0</v>
      </c>
      <c r="Y99" s="46"/>
      <c r="Z99" s="47"/>
      <c r="AA99" s="47"/>
    </row>
    <row r="100" spans="1:27" ht="15.75" x14ac:dyDescent="0.25">
      <c r="A100" s="31"/>
      <c r="B100" s="32"/>
      <c r="C100" s="32"/>
      <c r="D100" s="65">
        <f t="shared" si="10"/>
        <v>1</v>
      </c>
      <c r="E100" s="34">
        <f t="shared" si="14"/>
        <v>0</v>
      </c>
      <c r="F100" s="43"/>
      <c r="G100" s="36">
        <f t="shared" si="11"/>
        <v>0</v>
      </c>
      <c r="H100" s="44"/>
      <c r="I100" s="44"/>
      <c r="J100" s="44"/>
      <c r="K100" s="44"/>
      <c r="L100" s="44"/>
      <c r="M100" s="44">
        <f>+(($H$6*H100)+($I$6*I100)+($J$6*J100)+($K$6*K100)+(13*L100))</f>
        <v>0</v>
      </c>
      <c r="N100" s="38">
        <f t="shared" si="12"/>
        <v>0</v>
      </c>
      <c r="O100" s="38" t="e">
        <f t="shared" si="13"/>
        <v>#DIV/0!</v>
      </c>
      <c r="P100" s="39" t="s">
        <v>42</v>
      </c>
      <c r="Q100" s="39"/>
      <c r="R100" s="45"/>
      <c r="S100" s="45"/>
      <c r="T100" s="45"/>
      <c r="U100" s="45"/>
      <c r="V100" s="45"/>
      <c r="W100" s="46">
        <f t="shared" si="18"/>
        <v>0</v>
      </c>
      <c r="X100" s="46">
        <f t="shared" si="19"/>
        <v>0</v>
      </c>
      <c r="Y100" s="46"/>
      <c r="Z100" s="47"/>
      <c r="AA100" s="47"/>
    </row>
    <row r="101" spans="1:27" ht="15.75" x14ac:dyDescent="0.25">
      <c r="A101" s="31"/>
      <c r="B101" s="32"/>
      <c r="C101" s="32"/>
      <c r="D101" s="65">
        <f t="shared" si="10"/>
        <v>1</v>
      </c>
      <c r="E101" s="34">
        <f t="shared" si="14"/>
        <v>0</v>
      </c>
      <c r="F101" s="43"/>
      <c r="G101" s="36">
        <f t="shared" si="11"/>
        <v>0</v>
      </c>
      <c r="H101" s="44"/>
      <c r="I101" s="44"/>
      <c r="J101" s="44"/>
      <c r="K101" s="44"/>
      <c r="L101" s="44"/>
      <c r="M101" s="38">
        <f>+(($H$6*H101)+($I$6*I101)+($J$6*J101)+($K$6*K101)+(13*L101))</f>
        <v>0</v>
      </c>
      <c r="N101" s="38">
        <f t="shared" si="12"/>
        <v>0</v>
      </c>
      <c r="O101" s="38" t="e">
        <f t="shared" si="13"/>
        <v>#DIV/0!</v>
      </c>
      <c r="P101" s="39" t="s">
        <v>41</v>
      </c>
      <c r="Q101" s="39"/>
      <c r="R101" s="45"/>
      <c r="S101" s="45"/>
      <c r="T101" s="45"/>
      <c r="U101" s="45"/>
      <c r="V101" s="45"/>
      <c r="W101" s="46">
        <f t="shared" si="18"/>
        <v>0</v>
      </c>
      <c r="X101" s="46">
        <f t="shared" si="19"/>
        <v>0</v>
      </c>
      <c r="Y101" s="46"/>
      <c r="Z101" s="47"/>
      <c r="AA101" s="47"/>
    </row>
    <row r="102" spans="1:27" ht="15.75" x14ac:dyDescent="0.25">
      <c r="A102" s="31"/>
      <c r="B102" s="32"/>
      <c r="C102" s="32"/>
      <c r="D102" s="65">
        <f t="shared" si="10"/>
        <v>1</v>
      </c>
      <c r="E102" s="34">
        <f t="shared" si="14"/>
        <v>0</v>
      </c>
      <c r="F102" s="43"/>
      <c r="G102" s="36">
        <f t="shared" si="11"/>
        <v>0</v>
      </c>
      <c r="H102" s="44"/>
      <c r="I102" s="44"/>
      <c r="J102" s="44"/>
      <c r="K102" s="44"/>
      <c r="L102" s="44"/>
      <c r="M102" s="38">
        <f t="shared" si="15"/>
        <v>0</v>
      </c>
      <c r="N102" s="38">
        <f t="shared" si="12"/>
        <v>0</v>
      </c>
      <c r="O102" s="38" t="e">
        <f t="shared" si="13"/>
        <v>#DIV/0!</v>
      </c>
      <c r="P102" s="39" t="s">
        <v>33</v>
      </c>
      <c r="Q102" s="39"/>
      <c r="R102" s="45"/>
      <c r="S102" s="45"/>
      <c r="T102" s="45"/>
      <c r="U102" s="45"/>
      <c r="V102" s="45"/>
      <c r="W102" s="46">
        <f t="shared" si="18"/>
        <v>0</v>
      </c>
      <c r="X102" s="46">
        <f t="shared" si="19"/>
        <v>0</v>
      </c>
      <c r="Y102" s="46"/>
      <c r="Z102" s="47"/>
      <c r="AA102" s="47"/>
    </row>
    <row r="103" spans="1:27" ht="15.75" x14ac:dyDescent="0.25">
      <c r="A103" s="31"/>
      <c r="B103" s="32"/>
      <c r="C103" s="32"/>
      <c r="D103" s="65">
        <f t="shared" si="10"/>
        <v>1</v>
      </c>
      <c r="E103" s="34">
        <f t="shared" si="14"/>
        <v>0</v>
      </c>
      <c r="F103" s="43"/>
      <c r="G103" s="36">
        <f t="shared" si="11"/>
        <v>0</v>
      </c>
      <c r="H103" s="44"/>
      <c r="I103" s="44"/>
      <c r="J103" s="44"/>
      <c r="K103" s="44"/>
      <c r="L103" s="44"/>
      <c r="M103" s="38">
        <f t="shared" si="15"/>
        <v>0</v>
      </c>
      <c r="N103" s="38">
        <f t="shared" si="12"/>
        <v>0</v>
      </c>
      <c r="O103" s="38" t="e">
        <f t="shared" si="13"/>
        <v>#DIV/0!</v>
      </c>
      <c r="P103" s="39" t="s">
        <v>38</v>
      </c>
      <c r="Q103" s="39"/>
      <c r="R103" s="45"/>
      <c r="S103" s="45"/>
      <c r="T103" s="45"/>
      <c r="U103" s="45"/>
      <c r="V103" s="45"/>
      <c r="W103" s="46">
        <f t="shared" si="18"/>
        <v>0</v>
      </c>
      <c r="X103" s="46">
        <f t="shared" si="19"/>
        <v>0</v>
      </c>
      <c r="Y103" s="46"/>
      <c r="Z103" s="47"/>
      <c r="AA103" s="47"/>
    </row>
    <row r="104" spans="1:27" ht="15.75" x14ac:dyDescent="0.25">
      <c r="A104" s="31" t="s">
        <v>47</v>
      </c>
      <c r="B104" s="32"/>
      <c r="C104" s="32"/>
      <c r="D104" s="65">
        <f t="shared" si="10"/>
        <v>1</v>
      </c>
      <c r="E104" s="34">
        <f t="shared" si="14"/>
        <v>0</v>
      </c>
      <c r="F104" s="43"/>
      <c r="G104" s="36">
        <f t="shared" si="11"/>
        <v>0</v>
      </c>
      <c r="H104" s="44"/>
      <c r="I104" s="44"/>
      <c r="J104" s="44"/>
      <c r="K104" s="44"/>
      <c r="L104" s="44"/>
      <c r="M104" s="38">
        <f t="shared" si="15"/>
        <v>0</v>
      </c>
      <c r="N104" s="38">
        <f t="shared" si="12"/>
        <v>0</v>
      </c>
      <c r="O104" s="38" t="e">
        <f t="shared" si="13"/>
        <v>#DIV/0!</v>
      </c>
      <c r="P104" s="39"/>
      <c r="Q104" s="39"/>
      <c r="R104" s="45"/>
      <c r="S104" s="45"/>
      <c r="T104" s="45"/>
      <c r="U104" s="45"/>
      <c r="V104" s="45"/>
      <c r="W104" s="46">
        <f t="shared" si="18"/>
        <v>0</v>
      </c>
      <c r="X104" s="46">
        <f t="shared" si="19"/>
        <v>0</v>
      </c>
      <c r="Y104" s="46"/>
      <c r="Z104" s="47"/>
      <c r="AA104" s="47"/>
    </row>
    <row r="105" spans="1:27" ht="15.75" x14ac:dyDescent="0.25">
      <c r="A105" s="31"/>
      <c r="B105" s="32"/>
      <c r="C105" s="32"/>
      <c r="D105" s="65">
        <f t="shared" si="10"/>
        <v>1</v>
      </c>
      <c r="E105" s="34">
        <f t="shared" si="14"/>
        <v>0</v>
      </c>
      <c r="F105" s="43"/>
      <c r="G105" s="36">
        <f t="shared" si="11"/>
        <v>0</v>
      </c>
      <c r="H105" s="44"/>
      <c r="I105" s="44"/>
      <c r="J105" s="44"/>
      <c r="K105" s="44"/>
      <c r="L105" s="44"/>
      <c r="M105" s="38">
        <f t="shared" si="15"/>
        <v>0</v>
      </c>
      <c r="N105" s="38">
        <f t="shared" si="12"/>
        <v>0</v>
      </c>
      <c r="O105" s="38" t="e">
        <f t="shared" si="13"/>
        <v>#DIV/0!</v>
      </c>
      <c r="P105" s="39"/>
      <c r="Q105" s="39"/>
      <c r="R105" s="45"/>
      <c r="S105" s="45"/>
      <c r="T105" s="45"/>
      <c r="U105" s="45"/>
      <c r="V105" s="45"/>
      <c r="W105" s="46">
        <f t="shared" si="18"/>
        <v>0</v>
      </c>
      <c r="X105" s="46">
        <f t="shared" si="19"/>
        <v>0</v>
      </c>
      <c r="Y105" s="46"/>
      <c r="Z105" s="47"/>
      <c r="AA105" s="47"/>
    </row>
    <row r="106" spans="1:27" ht="15.75" x14ac:dyDescent="0.25">
      <c r="A106" s="31"/>
      <c r="B106" s="32"/>
      <c r="C106" s="32"/>
      <c r="D106" s="65">
        <f t="shared" si="10"/>
        <v>1</v>
      </c>
      <c r="E106" s="34">
        <f t="shared" si="14"/>
        <v>0</v>
      </c>
      <c r="F106" s="43"/>
      <c r="G106" s="36">
        <f t="shared" si="11"/>
        <v>0</v>
      </c>
      <c r="H106" s="44"/>
      <c r="I106" s="44"/>
      <c r="J106" s="44"/>
      <c r="K106" s="44"/>
      <c r="L106" s="44"/>
      <c r="M106" s="38">
        <f t="shared" si="15"/>
        <v>0</v>
      </c>
      <c r="N106" s="38">
        <f t="shared" si="12"/>
        <v>0</v>
      </c>
      <c r="O106" s="38" t="e">
        <f t="shared" si="13"/>
        <v>#DIV/0!</v>
      </c>
      <c r="P106" s="39"/>
      <c r="Q106" s="39"/>
      <c r="R106" s="45"/>
      <c r="S106" s="45"/>
      <c r="T106" s="45"/>
      <c r="U106" s="45"/>
      <c r="V106" s="45"/>
      <c r="W106" s="46">
        <f t="shared" si="18"/>
        <v>0</v>
      </c>
      <c r="X106" s="46">
        <f t="shared" si="19"/>
        <v>0</v>
      </c>
      <c r="Y106" s="46"/>
      <c r="Z106" s="47"/>
      <c r="AA106" s="47"/>
    </row>
    <row r="107" spans="1:27" ht="15.75" x14ac:dyDescent="0.25">
      <c r="A107" s="31"/>
      <c r="B107" s="32"/>
      <c r="C107" s="32"/>
      <c r="D107" s="65">
        <f t="shared" si="10"/>
        <v>1</v>
      </c>
      <c r="E107" s="34">
        <f t="shared" si="14"/>
        <v>0</v>
      </c>
      <c r="F107" s="43"/>
      <c r="G107" s="36">
        <f t="shared" si="11"/>
        <v>0</v>
      </c>
      <c r="H107" s="44"/>
      <c r="I107" s="44"/>
      <c r="J107" s="44"/>
      <c r="K107" s="44"/>
      <c r="L107" s="44"/>
      <c r="M107" s="38">
        <f t="shared" si="15"/>
        <v>0</v>
      </c>
      <c r="N107" s="38">
        <f t="shared" si="12"/>
        <v>0</v>
      </c>
      <c r="O107" s="38" t="e">
        <f t="shared" si="13"/>
        <v>#DIV/0!</v>
      </c>
      <c r="P107" s="39"/>
      <c r="Q107" s="39"/>
      <c r="R107" s="45"/>
      <c r="S107" s="45"/>
      <c r="T107" s="45"/>
      <c r="U107" s="45"/>
      <c r="V107" s="45"/>
      <c r="W107" s="46">
        <f t="shared" si="18"/>
        <v>0</v>
      </c>
      <c r="X107" s="46">
        <f t="shared" si="19"/>
        <v>0</v>
      </c>
      <c r="Y107" s="46"/>
      <c r="Z107" s="47"/>
      <c r="AA107" s="47"/>
    </row>
    <row r="108" spans="1:27" ht="15.75" x14ac:dyDescent="0.25">
      <c r="A108" s="31"/>
      <c r="B108" s="32"/>
      <c r="C108" s="32"/>
      <c r="D108" s="65">
        <f t="shared" si="10"/>
        <v>1</v>
      </c>
      <c r="E108" s="34">
        <f t="shared" si="14"/>
        <v>0</v>
      </c>
      <c r="F108" s="43"/>
      <c r="G108" s="36">
        <f t="shared" si="11"/>
        <v>0</v>
      </c>
      <c r="H108" s="44"/>
      <c r="I108" s="44"/>
      <c r="J108" s="44"/>
      <c r="K108" s="44"/>
      <c r="L108" s="44"/>
      <c r="M108" s="38">
        <f t="shared" si="15"/>
        <v>0</v>
      </c>
      <c r="N108" s="38">
        <f t="shared" si="12"/>
        <v>0</v>
      </c>
      <c r="O108" s="38" t="e">
        <f t="shared" si="13"/>
        <v>#DIV/0!</v>
      </c>
      <c r="P108" s="39"/>
      <c r="Q108" s="39"/>
      <c r="R108" s="45"/>
      <c r="S108" s="45"/>
      <c r="T108" s="45"/>
      <c r="U108" s="45"/>
      <c r="V108" s="45"/>
      <c r="W108" s="46">
        <f t="shared" si="18"/>
        <v>0</v>
      </c>
      <c r="X108" s="46">
        <f t="shared" si="19"/>
        <v>0</v>
      </c>
      <c r="Y108" s="46"/>
      <c r="Z108" s="47"/>
      <c r="AA108" s="47"/>
    </row>
    <row r="109" spans="1:27" ht="15.75" x14ac:dyDescent="0.25">
      <c r="A109" s="31"/>
      <c r="B109" s="32"/>
      <c r="C109" s="32"/>
      <c r="D109" s="65">
        <f t="shared" si="10"/>
        <v>1</v>
      </c>
      <c r="E109" s="34">
        <f t="shared" si="14"/>
        <v>0</v>
      </c>
      <c r="F109" s="43"/>
      <c r="G109" s="36">
        <f t="shared" si="11"/>
        <v>0</v>
      </c>
      <c r="H109" s="44"/>
      <c r="I109" s="44"/>
      <c r="J109" s="44"/>
      <c r="K109" s="44"/>
      <c r="L109" s="44"/>
      <c r="M109" s="44">
        <f>+(($H$6*H109)+($I$6*I109)+($J$6*J109)+($K$6*K109)+(13*L109))</f>
        <v>0</v>
      </c>
      <c r="N109" s="38">
        <f t="shared" si="12"/>
        <v>0</v>
      </c>
      <c r="O109" s="38" t="e">
        <f t="shared" si="13"/>
        <v>#DIV/0!</v>
      </c>
      <c r="P109" s="61"/>
      <c r="Q109" s="39"/>
      <c r="R109" s="45"/>
      <c r="S109" s="45"/>
      <c r="T109" s="45"/>
      <c r="U109" s="45"/>
      <c r="V109" s="45"/>
      <c r="W109" s="46">
        <f t="shared" si="18"/>
        <v>0</v>
      </c>
      <c r="X109" s="46">
        <f t="shared" si="19"/>
        <v>0</v>
      </c>
      <c r="Y109" s="46"/>
      <c r="Z109" s="47"/>
      <c r="AA109" s="47"/>
    </row>
    <row r="110" spans="1:27" ht="15.75" x14ac:dyDescent="0.25">
      <c r="A110" s="31"/>
      <c r="B110" s="32"/>
      <c r="C110" s="32"/>
      <c r="D110" s="65">
        <f t="shared" si="10"/>
        <v>1</v>
      </c>
      <c r="E110" s="34"/>
      <c r="F110" s="43"/>
      <c r="G110" s="36">
        <f t="shared" si="11"/>
        <v>0</v>
      </c>
      <c r="H110" s="44"/>
      <c r="I110" s="44"/>
      <c r="J110" s="44"/>
      <c r="K110" s="44"/>
      <c r="L110" s="44"/>
      <c r="M110" s="38">
        <f t="shared" si="15"/>
        <v>0</v>
      </c>
      <c r="N110" s="38">
        <f t="shared" si="12"/>
        <v>0</v>
      </c>
      <c r="O110" s="67" t="e">
        <f t="shared" si="13"/>
        <v>#DIV/0!</v>
      </c>
      <c r="P110" s="39"/>
      <c r="Q110" s="39"/>
      <c r="R110" s="45"/>
      <c r="S110" s="45"/>
      <c r="T110" s="45"/>
      <c r="U110" s="45"/>
      <c r="V110" s="45"/>
      <c r="W110" s="46">
        <f t="shared" si="18"/>
        <v>0</v>
      </c>
      <c r="X110" s="46">
        <f t="shared" si="19"/>
        <v>0</v>
      </c>
      <c r="Y110" s="46"/>
      <c r="Z110" s="47"/>
      <c r="AA110" s="47"/>
    </row>
    <row r="111" spans="1:27" ht="15.75" x14ac:dyDescent="0.25">
      <c r="A111" s="31"/>
      <c r="B111" s="32"/>
      <c r="C111" s="32"/>
      <c r="D111" s="65">
        <f t="shared" si="10"/>
        <v>1</v>
      </c>
      <c r="E111" s="34">
        <f t="shared" si="14"/>
        <v>0</v>
      </c>
      <c r="F111" s="43"/>
      <c r="G111" s="36">
        <f t="shared" si="11"/>
        <v>0</v>
      </c>
      <c r="H111" s="44"/>
      <c r="I111" s="44"/>
      <c r="J111" s="44"/>
      <c r="K111" s="44"/>
      <c r="L111" s="44"/>
      <c r="M111" s="38">
        <f t="shared" si="15"/>
        <v>0</v>
      </c>
      <c r="N111" s="38">
        <f t="shared" si="12"/>
        <v>0</v>
      </c>
      <c r="O111" s="38" t="e">
        <f t="shared" si="13"/>
        <v>#DIV/0!</v>
      </c>
      <c r="P111" s="39"/>
      <c r="Q111" s="39"/>
      <c r="R111" s="45"/>
      <c r="S111" s="45"/>
      <c r="T111" s="45"/>
      <c r="U111" s="45"/>
      <c r="V111" s="45"/>
      <c r="W111" s="46">
        <f t="shared" si="18"/>
        <v>0</v>
      </c>
      <c r="X111" s="46">
        <f t="shared" si="19"/>
        <v>0</v>
      </c>
      <c r="Y111" s="46"/>
      <c r="Z111" s="47"/>
      <c r="AA111" s="47"/>
    </row>
    <row r="112" spans="1:27" ht="15.75" x14ac:dyDescent="0.25">
      <c r="A112" s="31"/>
      <c r="B112" s="32"/>
      <c r="C112" s="32"/>
      <c r="D112" s="65">
        <f t="shared" si="10"/>
        <v>1</v>
      </c>
      <c r="E112" s="34">
        <f t="shared" si="14"/>
        <v>0</v>
      </c>
      <c r="F112" s="43"/>
      <c r="G112" s="36">
        <f t="shared" si="11"/>
        <v>0</v>
      </c>
      <c r="H112" s="44"/>
      <c r="I112" s="44"/>
      <c r="J112" s="44"/>
      <c r="K112" s="44"/>
      <c r="L112" s="44"/>
      <c r="M112" s="38">
        <f t="shared" si="15"/>
        <v>0</v>
      </c>
      <c r="N112" s="38">
        <f t="shared" si="12"/>
        <v>0</v>
      </c>
      <c r="O112" s="38" t="e">
        <f t="shared" si="13"/>
        <v>#DIV/0!</v>
      </c>
      <c r="P112" s="39"/>
      <c r="Q112" s="39"/>
      <c r="R112" s="45"/>
      <c r="S112" s="45"/>
      <c r="T112" s="45"/>
      <c r="U112" s="45"/>
      <c r="V112" s="45"/>
      <c r="W112" s="46">
        <f t="shared" si="18"/>
        <v>0</v>
      </c>
      <c r="X112" s="46">
        <f t="shared" si="19"/>
        <v>0</v>
      </c>
      <c r="Y112" s="46"/>
      <c r="Z112" s="47"/>
      <c r="AA112" s="47"/>
    </row>
    <row r="113" spans="1:27" ht="15.75" x14ac:dyDescent="0.25">
      <c r="A113" s="31"/>
      <c r="B113" s="32"/>
      <c r="C113" s="32"/>
      <c r="D113" s="65">
        <f t="shared" si="10"/>
        <v>1</v>
      </c>
      <c r="E113" s="34">
        <f t="shared" si="14"/>
        <v>0</v>
      </c>
      <c r="F113" s="43"/>
      <c r="G113" s="36">
        <f t="shared" si="11"/>
        <v>0</v>
      </c>
      <c r="H113" s="44"/>
      <c r="I113" s="44"/>
      <c r="J113" s="44"/>
      <c r="K113" s="44"/>
      <c r="L113" s="44"/>
      <c r="M113" s="44">
        <f>+(($H$6*H113)+($I$6*I113)+($J$6*J113)+($K$6*K113)+(13*L113))</f>
        <v>0</v>
      </c>
      <c r="N113" s="38">
        <f t="shared" si="12"/>
        <v>0</v>
      </c>
      <c r="O113" s="38" t="e">
        <f t="shared" si="13"/>
        <v>#DIV/0!</v>
      </c>
      <c r="P113" s="39"/>
      <c r="Q113" s="39"/>
      <c r="R113" s="45"/>
      <c r="S113" s="45"/>
      <c r="T113" s="45"/>
      <c r="U113" s="45"/>
      <c r="V113" s="45"/>
      <c r="W113" s="46">
        <f t="shared" si="18"/>
        <v>0</v>
      </c>
      <c r="X113" s="46">
        <f t="shared" si="19"/>
        <v>0</v>
      </c>
      <c r="Y113" s="46"/>
      <c r="Z113" s="47"/>
      <c r="AA113" s="47"/>
    </row>
    <row r="114" spans="1:27" ht="15.75" x14ac:dyDescent="0.25">
      <c r="A114" s="31"/>
      <c r="B114" s="32"/>
      <c r="C114" s="32"/>
      <c r="D114" s="65">
        <f t="shared" si="10"/>
        <v>1</v>
      </c>
      <c r="E114" s="34">
        <f t="shared" si="14"/>
        <v>0</v>
      </c>
      <c r="F114" s="43"/>
      <c r="G114" s="36">
        <f t="shared" si="11"/>
        <v>0</v>
      </c>
      <c r="H114" s="44"/>
      <c r="I114" s="44"/>
      <c r="J114" s="44"/>
      <c r="K114" s="44"/>
      <c r="L114" s="44"/>
      <c r="M114" s="44">
        <f>+(($H$6*H114)+($I$6*I114)+($J$6*J114)+($K$6*K114)+(13*L114))</f>
        <v>0</v>
      </c>
      <c r="N114" s="38">
        <f t="shared" si="12"/>
        <v>0</v>
      </c>
      <c r="O114" s="38" t="e">
        <f t="shared" si="13"/>
        <v>#DIV/0!</v>
      </c>
      <c r="P114" s="39"/>
      <c r="Q114" s="39"/>
      <c r="R114" s="45"/>
      <c r="S114" s="45"/>
      <c r="T114" s="45"/>
      <c r="U114" s="45"/>
      <c r="V114" s="45"/>
      <c r="W114" s="46">
        <f t="shared" si="18"/>
        <v>0</v>
      </c>
      <c r="X114" s="46">
        <f t="shared" si="19"/>
        <v>0</v>
      </c>
      <c r="Y114" s="46"/>
      <c r="Z114" s="47"/>
      <c r="AA114" s="47"/>
    </row>
    <row r="115" spans="1:27" ht="15.75" x14ac:dyDescent="0.25">
      <c r="A115" s="31"/>
      <c r="B115" s="32"/>
      <c r="C115" s="32"/>
      <c r="D115" s="65">
        <f t="shared" si="10"/>
        <v>1</v>
      </c>
      <c r="E115" s="34">
        <f t="shared" si="14"/>
        <v>0</v>
      </c>
      <c r="F115" s="43"/>
      <c r="G115" s="36">
        <f t="shared" si="11"/>
        <v>0</v>
      </c>
      <c r="H115" s="44"/>
      <c r="I115" s="44"/>
      <c r="J115" s="44"/>
      <c r="K115" s="44"/>
      <c r="L115" s="44"/>
      <c r="M115" s="38">
        <f t="shared" si="15"/>
        <v>0</v>
      </c>
      <c r="N115" s="38">
        <f t="shared" si="12"/>
        <v>0</v>
      </c>
      <c r="O115" s="38" t="e">
        <f t="shared" si="13"/>
        <v>#DIV/0!</v>
      </c>
      <c r="P115" s="39"/>
      <c r="Q115" s="39"/>
      <c r="R115" s="45"/>
      <c r="S115" s="45"/>
      <c r="T115" s="45"/>
      <c r="U115" s="45"/>
      <c r="V115" s="45"/>
      <c r="W115" s="46">
        <f t="shared" si="18"/>
        <v>0</v>
      </c>
      <c r="X115" s="46">
        <f t="shared" si="19"/>
        <v>0</v>
      </c>
      <c r="Y115" s="46"/>
      <c r="Z115" s="47"/>
      <c r="AA115" s="47"/>
    </row>
    <row r="116" spans="1:27" ht="15.75" x14ac:dyDescent="0.25">
      <c r="A116" s="31"/>
      <c r="B116" s="32"/>
      <c r="C116" s="32"/>
      <c r="D116" s="65">
        <f t="shared" si="10"/>
        <v>1</v>
      </c>
      <c r="E116" s="34">
        <f t="shared" si="14"/>
        <v>0</v>
      </c>
      <c r="F116" s="43"/>
      <c r="G116" s="36">
        <f t="shared" si="11"/>
        <v>0</v>
      </c>
      <c r="H116" s="44"/>
      <c r="I116" s="44"/>
      <c r="J116" s="44"/>
      <c r="K116" s="44"/>
      <c r="L116" s="44"/>
      <c r="M116" s="38">
        <f t="shared" si="15"/>
        <v>0</v>
      </c>
      <c r="N116" s="38">
        <f t="shared" si="12"/>
        <v>0</v>
      </c>
      <c r="O116" s="38" t="e">
        <f t="shared" si="13"/>
        <v>#DIV/0!</v>
      </c>
      <c r="P116" s="39"/>
      <c r="Q116" s="39"/>
      <c r="R116" s="45"/>
      <c r="S116" s="45"/>
      <c r="T116" s="45"/>
      <c r="U116" s="45"/>
      <c r="V116" s="45"/>
      <c r="W116" s="46">
        <f t="shared" si="18"/>
        <v>0</v>
      </c>
      <c r="X116" s="46">
        <f t="shared" si="19"/>
        <v>0</v>
      </c>
      <c r="Y116" s="46"/>
      <c r="Z116" s="47"/>
      <c r="AA116" s="47"/>
    </row>
    <row r="117" spans="1:27" ht="15.75" x14ac:dyDescent="0.25">
      <c r="A117" s="31"/>
      <c r="B117" s="32"/>
      <c r="C117" s="32"/>
      <c r="D117" s="65">
        <f t="shared" si="10"/>
        <v>1</v>
      </c>
      <c r="E117" s="34">
        <f t="shared" si="14"/>
        <v>0</v>
      </c>
      <c r="F117" s="43"/>
      <c r="G117" s="36">
        <f t="shared" si="11"/>
        <v>0</v>
      </c>
      <c r="H117" s="44"/>
      <c r="I117" s="44"/>
      <c r="J117" s="44"/>
      <c r="K117" s="44"/>
      <c r="L117" s="44"/>
      <c r="M117" s="38">
        <f t="shared" si="15"/>
        <v>0</v>
      </c>
      <c r="N117" s="38">
        <f t="shared" si="12"/>
        <v>0</v>
      </c>
      <c r="O117" s="38" t="e">
        <f t="shared" si="13"/>
        <v>#DIV/0!</v>
      </c>
      <c r="P117" s="39"/>
      <c r="Q117" s="39"/>
      <c r="R117" s="45"/>
      <c r="S117" s="45"/>
      <c r="T117" s="45"/>
      <c r="U117" s="45"/>
      <c r="V117" s="45"/>
      <c r="W117" s="46">
        <f t="shared" si="18"/>
        <v>0</v>
      </c>
      <c r="X117" s="46">
        <f t="shared" si="19"/>
        <v>0</v>
      </c>
      <c r="Y117" s="46"/>
      <c r="Z117" s="47"/>
      <c r="AA117" s="47"/>
    </row>
    <row r="118" spans="1:27" ht="15.75" x14ac:dyDescent="0.25">
      <c r="A118" s="31"/>
      <c r="B118" s="59"/>
      <c r="C118" s="59"/>
      <c r="D118" s="65">
        <f t="shared" si="10"/>
        <v>1</v>
      </c>
      <c r="E118" s="34">
        <f t="shared" si="14"/>
        <v>0</v>
      </c>
      <c r="F118" s="68"/>
      <c r="G118" s="36">
        <f t="shared" si="11"/>
        <v>0</v>
      </c>
      <c r="H118" s="44"/>
      <c r="I118" s="44"/>
      <c r="J118" s="44"/>
      <c r="K118" s="44"/>
      <c r="L118" s="44"/>
      <c r="M118" s="38">
        <f t="shared" si="15"/>
        <v>0</v>
      </c>
      <c r="N118" s="38">
        <f t="shared" si="12"/>
        <v>0</v>
      </c>
      <c r="O118" s="38" t="e">
        <f t="shared" si="13"/>
        <v>#DIV/0!</v>
      </c>
      <c r="P118" s="39"/>
      <c r="Q118" s="39"/>
      <c r="R118" s="45"/>
      <c r="S118" s="45"/>
      <c r="T118" s="45"/>
      <c r="U118" s="45"/>
      <c r="V118" s="45"/>
      <c r="W118" s="46">
        <f t="shared" si="18"/>
        <v>0</v>
      </c>
      <c r="X118" s="46">
        <f t="shared" si="19"/>
        <v>0</v>
      </c>
      <c r="Y118" s="46"/>
      <c r="Z118" s="47"/>
      <c r="AA118" s="47"/>
    </row>
    <row r="119" spans="1:27" ht="15.75" x14ac:dyDescent="0.25">
      <c r="A119" s="31"/>
      <c r="B119" s="32"/>
      <c r="C119" s="32"/>
      <c r="D119" s="65">
        <f t="shared" si="10"/>
        <v>1</v>
      </c>
      <c r="E119" s="34">
        <f t="shared" si="14"/>
        <v>0</v>
      </c>
      <c r="F119" s="68"/>
      <c r="G119" s="36">
        <f t="shared" si="11"/>
        <v>0</v>
      </c>
      <c r="H119" s="44"/>
      <c r="I119" s="44"/>
      <c r="J119" s="44"/>
      <c r="K119" s="44"/>
      <c r="L119" s="44"/>
      <c r="M119" s="38">
        <f t="shared" si="15"/>
        <v>0</v>
      </c>
      <c r="N119" s="38">
        <f t="shared" si="12"/>
        <v>0</v>
      </c>
      <c r="O119" s="38" t="e">
        <f t="shared" si="13"/>
        <v>#DIV/0!</v>
      </c>
      <c r="P119" s="39"/>
      <c r="Q119" s="39"/>
      <c r="R119" s="45"/>
      <c r="S119" s="45"/>
      <c r="T119" s="45"/>
      <c r="U119" s="45"/>
      <c r="V119" s="45"/>
      <c r="W119" s="46">
        <f t="shared" si="18"/>
        <v>0</v>
      </c>
      <c r="X119" s="46">
        <f t="shared" si="19"/>
        <v>0</v>
      </c>
      <c r="Y119" s="46"/>
      <c r="Z119" s="47"/>
      <c r="AA119" s="47"/>
    </row>
    <row r="120" spans="1:27" ht="15.75" x14ac:dyDescent="0.25">
      <c r="A120" s="69"/>
      <c r="B120" s="70"/>
      <c r="C120" s="70"/>
      <c r="D120" s="65">
        <f t="shared" si="10"/>
        <v>1</v>
      </c>
      <c r="E120" s="34">
        <f t="shared" si="14"/>
        <v>0</v>
      </c>
      <c r="F120" s="68"/>
      <c r="G120" s="36">
        <f t="shared" si="11"/>
        <v>0</v>
      </c>
      <c r="H120" s="44"/>
      <c r="I120" s="44"/>
      <c r="J120" s="44"/>
      <c r="K120" s="44"/>
      <c r="L120" s="44"/>
      <c r="M120" s="38">
        <f t="shared" si="15"/>
        <v>0</v>
      </c>
      <c r="N120" s="38">
        <f t="shared" si="12"/>
        <v>0</v>
      </c>
      <c r="O120" s="38" t="e">
        <f t="shared" si="13"/>
        <v>#DIV/0!</v>
      </c>
      <c r="P120" s="39"/>
      <c r="Q120" s="39"/>
      <c r="R120" s="45"/>
      <c r="S120" s="45"/>
      <c r="T120" s="45"/>
      <c r="U120" s="45"/>
      <c r="V120" s="45"/>
      <c r="W120" s="46">
        <f t="shared" si="18"/>
        <v>0</v>
      </c>
      <c r="X120" s="46">
        <f t="shared" si="19"/>
        <v>0</v>
      </c>
      <c r="Y120" s="46"/>
      <c r="Z120" s="47"/>
      <c r="AA120" s="47"/>
    </row>
    <row r="121" spans="1:27" ht="15.75" x14ac:dyDescent="0.25">
      <c r="A121" s="69"/>
      <c r="B121" s="70"/>
      <c r="C121" s="70"/>
      <c r="D121" s="65">
        <f t="shared" si="10"/>
        <v>1</v>
      </c>
      <c r="E121" s="34">
        <f t="shared" si="14"/>
        <v>0</v>
      </c>
      <c r="F121" s="68"/>
      <c r="G121" s="36">
        <f t="shared" si="11"/>
        <v>0</v>
      </c>
      <c r="H121" s="44"/>
      <c r="I121" s="44"/>
      <c r="J121" s="44"/>
      <c r="K121" s="44"/>
      <c r="L121" s="44"/>
      <c r="M121" s="38">
        <f t="shared" si="15"/>
        <v>0</v>
      </c>
      <c r="N121" s="38">
        <f t="shared" si="12"/>
        <v>0</v>
      </c>
      <c r="O121" s="38" t="e">
        <f t="shared" si="13"/>
        <v>#DIV/0!</v>
      </c>
      <c r="P121" s="39"/>
      <c r="Q121" s="39"/>
      <c r="R121" s="45"/>
      <c r="S121" s="45"/>
      <c r="T121" s="45"/>
      <c r="U121" s="45"/>
      <c r="V121" s="45"/>
      <c r="W121" s="46">
        <f t="shared" si="18"/>
        <v>0</v>
      </c>
      <c r="X121" s="46">
        <f t="shared" si="19"/>
        <v>0</v>
      </c>
      <c r="Y121" s="46"/>
      <c r="Z121" s="47"/>
      <c r="AA121" s="47"/>
    </row>
    <row r="122" spans="1:27" ht="15.75" x14ac:dyDescent="0.25">
      <c r="A122" s="69"/>
      <c r="B122" s="70"/>
      <c r="C122" s="70"/>
      <c r="D122" s="65">
        <f t="shared" si="10"/>
        <v>1</v>
      </c>
      <c r="E122" s="34">
        <f t="shared" si="14"/>
        <v>0</v>
      </c>
      <c r="F122" s="68"/>
      <c r="G122" s="36">
        <f t="shared" si="11"/>
        <v>0</v>
      </c>
      <c r="H122" s="44"/>
      <c r="I122" s="44"/>
      <c r="J122" s="44"/>
      <c r="K122" s="44"/>
      <c r="L122" s="44"/>
      <c r="M122" s="38">
        <f t="shared" si="15"/>
        <v>0</v>
      </c>
      <c r="N122" s="38">
        <f t="shared" si="12"/>
        <v>0</v>
      </c>
      <c r="O122" s="38" t="e">
        <f t="shared" si="13"/>
        <v>#DIV/0!</v>
      </c>
      <c r="P122" s="39"/>
      <c r="Q122" s="39"/>
      <c r="R122" s="45"/>
      <c r="S122" s="45"/>
      <c r="T122" s="45"/>
      <c r="U122" s="45"/>
      <c r="V122" s="45"/>
      <c r="W122" s="46">
        <f t="shared" si="18"/>
        <v>0</v>
      </c>
      <c r="X122" s="46">
        <f t="shared" si="19"/>
        <v>0</v>
      </c>
      <c r="Y122" s="46"/>
      <c r="Z122" s="47"/>
      <c r="AA122" s="47"/>
    </row>
    <row r="123" spans="1:27" ht="15.75" x14ac:dyDescent="0.25">
      <c r="A123" s="69"/>
      <c r="B123" s="70"/>
      <c r="C123" s="70"/>
      <c r="D123" s="65">
        <f t="shared" si="10"/>
        <v>1</v>
      </c>
      <c r="E123" s="71"/>
      <c r="F123" s="68"/>
      <c r="G123" s="36">
        <f t="shared" si="11"/>
        <v>0</v>
      </c>
      <c r="H123" s="44"/>
      <c r="I123" s="44"/>
      <c r="J123" s="44"/>
      <c r="K123" s="44"/>
      <c r="L123" s="44"/>
      <c r="M123" s="38">
        <f t="shared" si="15"/>
        <v>0</v>
      </c>
      <c r="N123" s="38">
        <f t="shared" si="12"/>
        <v>0</v>
      </c>
      <c r="O123" s="38" t="e">
        <f t="shared" si="13"/>
        <v>#DIV/0!</v>
      </c>
      <c r="P123" s="39"/>
      <c r="Q123" s="39"/>
      <c r="R123" s="45"/>
      <c r="S123" s="45"/>
      <c r="T123" s="45"/>
      <c r="U123" s="45"/>
      <c r="V123" s="45"/>
      <c r="W123" s="46">
        <f t="shared" si="18"/>
        <v>0</v>
      </c>
      <c r="X123" s="46">
        <f t="shared" si="19"/>
        <v>0</v>
      </c>
      <c r="Y123" s="46"/>
      <c r="Z123" s="47"/>
      <c r="AA123" s="47"/>
    </row>
    <row r="124" spans="1:27" ht="15.75" x14ac:dyDescent="0.25">
      <c r="A124" s="69"/>
      <c r="B124" s="70"/>
      <c r="C124" s="70"/>
      <c r="D124" s="65">
        <f t="shared" si="10"/>
        <v>1</v>
      </c>
      <c r="E124" s="71"/>
      <c r="F124" s="68"/>
      <c r="G124" s="36">
        <f t="shared" si="11"/>
        <v>0</v>
      </c>
      <c r="H124" s="44"/>
      <c r="I124" s="44"/>
      <c r="J124" s="44"/>
      <c r="K124" s="44"/>
      <c r="L124" s="44"/>
      <c r="M124" s="38">
        <f t="shared" si="15"/>
        <v>0</v>
      </c>
      <c r="N124" s="38">
        <f t="shared" si="12"/>
        <v>0</v>
      </c>
      <c r="O124" s="38" t="e">
        <f t="shared" si="13"/>
        <v>#DIV/0!</v>
      </c>
      <c r="P124" s="39"/>
      <c r="Q124" s="39"/>
      <c r="R124" s="45"/>
      <c r="S124" s="45"/>
      <c r="T124" s="45"/>
      <c r="U124" s="45"/>
      <c r="V124" s="45"/>
      <c r="W124" s="46">
        <f t="shared" si="18"/>
        <v>0</v>
      </c>
      <c r="X124" s="46">
        <f t="shared" si="19"/>
        <v>0</v>
      </c>
      <c r="Y124" s="46"/>
      <c r="Z124" s="47"/>
      <c r="AA124" s="47"/>
    </row>
    <row r="125" spans="1:27" ht="15.75" x14ac:dyDescent="0.25">
      <c r="A125" s="69"/>
      <c r="B125" s="70"/>
      <c r="C125" s="70"/>
      <c r="D125" s="65">
        <f t="shared" si="10"/>
        <v>1</v>
      </c>
      <c r="E125" s="71">
        <f t="shared" ref="E125:E131" si="20">F124</f>
        <v>0</v>
      </c>
      <c r="F125" s="68"/>
      <c r="G125" s="36">
        <f t="shared" si="11"/>
        <v>0</v>
      </c>
      <c r="H125" s="44"/>
      <c r="I125" s="44"/>
      <c r="J125" s="44"/>
      <c r="K125" s="44"/>
      <c r="L125" s="44"/>
      <c r="M125" s="38">
        <f t="shared" si="15"/>
        <v>0</v>
      </c>
      <c r="N125" s="38">
        <f t="shared" si="12"/>
        <v>0</v>
      </c>
      <c r="O125" s="38" t="e">
        <f t="shared" si="13"/>
        <v>#DIV/0!</v>
      </c>
      <c r="P125" s="39"/>
      <c r="Q125" s="39"/>
      <c r="R125" s="45"/>
      <c r="S125" s="45"/>
      <c r="T125" s="45"/>
      <c r="U125" s="45"/>
      <c r="V125" s="45"/>
      <c r="W125" s="46">
        <f t="shared" si="18"/>
        <v>0</v>
      </c>
      <c r="X125" s="46">
        <f t="shared" si="19"/>
        <v>0</v>
      </c>
      <c r="Y125" s="46"/>
      <c r="Z125" s="47"/>
      <c r="AA125" s="47"/>
    </row>
    <row r="126" spans="1:27" ht="15.75" x14ac:dyDescent="0.25">
      <c r="A126" s="69"/>
      <c r="B126" s="70"/>
      <c r="C126" s="70"/>
      <c r="D126" s="65">
        <f t="shared" si="10"/>
        <v>1</v>
      </c>
      <c r="E126" s="71">
        <f t="shared" si="20"/>
        <v>0</v>
      </c>
      <c r="F126" s="68"/>
      <c r="G126" s="36">
        <f t="shared" si="11"/>
        <v>0</v>
      </c>
      <c r="H126" s="44"/>
      <c r="I126" s="44"/>
      <c r="J126" s="44"/>
      <c r="K126" s="44"/>
      <c r="L126" s="44"/>
      <c r="M126" s="38">
        <f t="shared" si="15"/>
        <v>0</v>
      </c>
      <c r="N126" s="38">
        <f t="shared" si="12"/>
        <v>0</v>
      </c>
      <c r="O126" s="38" t="e">
        <f t="shared" si="13"/>
        <v>#DIV/0!</v>
      </c>
      <c r="P126" s="39"/>
      <c r="Q126" s="39"/>
      <c r="R126" s="45"/>
      <c r="S126" s="45"/>
      <c r="T126" s="45"/>
      <c r="U126" s="45"/>
      <c r="V126" s="45"/>
      <c r="W126" s="46">
        <f t="shared" si="18"/>
        <v>0</v>
      </c>
      <c r="X126" s="46">
        <f t="shared" si="19"/>
        <v>0</v>
      </c>
      <c r="Y126" s="46"/>
      <c r="Z126" s="47"/>
      <c r="AA126" s="47"/>
    </row>
    <row r="127" spans="1:27" ht="15.75" x14ac:dyDescent="0.25">
      <c r="A127" s="69"/>
      <c r="B127" s="70"/>
      <c r="C127" s="70"/>
      <c r="D127" s="65">
        <f t="shared" si="10"/>
        <v>1</v>
      </c>
      <c r="E127" s="71">
        <f t="shared" si="20"/>
        <v>0</v>
      </c>
      <c r="F127" s="68"/>
      <c r="G127" s="36">
        <f t="shared" si="11"/>
        <v>0</v>
      </c>
      <c r="H127" s="44"/>
      <c r="I127" s="44"/>
      <c r="J127" s="44"/>
      <c r="K127" s="44"/>
      <c r="L127" s="44"/>
      <c r="M127" s="38">
        <f t="shared" si="15"/>
        <v>0</v>
      </c>
      <c r="N127" s="38">
        <f t="shared" si="12"/>
        <v>0</v>
      </c>
      <c r="O127" s="38" t="e">
        <f t="shared" si="13"/>
        <v>#DIV/0!</v>
      </c>
      <c r="P127" s="72"/>
      <c r="Q127" s="39"/>
      <c r="R127" s="45"/>
      <c r="S127" s="45"/>
      <c r="T127" s="45"/>
      <c r="U127" s="45"/>
      <c r="V127" s="45"/>
      <c r="W127" s="46">
        <f t="shared" si="18"/>
        <v>0</v>
      </c>
      <c r="X127" s="46">
        <f t="shared" si="19"/>
        <v>0</v>
      </c>
      <c r="Y127" s="46"/>
      <c r="Z127" s="47"/>
      <c r="AA127" s="47"/>
    </row>
    <row r="128" spans="1:27" ht="15.75" x14ac:dyDescent="0.25">
      <c r="A128" s="69"/>
      <c r="B128" s="70"/>
      <c r="C128" s="70"/>
      <c r="D128" s="65">
        <f t="shared" si="10"/>
        <v>1</v>
      </c>
      <c r="E128" s="71">
        <f t="shared" si="20"/>
        <v>0</v>
      </c>
      <c r="F128" s="68"/>
      <c r="G128" s="36">
        <f t="shared" si="11"/>
        <v>0</v>
      </c>
      <c r="H128" s="44"/>
      <c r="I128" s="44"/>
      <c r="J128" s="44"/>
      <c r="K128" s="44"/>
      <c r="L128" s="44"/>
      <c r="M128" s="38">
        <f t="shared" si="15"/>
        <v>0</v>
      </c>
      <c r="N128" s="38">
        <f t="shared" si="12"/>
        <v>0</v>
      </c>
      <c r="O128" s="38" t="e">
        <f t="shared" si="13"/>
        <v>#DIV/0!</v>
      </c>
      <c r="P128" s="39"/>
      <c r="Q128" s="39"/>
      <c r="R128" s="45"/>
      <c r="S128" s="45"/>
      <c r="T128" s="45"/>
      <c r="U128" s="45"/>
      <c r="V128" s="45"/>
      <c r="W128" s="46">
        <f t="shared" si="18"/>
        <v>0</v>
      </c>
      <c r="X128" s="46">
        <f t="shared" si="19"/>
        <v>0</v>
      </c>
      <c r="Y128" s="46"/>
      <c r="Z128" s="47"/>
      <c r="AA128" s="47"/>
    </row>
    <row r="129" spans="1:27" ht="15.75" x14ac:dyDescent="0.25">
      <c r="A129" s="69"/>
      <c r="B129" s="70"/>
      <c r="C129" s="70"/>
      <c r="D129" s="65">
        <f t="shared" si="10"/>
        <v>1</v>
      </c>
      <c r="E129" s="71">
        <f t="shared" si="20"/>
        <v>0</v>
      </c>
      <c r="F129" s="68"/>
      <c r="G129" s="36">
        <f t="shared" si="11"/>
        <v>0</v>
      </c>
      <c r="H129" s="44"/>
      <c r="I129" s="44"/>
      <c r="J129" s="44"/>
      <c r="K129" s="44"/>
      <c r="L129" s="44"/>
      <c r="M129" s="38">
        <f t="shared" si="15"/>
        <v>0</v>
      </c>
      <c r="N129" s="38">
        <f t="shared" si="12"/>
        <v>0</v>
      </c>
      <c r="O129" s="38" t="e">
        <f t="shared" si="13"/>
        <v>#DIV/0!</v>
      </c>
      <c r="P129" s="39"/>
      <c r="Q129" s="39"/>
      <c r="R129" s="45"/>
      <c r="S129" s="45"/>
      <c r="T129" s="45"/>
      <c r="U129" s="45"/>
      <c r="V129" s="45"/>
      <c r="W129" s="46">
        <f t="shared" si="18"/>
        <v>0</v>
      </c>
      <c r="X129" s="46">
        <f t="shared" si="19"/>
        <v>0</v>
      </c>
      <c r="Y129" s="46"/>
      <c r="Z129" s="47"/>
      <c r="AA129" s="47"/>
    </row>
    <row r="130" spans="1:27" ht="15.75" x14ac:dyDescent="0.25">
      <c r="A130" s="69"/>
      <c r="B130" s="70"/>
      <c r="C130" s="70"/>
      <c r="D130" s="65">
        <f t="shared" si="10"/>
        <v>1</v>
      </c>
      <c r="E130" s="71">
        <f t="shared" si="20"/>
        <v>0</v>
      </c>
      <c r="F130" s="68"/>
      <c r="G130" s="36">
        <f t="shared" si="11"/>
        <v>0</v>
      </c>
      <c r="H130" s="44"/>
      <c r="I130" s="44"/>
      <c r="J130" s="44"/>
      <c r="K130" s="44"/>
      <c r="L130" s="44"/>
      <c r="M130" s="38">
        <f t="shared" si="15"/>
        <v>0</v>
      </c>
      <c r="N130" s="38">
        <f t="shared" si="12"/>
        <v>0</v>
      </c>
      <c r="O130" s="38" t="e">
        <f t="shared" si="13"/>
        <v>#DIV/0!</v>
      </c>
      <c r="P130" s="39"/>
      <c r="Q130" s="39"/>
      <c r="R130" s="45"/>
      <c r="S130" s="45"/>
      <c r="T130" s="45"/>
      <c r="U130" s="45"/>
      <c r="V130" s="45"/>
      <c r="W130" s="46">
        <f t="shared" si="18"/>
        <v>0</v>
      </c>
      <c r="X130" s="46">
        <f t="shared" si="19"/>
        <v>0</v>
      </c>
      <c r="Y130" s="46"/>
      <c r="Z130" s="47"/>
      <c r="AA130" s="47"/>
    </row>
    <row r="131" spans="1:27" x14ac:dyDescent="0.25">
      <c r="A131" s="73"/>
      <c r="B131" s="70"/>
      <c r="C131" s="70"/>
      <c r="D131" s="65">
        <f t="shared" si="10"/>
        <v>1</v>
      </c>
      <c r="E131" s="74">
        <f t="shared" si="20"/>
        <v>0</v>
      </c>
      <c r="F131" s="68"/>
      <c r="G131" s="36">
        <v>0</v>
      </c>
      <c r="H131" s="44"/>
      <c r="I131" s="44"/>
      <c r="J131" s="44"/>
      <c r="K131" s="44"/>
      <c r="L131" s="44"/>
      <c r="M131" s="38">
        <f t="shared" si="15"/>
        <v>0</v>
      </c>
      <c r="N131" s="38">
        <f t="shared" si="12"/>
        <v>0</v>
      </c>
      <c r="O131" s="38" t="e">
        <f t="shared" si="13"/>
        <v>#DIV/0!</v>
      </c>
      <c r="P131" s="28"/>
      <c r="Q131" s="39"/>
      <c r="R131" s="45"/>
      <c r="S131" s="45"/>
      <c r="T131" s="45"/>
      <c r="U131" s="45"/>
      <c r="V131" s="45"/>
      <c r="W131" s="46">
        <f t="shared" si="18"/>
        <v>0</v>
      </c>
      <c r="X131" s="46">
        <f t="shared" si="19"/>
        <v>0</v>
      </c>
      <c r="Y131" s="46"/>
      <c r="Z131" s="47"/>
      <c r="AA131" s="47"/>
    </row>
    <row r="132" spans="1:27" ht="15.75" x14ac:dyDescent="0.25">
      <c r="A132" s="75"/>
      <c r="B132" s="76"/>
      <c r="C132" s="76"/>
      <c r="D132" s="77"/>
      <c r="E132" s="78"/>
      <c r="F132" s="79" t="s">
        <v>48</v>
      </c>
      <c r="G132" s="36">
        <f>SUM(G7:G131)</f>
        <v>-1485.6799999999998</v>
      </c>
      <c r="H132" s="80"/>
      <c r="I132" s="80"/>
      <c r="J132" s="80"/>
      <c r="K132" s="80"/>
      <c r="L132" s="36">
        <f>SUM(M10:M131)</f>
        <v>24171</v>
      </c>
      <c r="M132" s="81"/>
      <c r="N132" s="81"/>
      <c r="O132" s="81"/>
      <c r="P132" s="82"/>
      <c r="Q132" s="81"/>
      <c r="R132" s="47"/>
      <c r="S132" s="47"/>
      <c r="T132" s="47"/>
      <c r="U132" s="47"/>
      <c r="V132" s="47"/>
      <c r="W132" s="47"/>
      <c r="X132" s="47"/>
      <c r="Y132" s="47"/>
      <c r="Z132" s="47"/>
      <c r="AA132" s="47"/>
    </row>
    <row r="133" spans="1:27" ht="15.75" x14ac:dyDescent="0.25">
      <c r="A133" s="75"/>
      <c r="B133" s="76"/>
      <c r="C133" s="76"/>
      <c r="D133" s="77"/>
      <c r="E133" s="78"/>
      <c r="F133" s="79" t="s">
        <v>49</v>
      </c>
      <c r="G133" s="36">
        <f>(G132*30)/720</f>
        <v>-61.903333333333322</v>
      </c>
      <c r="H133" s="81"/>
      <c r="I133" s="81"/>
      <c r="J133" s="81"/>
      <c r="K133" s="81"/>
      <c r="L133" s="83">
        <f>L132/1000</f>
        <v>24.170999999999999</v>
      </c>
      <c r="M133" s="81"/>
      <c r="N133" s="81"/>
      <c r="O133" s="81"/>
      <c r="P133" s="82"/>
      <c r="Q133" s="81"/>
      <c r="R133" s="47"/>
      <c r="S133" s="47"/>
      <c r="T133" s="47"/>
      <c r="U133" s="47"/>
      <c r="V133" s="47"/>
      <c r="W133" s="47"/>
      <c r="X133" s="47"/>
      <c r="Y133" s="47"/>
      <c r="Z133" s="47"/>
      <c r="AA133" s="47"/>
    </row>
    <row r="134" spans="1:27" ht="15.75" x14ac:dyDescent="0.25">
      <c r="A134" s="75"/>
      <c r="B134" s="76"/>
      <c r="C134" s="76"/>
      <c r="D134" s="77"/>
      <c r="E134" s="78"/>
      <c r="F134" s="78"/>
      <c r="G134" s="84"/>
      <c r="H134" s="81"/>
      <c r="I134" s="81"/>
      <c r="J134" s="81"/>
      <c r="K134" s="81"/>
      <c r="L134" s="81"/>
      <c r="M134" s="81"/>
      <c r="N134" s="81"/>
      <c r="O134" s="81"/>
      <c r="P134" s="82"/>
      <c r="Q134" s="81"/>
      <c r="R134" s="47"/>
      <c r="S134" s="47"/>
      <c r="T134" s="47"/>
      <c r="U134" s="47"/>
      <c r="V134" s="47"/>
      <c r="W134" s="47"/>
      <c r="X134" s="47"/>
      <c r="Y134" s="47"/>
      <c r="Z134" s="47"/>
      <c r="AA134" s="47"/>
    </row>
    <row r="135" spans="1:27" ht="15.75" x14ac:dyDescent="0.25">
      <c r="A135" s="75"/>
      <c r="B135" s="76"/>
      <c r="C135" s="76"/>
      <c r="D135" s="77"/>
      <c r="E135" s="78"/>
      <c r="F135" s="78"/>
      <c r="G135" s="84"/>
      <c r="H135" s="81"/>
      <c r="I135" s="81"/>
      <c r="J135" s="81"/>
      <c r="K135" s="81"/>
      <c r="L135" s="81"/>
      <c r="M135" s="81"/>
      <c r="N135" s="81"/>
      <c r="O135" s="81"/>
      <c r="P135" s="82"/>
      <c r="Q135" s="81"/>
      <c r="R135" s="47"/>
      <c r="S135" s="47"/>
      <c r="T135" s="47"/>
      <c r="U135" s="47"/>
      <c r="V135" s="47"/>
      <c r="W135" s="47"/>
      <c r="X135" s="47"/>
      <c r="Y135" s="47"/>
      <c r="Z135" s="47"/>
      <c r="AA135" s="47"/>
    </row>
    <row r="136" spans="1:27" ht="15.75" x14ac:dyDescent="0.25">
      <c r="A136" s="75"/>
      <c r="B136" s="85"/>
      <c r="C136" s="85"/>
      <c r="D136" s="86"/>
      <c r="E136" s="87"/>
      <c r="F136" s="88"/>
      <c r="G136" s="87"/>
      <c r="H136" s="13"/>
      <c r="I136" s="13"/>
      <c r="J136" s="13"/>
      <c r="K136" s="13"/>
      <c r="L136" s="13"/>
      <c r="M136" s="13"/>
      <c r="N136" s="13"/>
      <c r="O136" s="13"/>
      <c r="P136" s="89"/>
      <c r="Q136" s="13"/>
      <c r="R136"/>
      <c r="S136"/>
      <c r="T136"/>
      <c r="U136"/>
      <c r="V136"/>
      <c r="Y136"/>
    </row>
    <row r="137" spans="1:27" ht="15.75" x14ac:dyDescent="0.25">
      <c r="A137" s="75"/>
      <c r="B137" s="85"/>
      <c r="C137" s="85"/>
      <c r="D137" s="86"/>
      <c r="E137" s="87"/>
      <c r="F137" s="88"/>
      <c r="G137" s="87"/>
      <c r="H137" s="13"/>
      <c r="I137" s="13"/>
      <c r="J137" s="13"/>
      <c r="K137" s="13"/>
      <c r="L137" s="13"/>
      <c r="M137" s="13"/>
      <c r="N137" s="13"/>
      <c r="O137" s="13"/>
      <c r="P137" s="89"/>
      <c r="Q137" s="13"/>
      <c r="R137"/>
      <c r="S137"/>
      <c r="T137"/>
      <c r="U137"/>
      <c r="V137"/>
      <c r="Y137"/>
    </row>
    <row r="138" spans="1:27" ht="15.75" x14ac:dyDescent="0.25">
      <c r="A138" s="75"/>
      <c r="B138" s="85"/>
      <c r="C138" s="85"/>
      <c r="D138" s="86"/>
      <c r="E138" s="87"/>
      <c r="F138" s="88"/>
      <c r="G138" s="87"/>
      <c r="H138" s="13"/>
      <c r="I138" s="13"/>
      <c r="J138" s="13"/>
      <c r="K138" s="13"/>
      <c r="L138" s="13"/>
      <c r="M138" s="13"/>
      <c r="N138" s="13"/>
      <c r="O138" s="13"/>
      <c r="P138" s="89"/>
      <c r="Q138" s="13"/>
      <c r="R138"/>
      <c r="S138"/>
      <c r="T138"/>
      <c r="U138"/>
      <c r="V138"/>
      <c r="Y138"/>
    </row>
    <row r="139" spans="1:27" ht="15.75" x14ac:dyDescent="0.25">
      <c r="A139" s="75"/>
      <c r="B139" s="85"/>
      <c r="C139" s="85"/>
      <c r="D139" s="86"/>
      <c r="E139" s="87"/>
      <c r="F139" s="88"/>
      <c r="G139" s="87"/>
      <c r="H139" s="13"/>
      <c r="I139" s="13"/>
      <c r="J139" s="13"/>
      <c r="K139" s="13"/>
      <c r="L139" s="13"/>
      <c r="M139" s="13"/>
      <c r="N139" s="13"/>
      <c r="O139" s="13"/>
      <c r="P139" s="89"/>
      <c r="Q139" s="13"/>
      <c r="R139"/>
      <c r="S139"/>
      <c r="T139"/>
      <c r="U139"/>
      <c r="V139"/>
      <c r="Y139"/>
    </row>
    <row r="140" spans="1:27" ht="15.75" x14ac:dyDescent="0.25">
      <c r="A140" s="75"/>
      <c r="B140" s="85"/>
      <c r="C140" s="85"/>
      <c r="D140" s="86"/>
      <c r="E140" s="87"/>
      <c r="F140" s="88"/>
      <c r="G140" s="87"/>
      <c r="H140" s="13"/>
      <c r="I140" s="13"/>
      <c r="J140" s="13"/>
      <c r="K140" s="13"/>
      <c r="L140" s="13"/>
      <c r="M140" s="13"/>
      <c r="N140" s="13"/>
      <c r="O140" s="13"/>
      <c r="P140" s="89"/>
      <c r="Q140" s="13"/>
      <c r="R140"/>
      <c r="S140"/>
      <c r="T140"/>
      <c r="U140"/>
      <c r="V140"/>
      <c r="Y140"/>
    </row>
    <row r="141" spans="1:27" ht="15.75" x14ac:dyDescent="0.25">
      <c r="A141" s="75"/>
      <c r="B141" s="85"/>
      <c r="C141" s="85"/>
      <c r="D141" s="86"/>
      <c r="E141" s="87"/>
      <c r="F141" s="88"/>
      <c r="G141" s="87"/>
      <c r="H141" s="13"/>
      <c r="I141" s="13"/>
      <c r="J141" s="13"/>
      <c r="K141" s="13"/>
      <c r="L141" s="13"/>
      <c r="M141" s="13"/>
      <c r="N141" s="13"/>
      <c r="O141" s="13"/>
      <c r="P141" s="89"/>
      <c r="Q141" s="13"/>
      <c r="R141"/>
      <c r="S141"/>
      <c r="T141"/>
      <c r="U141"/>
      <c r="V141"/>
      <c r="Y141"/>
    </row>
    <row r="142" spans="1:27" ht="15.75" x14ac:dyDescent="0.25">
      <c r="A142" s="75"/>
      <c r="B142" s="85"/>
      <c r="C142" s="85"/>
      <c r="D142" s="86"/>
      <c r="E142" s="87"/>
      <c r="F142" s="87"/>
      <c r="G142" s="87"/>
      <c r="H142" s="13"/>
      <c r="I142" s="13"/>
      <c r="J142" s="13"/>
      <c r="K142" s="13"/>
      <c r="L142" s="13"/>
      <c r="M142" s="13"/>
      <c r="N142" s="13"/>
      <c r="O142" s="13"/>
      <c r="P142" s="89"/>
      <c r="Q142" s="13"/>
      <c r="R142"/>
      <c r="S142"/>
      <c r="T142"/>
      <c r="U142"/>
      <c r="V142"/>
      <c r="Y142"/>
    </row>
    <row r="143" spans="1:27" ht="15.75" x14ac:dyDescent="0.25">
      <c r="A143" s="75"/>
      <c r="B143" s="85"/>
      <c r="C143" s="85"/>
      <c r="D143" s="86"/>
      <c r="E143" s="87"/>
      <c r="F143" s="87"/>
      <c r="G143" s="87"/>
      <c r="H143" s="13"/>
      <c r="I143" s="13"/>
      <c r="J143" s="13"/>
      <c r="K143" s="13"/>
      <c r="L143" s="13"/>
      <c r="M143" s="13"/>
      <c r="N143" s="13"/>
      <c r="O143" s="13"/>
      <c r="P143" s="89"/>
      <c r="Q143" s="13"/>
      <c r="R143"/>
      <c r="S143"/>
      <c r="T143"/>
      <c r="U143"/>
      <c r="V143"/>
      <c r="Y143"/>
    </row>
    <row r="144" spans="1:27" ht="15.75" x14ac:dyDescent="0.25">
      <c r="A144" s="75"/>
      <c r="B144" s="85"/>
      <c r="C144" s="85"/>
      <c r="D144" s="86"/>
      <c r="E144" s="87"/>
      <c r="F144" s="87"/>
      <c r="G144" s="87"/>
      <c r="H144" s="13"/>
      <c r="I144" s="13"/>
      <c r="J144" s="13"/>
      <c r="K144" s="13"/>
      <c r="L144" s="13"/>
      <c r="M144" s="13"/>
      <c r="N144" s="13"/>
      <c r="O144" s="13"/>
      <c r="P144" s="89"/>
      <c r="Q144" s="13"/>
      <c r="R144"/>
      <c r="S144"/>
      <c r="T144"/>
      <c r="U144"/>
      <c r="V144"/>
      <c r="Y144"/>
    </row>
    <row r="145" spans="1:25" ht="15.75" x14ac:dyDescent="0.25">
      <c r="A145" s="75"/>
      <c r="B145" s="85"/>
      <c r="C145" s="85"/>
      <c r="D145" s="86"/>
      <c r="E145" s="87"/>
      <c r="F145" s="87">
        <v>4</v>
      </c>
      <c r="G145" s="87"/>
      <c r="H145" s="13"/>
      <c r="I145" s="13"/>
      <c r="J145" s="13"/>
      <c r="K145" s="13"/>
      <c r="L145" s="13"/>
      <c r="M145" s="13"/>
      <c r="N145" s="13"/>
      <c r="O145" s="13"/>
      <c r="P145" s="89"/>
      <c r="Q145" s="13"/>
      <c r="R145"/>
      <c r="S145"/>
      <c r="T145"/>
      <c r="U145"/>
      <c r="V145"/>
      <c r="Y145"/>
    </row>
    <row r="146" spans="1:25" ht="15.75" x14ac:dyDescent="0.25">
      <c r="A146" s="75"/>
      <c r="B146" s="85"/>
      <c r="C146" s="85"/>
      <c r="D146" s="86"/>
      <c r="E146" s="87"/>
      <c r="F146" s="87"/>
      <c r="G146" s="87"/>
      <c r="H146" s="13"/>
      <c r="I146" s="13"/>
      <c r="J146" s="13"/>
      <c r="K146" s="13"/>
      <c r="L146" s="13"/>
      <c r="M146" s="13"/>
      <c r="N146" s="13"/>
      <c r="O146" s="13"/>
      <c r="P146" s="89"/>
      <c r="Q146" s="13"/>
      <c r="R146"/>
      <c r="S146"/>
      <c r="T146"/>
      <c r="U146"/>
      <c r="V146"/>
      <c r="Y146"/>
    </row>
    <row r="147" spans="1:25" ht="15.75" x14ac:dyDescent="0.25">
      <c r="A147" s="75"/>
      <c r="B147" s="85"/>
      <c r="C147" s="85"/>
      <c r="D147" s="86"/>
      <c r="E147" s="87"/>
      <c r="F147" s="87"/>
      <c r="G147" s="87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/>
      <c r="S147"/>
      <c r="T147"/>
      <c r="U147"/>
      <c r="V147"/>
      <c r="Y147"/>
    </row>
    <row r="148" spans="1:25" ht="15.75" x14ac:dyDescent="0.25">
      <c r="A148" s="75"/>
      <c r="B148" s="85"/>
      <c r="C148" s="85"/>
      <c r="D148" s="86"/>
      <c r="E148" s="87"/>
      <c r="F148" s="87"/>
      <c r="G148" s="87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/>
      <c r="S148"/>
      <c r="T148"/>
      <c r="U148"/>
      <c r="V148"/>
      <c r="Y148"/>
    </row>
    <row r="149" spans="1:25" ht="15.75" x14ac:dyDescent="0.25">
      <c r="A149" s="75"/>
      <c r="B149" s="85"/>
      <c r="C149" s="85"/>
      <c r="D149" s="86"/>
      <c r="E149" s="87"/>
      <c r="F149" s="87"/>
      <c r="G149" s="87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/>
      <c r="S149"/>
      <c r="T149"/>
      <c r="U149"/>
      <c r="V149"/>
      <c r="Y149"/>
    </row>
    <row r="150" spans="1:25" x14ac:dyDescent="0.25">
      <c r="A150" s="90"/>
      <c r="B150" s="91"/>
      <c r="C150" s="91"/>
      <c r="D150" s="92"/>
      <c r="E150" s="93"/>
      <c r="F150" s="93"/>
      <c r="G150" s="93"/>
      <c r="H150"/>
      <c r="I150"/>
      <c r="J150"/>
      <c r="K150"/>
      <c r="L150"/>
      <c r="N150"/>
      <c r="P150"/>
      <c r="R150"/>
      <c r="S150"/>
      <c r="T150"/>
      <c r="U150"/>
      <c r="V150"/>
      <c r="Y150"/>
    </row>
    <row r="151" spans="1:25" x14ac:dyDescent="0.25">
      <c r="A151" s="90"/>
      <c r="B151" s="91"/>
      <c r="C151" s="91"/>
      <c r="D151" s="92"/>
      <c r="E151" s="93"/>
      <c r="F151" s="93"/>
      <c r="G151" s="93"/>
      <c r="H151"/>
      <c r="I151"/>
      <c r="J151"/>
      <c r="K151"/>
      <c r="L151"/>
      <c r="N151"/>
      <c r="P151"/>
      <c r="R151"/>
      <c r="S151"/>
      <c r="T151"/>
      <c r="U151"/>
      <c r="V151"/>
      <c r="Y151"/>
    </row>
    <row r="152" spans="1:25" x14ac:dyDescent="0.25">
      <c r="A152" s="90"/>
      <c r="B152" s="91"/>
      <c r="C152" s="91"/>
      <c r="D152" s="92"/>
      <c r="E152" s="93"/>
      <c r="F152" s="93"/>
      <c r="G152" s="93"/>
      <c r="H152"/>
      <c r="I152"/>
      <c r="J152"/>
      <c r="K152"/>
      <c r="L152"/>
      <c r="N152"/>
      <c r="P152"/>
      <c r="R152"/>
      <c r="S152"/>
      <c r="T152"/>
      <c r="U152"/>
      <c r="V152"/>
      <c r="Y152"/>
    </row>
    <row r="153" spans="1:25" x14ac:dyDescent="0.25">
      <c r="A153" s="90"/>
      <c r="B153" s="91"/>
      <c r="C153" s="91"/>
      <c r="D153" s="92"/>
      <c r="E153" s="93"/>
      <c r="F153" s="93"/>
      <c r="G153" s="93"/>
      <c r="H153"/>
      <c r="I153"/>
      <c r="J153"/>
      <c r="K153"/>
      <c r="L153"/>
      <c r="N153"/>
      <c r="P153"/>
      <c r="R153"/>
      <c r="S153"/>
      <c r="T153"/>
      <c r="U153"/>
      <c r="V153"/>
      <c r="Y153"/>
    </row>
    <row r="154" spans="1:25" x14ac:dyDescent="0.25">
      <c r="A154" s="90"/>
      <c r="B154" s="91"/>
      <c r="C154" s="91"/>
      <c r="D154" s="92"/>
      <c r="E154" s="93"/>
      <c r="F154" s="93"/>
      <c r="G154" s="93"/>
      <c r="H154"/>
      <c r="I154"/>
      <c r="J154"/>
      <c r="K154"/>
      <c r="L154"/>
      <c r="N154"/>
      <c r="P154"/>
      <c r="R154"/>
      <c r="S154"/>
      <c r="T154"/>
      <c r="U154"/>
      <c r="V154"/>
      <c r="Y154"/>
    </row>
    <row r="155" spans="1:25" x14ac:dyDescent="0.25">
      <c r="A155" s="90"/>
      <c r="B155" s="91"/>
      <c r="C155" s="91"/>
      <c r="D155" s="92"/>
      <c r="E155" s="93"/>
      <c r="F155" s="93"/>
      <c r="G155" s="93"/>
      <c r="H155"/>
      <c r="I155"/>
      <c r="J155"/>
      <c r="K155"/>
      <c r="L155"/>
      <c r="N155"/>
      <c r="P155"/>
      <c r="R155"/>
      <c r="S155"/>
      <c r="T155"/>
      <c r="U155"/>
      <c r="V155"/>
      <c r="Y155"/>
    </row>
    <row r="156" spans="1:25" x14ac:dyDescent="0.25">
      <c r="A156" s="90"/>
      <c r="B156" s="91"/>
      <c r="C156" s="91"/>
      <c r="D156" s="92"/>
      <c r="E156" s="93"/>
      <c r="F156" s="93"/>
      <c r="G156" s="93"/>
      <c r="H156"/>
      <c r="I156"/>
      <c r="J156"/>
      <c r="K156"/>
      <c r="L156"/>
      <c r="N156"/>
      <c r="P156"/>
      <c r="R156"/>
      <c r="S156"/>
      <c r="T156"/>
      <c r="U156"/>
      <c r="V156"/>
      <c r="Y156"/>
    </row>
    <row r="157" spans="1:25" x14ac:dyDescent="0.25">
      <c r="A157" s="90"/>
      <c r="B157" s="91"/>
      <c r="C157" s="91"/>
      <c r="D157" s="92"/>
      <c r="E157" s="93"/>
      <c r="F157" s="93"/>
      <c r="G157" s="93"/>
      <c r="H157"/>
      <c r="I157"/>
      <c r="J157"/>
      <c r="K157"/>
      <c r="L157"/>
      <c r="N157"/>
      <c r="P157"/>
      <c r="R157"/>
      <c r="S157"/>
      <c r="T157"/>
      <c r="U157"/>
      <c r="V157"/>
      <c r="Y157"/>
    </row>
    <row r="158" spans="1:25" x14ac:dyDescent="0.25">
      <c r="A158" s="90"/>
      <c r="B158" s="91"/>
      <c r="C158" s="91"/>
      <c r="D158" s="92"/>
      <c r="E158" s="93"/>
      <c r="F158" s="93"/>
      <c r="G158" s="93"/>
      <c r="H158"/>
      <c r="I158"/>
      <c r="J158"/>
      <c r="K158"/>
      <c r="L158"/>
      <c r="N158"/>
      <c r="P158"/>
      <c r="R158"/>
      <c r="S158"/>
      <c r="T158"/>
      <c r="U158"/>
      <c r="V158"/>
      <c r="Y158"/>
    </row>
    <row r="159" spans="1:25" x14ac:dyDescent="0.25">
      <c r="A159" s="90"/>
      <c r="B159" s="91"/>
      <c r="C159" s="91"/>
      <c r="D159" s="92"/>
      <c r="E159" s="93"/>
      <c r="F159" s="93"/>
      <c r="G159" s="93"/>
      <c r="H159"/>
      <c r="I159"/>
      <c r="J159"/>
      <c r="K159"/>
      <c r="L159"/>
      <c r="N159"/>
      <c r="P159"/>
      <c r="R159"/>
      <c r="S159"/>
      <c r="T159"/>
      <c r="U159"/>
      <c r="V159"/>
      <c r="Y159"/>
    </row>
    <row r="160" spans="1:25" x14ac:dyDescent="0.25">
      <c r="A160" s="90"/>
      <c r="B160" s="91"/>
      <c r="C160" s="91"/>
      <c r="D160" s="92"/>
      <c r="E160" s="93"/>
      <c r="F160" s="93"/>
      <c r="G160" s="93"/>
      <c r="H160"/>
      <c r="I160"/>
      <c r="J160"/>
      <c r="K160"/>
      <c r="L160"/>
      <c r="N160"/>
      <c r="P160"/>
      <c r="R160"/>
      <c r="S160"/>
      <c r="T160"/>
      <c r="U160"/>
      <c r="V160"/>
      <c r="Y160"/>
    </row>
    <row r="161" spans="1:25" x14ac:dyDescent="0.25">
      <c r="A161" s="90"/>
      <c r="B161" s="91"/>
      <c r="C161" s="91"/>
      <c r="D161" s="92"/>
      <c r="E161" s="93"/>
      <c r="F161" s="93"/>
      <c r="G161" s="93"/>
      <c r="H161"/>
      <c r="I161"/>
      <c r="J161"/>
      <c r="K161"/>
      <c r="L161"/>
      <c r="N161"/>
      <c r="P161"/>
      <c r="R161"/>
      <c r="S161"/>
      <c r="T161"/>
      <c r="U161"/>
      <c r="V161"/>
      <c r="Y161"/>
    </row>
    <row r="162" spans="1:25" x14ac:dyDescent="0.25">
      <c r="A162" s="90"/>
      <c r="B162" s="91"/>
      <c r="C162" s="91"/>
      <c r="D162" s="92"/>
      <c r="E162" s="93"/>
      <c r="F162" s="93"/>
      <c r="G162" s="93"/>
      <c r="H162"/>
      <c r="I162"/>
      <c r="J162"/>
      <c r="K162"/>
      <c r="L162"/>
      <c r="N162"/>
      <c r="P162"/>
      <c r="R162"/>
      <c r="S162"/>
      <c r="T162"/>
      <c r="U162"/>
      <c r="V162"/>
      <c r="Y162"/>
    </row>
    <row r="163" spans="1:25" x14ac:dyDescent="0.25">
      <c r="A163" s="90"/>
      <c r="B163" s="91"/>
      <c r="C163" s="91"/>
      <c r="D163" s="92"/>
      <c r="E163" s="93"/>
      <c r="F163" s="93"/>
      <c r="G163" s="93"/>
      <c r="H163"/>
      <c r="I163"/>
      <c r="J163"/>
      <c r="K163"/>
      <c r="L163"/>
      <c r="N163"/>
      <c r="P163"/>
      <c r="R163"/>
      <c r="S163"/>
      <c r="T163"/>
      <c r="U163"/>
      <c r="V163"/>
      <c r="Y163"/>
    </row>
    <row r="164" spans="1:25" x14ac:dyDescent="0.25">
      <c r="A164" s="90"/>
      <c r="B164" s="91"/>
      <c r="C164" s="91"/>
      <c r="D164" s="92"/>
      <c r="E164" s="93"/>
      <c r="F164" s="93"/>
      <c r="G164" s="93"/>
      <c r="H164"/>
      <c r="I164"/>
      <c r="J164"/>
      <c r="K164"/>
      <c r="L164"/>
      <c r="N164"/>
      <c r="P164"/>
      <c r="R164"/>
      <c r="S164"/>
      <c r="T164"/>
      <c r="U164"/>
      <c r="V164"/>
      <c r="Y164"/>
    </row>
    <row r="165" spans="1:25" x14ac:dyDescent="0.25">
      <c r="A165" s="90"/>
      <c r="B165" s="91"/>
      <c r="C165" s="91"/>
      <c r="D165" s="92"/>
      <c r="E165" s="93"/>
      <c r="F165" s="93"/>
      <c r="G165" s="93"/>
      <c r="H165"/>
      <c r="I165"/>
      <c r="J165"/>
      <c r="K165"/>
      <c r="L165"/>
      <c r="N165"/>
      <c r="P165"/>
      <c r="R165"/>
      <c r="S165"/>
      <c r="T165"/>
      <c r="U165"/>
      <c r="V165"/>
      <c r="Y165"/>
    </row>
    <row r="166" spans="1:25" x14ac:dyDescent="0.25">
      <c r="A166" s="90"/>
      <c r="B166" s="91"/>
      <c r="C166" s="91"/>
      <c r="D166" s="92"/>
      <c r="E166"/>
      <c r="F166"/>
      <c r="G166"/>
      <c r="H166"/>
      <c r="I166"/>
      <c r="J166"/>
      <c r="K166"/>
      <c r="L166"/>
      <c r="N166"/>
      <c r="P166"/>
      <c r="R166"/>
      <c r="S166"/>
      <c r="T166"/>
      <c r="U166"/>
      <c r="V166"/>
      <c r="Y166"/>
    </row>
    <row r="167" spans="1:25" x14ac:dyDescent="0.25">
      <c r="A167" s="90"/>
      <c r="B167" s="91"/>
      <c r="C167" s="91"/>
      <c r="D167" s="92"/>
      <c r="E167"/>
      <c r="F167"/>
      <c r="G167"/>
      <c r="H167"/>
      <c r="I167"/>
      <c r="J167"/>
      <c r="K167"/>
      <c r="L167"/>
      <c r="N167"/>
      <c r="P167"/>
      <c r="R167"/>
      <c r="S167"/>
      <c r="T167"/>
      <c r="U167"/>
      <c r="V167"/>
      <c r="Y167"/>
    </row>
    <row r="168" spans="1:25" x14ac:dyDescent="0.25">
      <c r="A168" s="90"/>
      <c r="B168" s="91"/>
      <c r="C168" s="91"/>
      <c r="D168" s="92"/>
      <c r="E168"/>
      <c r="F168"/>
      <c r="G168"/>
      <c r="H168"/>
      <c r="I168"/>
      <c r="J168"/>
      <c r="K168"/>
      <c r="L168"/>
      <c r="N168"/>
      <c r="P168"/>
      <c r="R168"/>
      <c r="S168"/>
      <c r="T168"/>
      <c r="U168"/>
      <c r="V168"/>
      <c r="Y168"/>
    </row>
    <row r="169" spans="1:25" x14ac:dyDescent="0.25">
      <c r="A169" s="90"/>
      <c r="B169" s="91"/>
      <c r="C169" s="91"/>
      <c r="D169" s="92"/>
      <c r="E169"/>
      <c r="F169"/>
      <c r="G169"/>
      <c r="H169"/>
      <c r="I169"/>
      <c r="J169"/>
      <c r="K169"/>
      <c r="L169"/>
      <c r="N169"/>
      <c r="P169"/>
      <c r="R169"/>
      <c r="S169"/>
      <c r="T169"/>
      <c r="U169"/>
      <c r="V169"/>
      <c r="Y169"/>
    </row>
    <row r="170" spans="1:25" x14ac:dyDescent="0.25">
      <c r="A170" s="90"/>
      <c r="B170" s="91"/>
      <c r="C170" s="91"/>
      <c r="D170" s="92"/>
      <c r="E170"/>
      <c r="F170"/>
      <c r="G170"/>
      <c r="H170"/>
      <c r="I170"/>
      <c r="J170"/>
      <c r="K170"/>
      <c r="L170"/>
      <c r="N170"/>
      <c r="P170"/>
      <c r="R170"/>
      <c r="S170"/>
      <c r="T170"/>
      <c r="U170"/>
      <c r="V170"/>
      <c r="Y170"/>
    </row>
    <row r="171" spans="1:25" x14ac:dyDescent="0.25">
      <c r="A171" s="90"/>
      <c r="B171" s="91"/>
      <c r="C171" s="91"/>
      <c r="D171" s="92"/>
      <c r="E171"/>
      <c r="F171"/>
      <c r="G171"/>
      <c r="H171"/>
      <c r="I171"/>
      <c r="J171"/>
      <c r="K171"/>
      <c r="L171"/>
      <c r="N171"/>
      <c r="P171"/>
      <c r="R171"/>
      <c r="S171"/>
      <c r="T171"/>
      <c r="U171"/>
      <c r="V171"/>
      <c r="Y171"/>
    </row>
    <row r="172" spans="1:25" x14ac:dyDescent="0.25">
      <c r="A172" s="90"/>
      <c r="B172" s="91"/>
      <c r="C172" s="91"/>
      <c r="D172" s="92"/>
      <c r="E172"/>
      <c r="F172"/>
      <c r="G172"/>
      <c r="H172"/>
      <c r="I172"/>
      <c r="J172"/>
      <c r="K172"/>
      <c r="L172"/>
      <c r="N172"/>
      <c r="P172"/>
      <c r="R172"/>
      <c r="S172"/>
      <c r="T172"/>
      <c r="U172"/>
      <c r="V172"/>
      <c r="Y172"/>
    </row>
    <row r="173" spans="1:25" x14ac:dyDescent="0.25">
      <c r="A173" s="90"/>
      <c r="B173" s="91"/>
      <c r="C173" s="91"/>
      <c r="D173" s="92"/>
      <c r="E173"/>
      <c r="F173"/>
      <c r="G173"/>
      <c r="H173"/>
      <c r="I173"/>
      <c r="J173"/>
      <c r="K173"/>
      <c r="L173"/>
      <c r="N173"/>
      <c r="P173"/>
      <c r="R173"/>
      <c r="S173"/>
      <c r="T173"/>
      <c r="U173"/>
      <c r="V173"/>
      <c r="Y173"/>
    </row>
    <row r="174" spans="1:25" x14ac:dyDescent="0.25">
      <c r="A174" s="90"/>
      <c r="B174" s="91"/>
      <c r="C174" s="91"/>
      <c r="D174" s="92"/>
      <c r="E174"/>
      <c r="F174"/>
      <c r="G174"/>
      <c r="H174"/>
      <c r="I174"/>
      <c r="J174"/>
      <c r="K174"/>
      <c r="L174"/>
      <c r="N174"/>
      <c r="P174"/>
      <c r="R174"/>
      <c r="S174"/>
      <c r="T174"/>
      <c r="U174"/>
      <c r="V174"/>
      <c r="Y174"/>
    </row>
    <row r="175" spans="1:25" x14ac:dyDescent="0.25">
      <c r="A175" s="90"/>
      <c r="B175" s="91"/>
      <c r="C175" s="91"/>
      <c r="D175" s="92"/>
      <c r="E175"/>
      <c r="F175"/>
      <c r="G175"/>
      <c r="H175"/>
      <c r="I175"/>
      <c r="J175"/>
      <c r="K175"/>
      <c r="L175"/>
      <c r="N175"/>
      <c r="P175"/>
      <c r="R175"/>
      <c r="S175"/>
      <c r="T175"/>
      <c r="U175"/>
      <c r="V175"/>
      <c r="Y175"/>
    </row>
    <row r="176" spans="1:25" x14ac:dyDescent="0.25">
      <c r="A176" s="90"/>
      <c r="B176" s="91"/>
      <c r="C176" s="91"/>
      <c r="D176" s="92"/>
      <c r="E176"/>
      <c r="F176"/>
      <c r="G176"/>
      <c r="H176"/>
      <c r="I176"/>
      <c r="J176"/>
      <c r="K176"/>
      <c r="L176"/>
      <c r="N176"/>
      <c r="P176"/>
      <c r="R176"/>
      <c r="S176"/>
      <c r="T176"/>
      <c r="U176"/>
      <c r="V176"/>
      <c r="Y176"/>
    </row>
    <row r="177" spans="1:25" x14ac:dyDescent="0.25">
      <c r="A177" s="90"/>
      <c r="B177" s="91"/>
      <c r="C177" s="91"/>
      <c r="D177" s="92"/>
      <c r="E177"/>
      <c r="F177"/>
      <c r="G177"/>
      <c r="H177"/>
      <c r="I177"/>
      <c r="J177"/>
      <c r="K177"/>
      <c r="L177"/>
      <c r="N177"/>
      <c r="P177"/>
      <c r="R177"/>
      <c r="S177"/>
      <c r="T177"/>
      <c r="U177"/>
      <c r="V177"/>
      <c r="Y177"/>
    </row>
    <row r="178" spans="1:25" x14ac:dyDescent="0.25">
      <c r="A178" s="90"/>
      <c r="B178" s="91"/>
      <c r="C178" s="91"/>
      <c r="D178" s="92"/>
      <c r="E178"/>
      <c r="F178"/>
      <c r="G178"/>
      <c r="H178"/>
      <c r="I178"/>
      <c r="J178"/>
      <c r="K178"/>
      <c r="L178"/>
      <c r="N178"/>
      <c r="P178"/>
      <c r="R178"/>
      <c r="S178"/>
      <c r="T178"/>
      <c r="U178"/>
      <c r="V178"/>
      <c r="Y178"/>
    </row>
    <row r="179" spans="1:25" x14ac:dyDescent="0.25">
      <c r="A179" s="90"/>
      <c r="B179" s="91"/>
      <c r="C179" s="91"/>
      <c r="D179" s="92"/>
      <c r="E179"/>
      <c r="F179"/>
      <c r="G179"/>
      <c r="H179"/>
      <c r="I179"/>
      <c r="J179"/>
      <c r="K179"/>
      <c r="L179"/>
      <c r="N179"/>
      <c r="P179"/>
      <c r="R179"/>
      <c r="S179"/>
      <c r="T179"/>
      <c r="U179"/>
      <c r="V179"/>
      <c r="Y179"/>
    </row>
    <row r="180" spans="1:25" x14ac:dyDescent="0.25">
      <c r="A180" s="90"/>
      <c r="B180" s="91"/>
      <c r="C180" s="91"/>
      <c r="D180" s="92"/>
      <c r="E180"/>
      <c r="F180"/>
      <c r="G180"/>
      <c r="H180"/>
      <c r="I180"/>
      <c r="J180"/>
      <c r="K180"/>
      <c r="L180"/>
      <c r="N180"/>
      <c r="P180"/>
      <c r="R180"/>
      <c r="S180"/>
      <c r="T180"/>
      <c r="U180"/>
      <c r="V180"/>
      <c r="Y180"/>
    </row>
    <row r="181" spans="1:25" x14ac:dyDescent="0.25">
      <c r="A181" s="90"/>
      <c r="B181" s="91"/>
      <c r="C181" s="91"/>
      <c r="D181" s="92"/>
      <c r="E181"/>
      <c r="F181"/>
      <c r="G181"/>
      <c r="H181"/>
      <c r="I181"/>
      <c r="J181"/>
      <c r="K181"/>
      <c r="L181"/>
      <c r="N181"/>
      <c r="P181"/>
      <c r="R181"/>
      <c r="S181"/>
      <c r="T181"/>
      <c r="U181"/>
      <c r="V181"/>
      <c r="Y181"/>
    </row>
    <row r="182" spans="1:25" x14ac:dyDescent="0.25">
      <c r="A182" s="90"/>
      <c r="B182" s="91"/>
      <c r="C182" s="91"/>
      <c r="D182" s="92"/>
      <c r="E182"/>
      <c r="F182"/>
      <c r="G182"/>
      <c r="H182"/>
      <c r="I182"/>
      <c r="J182"/>
      <c r="K182"/>
      <c r="L182"/>
      <c r="N182"/>
      <c r="P182"/>
      <c r="R182"/>
      <c r="S182"/>
      <c r="T182"/>
      <c r="U182"/>
      <c r="V182"/>
      <c r="Y182"/>
    </row>
    <row r="183" spans="1:25" x14ac:dyDescent="0.25">
      <c r="A183" s="90"/>
      <c r="B183" s="91"/>
      <c r="C183" s="91"/>
      <c r="D183" s="92"/>
      <c r="E183"/>
      <c r="F183"/>
      <c r="G183"/>
      <c r="H183"/>
      <c r="I183"/>
      <c r="J183"/>
      <c r="K183"/>
      <c r="L183"/>
      <c r="N183"/>
      <c r="P183"/>
      <c r="R183"/>
      <c r="S183"/>
      <c r="T183"/>
      <c r="U183"/>
      <c r="V183"/>
      <c r="Y183"/>
    </row>
    <row r="184" spans="1:25" x14ac:dyDescent="0.25">
      <c r="A184" s="90"/>
      <c r="B184" s="91"/>
      <c r="C184" s="91"/>
      <c r="D184" s="92"/>
      <c r="E184"/>
      <c r="F184"/>
      <c r="G184"/>
      <c r="H184"/>
      <c r="I184"/>
      <c r="J184"/>
      <c r="K184"/>
      <c r="L184"/>
      <c r="N184"/>
      <c r="P184"/>
      <c r="R184"/>
      <c r="S184"/>
      <c r="T184"/>
      <c r="U184"/>
      <c r="V184"/>
      <c r="Y184"/>
    </row>
    <row r="185" spans="1:25" x14ac:dyDescent="0.25">
      <c r="A185" s="90"/>
      <c r="B185" s="91"/>
      <c r="C185" s="91"/>
      <c r="D185" s="92"/>
      <c r="E185"/>
      <c r="F185"/>
      <c r="G185"/>
      <c r="H185"/>
      <c r="I185"/>
      <c r="J185"/>
      <c r="K185"/>
      <c r="L185"/>
      <c r="N185"/>
      <c r="P185"/>
      <c r="R185"/>
      <c r="S185"/>
      <c r="T185"/>
      <c r="U185"/>
      <c r="V185"/>
      <c r="Y185"/>
    </row>
    <row r="186" spans="1:25" x14ac:dyDescent="0.25">
      <c r="A186" s="90"/>
      <c r="B186" s="91"/>
      <c r="C186" s="91"/>
      <c r="D186" s="92"/>
      <c r="E186"/>
      <c r="F186"/>
      <c r="G186"/>
      <c r="H186"/>
      <c r="I186"/>
      <c r="J186"/>
      <c r="K186"/>
      <c r="L186"/>
      <c r="N186"/>
      <c r="P186"/>
      <c r="R186"/>
      <c r="S186"/>
      <c r="T186"/>
      <c r="U186"/>
      <c r="V186"/>
      <c r="Y186"/>
    </row>
    <row r="187" spans="1:25" x14ac:dyDescent="0.25">
      <c r="A187" s="90"/>
      <c r="B187" s="91"/>
      <c r="C187" s="91"/>
      <c r="D187" s="92"/>
      <c r="E187"/>
      <c r="F187"/>
      <c r="G187"/>
      <c r="H187"/>
      <c r="I187"/>
      <c r="J187"/>
      <c r="K187"/>
      <c r="L187"/>
      <c r="N187"/>
      <c r="P187"/>
      <c r="R187"/>
      <c r="S187"/>
      <c r="T187"/>
      <c r="U187"/>
      <c r="V187"/>
      <c r="Y187"/>
    </row>
    <row r="188" spans="1:25" x14ac:dyDescent="0.25">
      <c r="A188" s="90"/>
      <c r="B188" s="91"/>
      <c r="C188" s="91"/>
      <c r="D188" s="92"/>
      <c r="E188"/>
      <c r="F188"/>
      <c r="G188"/>
      <c r="H188"/>
      <c r="I188"/>
      <c r="J188"/>
      <c r="K188"/>
      <c r="L188"/>
      <c r="N188"/>
      <c r="P188"/>
      <c r="R188"/>
      <c r="S188"/>
      <c r="T188"/>
      <c r="U188"/>
      <c r="V188"/>
      <c r="Y188"/>
    </row>
    <row r="189" spans="1:25" x14ac:dyDescent="0.25">
      <c r="A189" s="90"/>
      <c r="B189" s="91"/>
      <c r="C189" s="91"/>
      <c r="D189" s="92"/>
      <c r="E189"/>
      <c r="F189"/>
      <c r="G189"/>
      <c r="H189"/>
      <c r="I189"/>
      <c r="J189"/>
      <c r="K189"/>
      <c r="L189"/>
      <c r="N189"/>
      <c r="P189"/>
      <c r="R189"/>
      <c r="S189"/>
      <c r="T189"/>
      <c r="U189"/>
      <c r="V189"/>
      <c r="Y189"/>
    </row>
    <row r="190" spans="1:25" x14ac:dyDescent="0.25">
      <c r="A190" s="90"/>
      <c r="B190" s="91"/>
      <c r="C190" s="91"/>
      <c r="D190" s="92"/>
      <c r="E190"/>
      <c r="F190"/>
      <c r="G190"/>
      <c r="H190"/>
      <c r="I190"/>
      <c r="J190"/>
      <c r="K190"/>
      <c r="L190"/>
      <c r="N190"/>
      <c r="P190"/>
      <c r="R190"/>
      <c r="S190"/>
      <c r="T190"/>
      <c r="U190"/>
      <c r="V190"/>
      <c r="Y190"/>
    </row>
    <row r="191" spans="1:25" x14ac:dyDescent="0.25">
      <c r="A191" s="90"/>
      <c r="B191" s="91"/>
      <c r="C191" s="91"/>
      <c r="D191" s="92"/>
      <c r="E191"/>
      <c r="F191"/>
      <c r="G191"/>
      <c r="H191"/>
      <c r="I191"/>
      <c r="J191"/>
      <c r="K191"/>
      <c r="L191"/>
      <c r="N191"/>
      <c r="P191"/>
      <c r="R191"/>
      <c r="S191"/>
      <c r="T191"/>
      <c r="U191"/>
      <c r="V191"/>
      <c r="Y191"/>
    </row>
    <row r="192" spans="1:25" x14ac:dyDescent="0.25">
      <c r="A192" s="90"/>
      <c r="B192" s="91"/>
      <c r="C192" s="91"/>
      <c r="D192" s="92"/>
      <c r="E192"/>
      <c r="F192"/>
      <c r="G192"/>
      <c r="H192"/>
      <c r="I192"/>
      <c r="J192"/>
      <c r="K192"/>
      <c r="L192"/>
      <c r="N192"/>
      <c r="P192"/>
      <c r="R192"/>
      <c r="S192"/>
      <c r="T192"/>
      <c r="U192"/>
      <c r="V192"/>
      <c r="Y192"/>
    </row>
    <row r="193" spans="1:25" x14ac:dyDescent="0.25">
      <c r="A193" s="90"/>
      <c r="B193" s="91"/>
      <c r="C193" s="91"/>
      <c r="D193" s="92"/>
      <c r="E193"/>
      <c r="F193"/>
      <c r="G193"/>
      <c r="H193"/>
      <c r="I193"/>
      <c r="J193"/>
      <c r="K193"/>
      <c r="L193"/>
      <c r="N193"/>
      <c r="P193"/>
      <c r="R193"/>
      <c r="S193"/>
      <c r="T193"/>
      <c r="U193"/>
      <c r="V193"/>
      <c r="Y193"/>
    </row>
    <row r="194" spans="1:25" x14ac:dyDescent="0.25">
      <c r="A194" s="90"/>
      <c r="B194" s="91"/>
      <c r="C194" s="91"/>
      <c r="D194" s="92"/>
      <c r="E194"/>
      <c r="F194"/>
      <c r="G194"/>
      <c r="H194"/>
      <c r="I194"/>
      <c r="J194"/>
      <c r="K194"/>
      <c r="L194"/>
      <c r="N194"/>
      <c r="P194"/>
      <c r="R194"/>
      <c r="S194"/>
      <c r="T194"/>
      <c r="U194"/>
      <c r="V194"/>
      <c r="Y194"/>
    </row>
    <row r="195" spans="1:25" x14ac:dyDescent="0.25">
      <c r="A195" s="90"/>
      <c r="B195" s="91"/>
      <c r="C195" s="91"/>
      <c r="D195" s="92"/>
      <c r="E195"/>
      <c r="F195"/>
      <c r="G195"/>
      <c r="H195"/>
      <c r="I195"/>
      <c r="J195"/>
      <c r="K195"/>
      <c r="L195"/>
      <c r="N195"/>
      <c r="P195"/>
      <c r="R195"/>
      <c r="S195"/>
      <c r="T195"/>
      <c r="U195"/>
      <c r="V195"/>
      <c r="Y195"/>
    </row>
    <row r="196" spans="1:25" x14ac:dyDescent="0.25">
      <c r="A196" s="90"/>
      <c r="B196" s="91"/>
      <c r="C196" s="91"/>
      <c r="D196" s="92"/>
      <c r="E196"/>
      <c r="F196"/>
      <c r="G196"/>
      <c r="H196"/>
      <c r="I196"/>
      <c r="J196"/>
      <c r="K196"/>
      <c r="L196"/>
      <c r="N196"/>
      <c r="P196"/>
      <c r="R196"/>
      <c r="S196"/>
      <c r="T196"/>
      <c r="U196"/>
      <c r="V196"/>
      <c r="Y196"/>
    </row>
    <row r="197" spans="1:25" x14ac:dyDescent="0.25">
      <c r="A197" s="90"/>
      <c r="B197" s="91"/>
      <c r="C197" s="91"/>
      <c r="D197" s="92"/>
      <c r="E197"/>
      <c r="F197"/>
      <c r="G197"/>
      <c r="H197"/>
      <c r="I197"/>
      <c r="J197"/>
      <c r="K197"/>
      <c r="L197"/>
      <c r="N197"/>
      <c r="P197"/>
      <c r="R197"/>
      <c r="S197"/>
      <c r="T197"/>
      <c r="U197"/>
      <c r="V197"/>
      <c r="Y197"/>
    </row>
    <row r="198" spans="1:25" x14ac:dyDescent="0.25">
      <c r="A198" s="90"/>
      <c r="B198" s="91"/>
      <c r="C198" s="91"/>
      <c r="D198" s="92"/>
      <c r="E198"/>
      <c r="F198"/>
      <c r="G198"/>
      <c r="H198"/>
      <c r="I198"/>
      <c r="J198"/>
      <c r="K198"/>
      <c r="L198"/>
      <c r="N198"/>
      <c r="P198"/>
      <c r="R198"/>
      <c r="S198"/>
      <c r="T198"/>
      <c r="U198"/>
      <c r="V198"/>
      <c r="Y198"/>
    </row>
    <row r="199" spans="1:25" x14ac:dyDescent="0.25">
      <c r="A199" s="90"/>
      <c r="B199" s="91"/>
      <c r="C199" s="91"/>
      <c r="D199" s="92"/>
      <c r="E199"/>
      <c r="F199"/>
      <c r="G199"/>
      <c r="H199"/>
      <c r="I199"/>
      <c r="J199"/>
      <c r="K199"/>
      <c r="L199"/>
      <c r="N199"/>
      <c r="P199"/>
      <c r="R199"/>
      <c r="S199"/>
      <c r="T199"/>
      <c r="U199"/>
      <c r="V199"/>
      <c r="Y199"/>
    </row>
    <row r="200" spans="1:25" x14ac:dyDescent="0.25">
      <c r="A200" s="90"/>
      <c r="B200" s="91"/>
      <c r="C200" s="91"/>
      <c r="D200" s="92"/>
      <c r="E200"/>
      <c r="F200"/>
      <c r="G200"/>
      <c r="H200"/>
      <c r="I200"/>
      <c r="J200"/>
      <c r="K200"/>
      <c r="L200"/>
      <c r="N200"/>
      <c r="P200"/>
      <c r="R200"/>
      <c r="S200"/>
      <c r="T200"/>
      <c r="U200"/>
      <c r="V200"/>
      <c r="Y200"/>
    </row>
    <row r="201" spans="1:25" x14ac:dyDescent="0.25">
      <c r="A201" s="90"/>
      <c r="B201" s="91"/>
      <c r="C201" s="91"/>
      <c r="D201" s="92"/>
      <c r="E201"/>
      <c r="F201"/>
      <c r="G201"/>
      <c r="H201"/>
      <c r="I201"/>
      <c r="J201"/>
      <c r="K201"/>
      <c r="L201"/>
      <c r="N201"/>
      <c r="P201"/>
      <c r="R201"/>
      <c r="S201"/>
      <c r="T201"/>
      <c r="U201"/>
      <c r="V201"/>
      <c r="Y201"/>
    </row>
    <row r="202" spans="1:25" x14ac:dyDescent="0.25">
      <c r="A202" s="90"/>
      <c r="B202" s="91"/>
      <c r="C202" s="91"/>
      <c r="D202" s="92"/>
      <c r="E202"/>
      <c r="F202"/>
      <c r="G202"/>
      <c r="H202"/>
      <c r="I202"/>
      <c r="J202"/>
      <c r="K202"/>
      <c r="L202"/>
      <c r="N202"/>
      <c r="P202"/>
      <c r="R202"/>
      <c r="S202"/>
      <c r="T202"/>
      <c r="U202"/>
      <c r="V202"/>
      <c r="Y202"/>
    </row>
    <row r="203" spans="1:25" x14ac:dyDescent="0.25">
      <c r="A203" s="90"/>
      <c r="B203" s="91"/>
      <c r="C203" s="91"/>
      <c r="D203" s="92"/>
      <c r="E203"/>
      <c r="F203"/>
      <c r="G203"/>
      <c r="H203"/>
      <c r="I203"/>
      <c r="J203"/>
      <c r="K203"/>
      <c r="L203"/>
      <c r="N203"/>
      <c r="P203"/>
      <c r="R203"/>
      <c r="S203"/>
      <c r="T203"/>
      <c r="U203"/>
      <c r="V203"/>
      <c r="Y203"/>
    </row>
    <row r="204" spans="1:25" x14ac:dyDescent="0.25">
      <c r="A204" s="90"/>
      <c r="B204" s="91"/>
      <c r="C204" s="91"/>
      <c r="D204" s="92"/>
      <c r="E204"/>
      <c r="F204"/>
      <c r="G204"/>
      <c r="H204"/>
      <c r="I204"/>
      <c r="J204"/>
      <c r="K204"/>
      <c r="L204"/>
      <c r="N204"/>
      <c r="P204"/>
      <c r="R204"/>
      <c r="S204"/>
      <c r="T204"/>
      <c r="U204"/>
      <c r="V204"/>
      <c r="Y204"/>
    </row>
    <row r="205" spans="1:25" x14ac:dyDescent="0.25">
      <c r="A205" s="90"/>
      <c r="B205" s="91"/>
      <c r="C205" s="91"/>
      <c r="D205" s="92"/>
      <c r="E205"/>
      <c r="F205"/>
      <c r="G205"/>
      <c r="H205"/>
      <c r="I205"/>
      <c r="J205"/>
      <c r="K205"/>
      <c r="L205"/>
      <c r="N205"/>
      <c r="P205"/>
      <c r="R205"/>
      <c r="S205"/>
      <c r="T205"/>
      <c r="U205"/>
      <c r="V205"/>
      <c r="Y205"/>
    </row>
    <row r="206" spans="1:25" x14ac:dyDescent="0.25">
      <c r="A206" s="90"/>
      <c r="B206" s="91"/>
      <c r="C206" s="91"/>
      <c r="D206" s="92"/>
      <c r="E206"/>
      <c r="F206"/>
      <c r="G206"/>
      <c r="H206"/>
      <c r="I206"/>
      <c r="J206"/>
      <c r="K206"/>
      <c r="L206"/>
      <c r="N206"/>
      <c r="P206"/>
      <c r="R206"/>
      <c r="S206"/>
      <c r="T206"/>
      <c r="U206"/>
      <c r="V206"/>
      <c r="Y206"/>
    </row>
    <row r="207" spans="1:25" x14ac:dyDescent="0.25">
      <c r="A207" s="90"/>
      <c r="B207" s="91"/>
      <c r="C207" s="91"/>
      <c r="D207" s="92"/>
      <c r="E207"/>
      <c r="F207"/>
      <c r="G207"/>
      <c r="H207"/>
      <c r="I207"/>
      <c r="J207"/>
      <c r="K207"/>
      <c r="L207"/>
      <c r="N207"/>
      <c r="P207"/>
      <c r="R207"/>
      <c r="S207"/>
      <c r="T207"/>
      <c r="U207"/>
      <c r="V207"/>
      <c r="Y207"/>
    </row>
    <row r="208" spans="1:25" x14ac:dyDescent="0.25">
      <c r="A208" s="90"/>
      <c r="B208" s="91"/>
      <c r="C208" s="91"/>
      <c r="D208" s="92"/>
      <c r="E208"/>
      <c r="F208"/>
      <c r="G208"/>
      <c r="H208"/>
      <c r="I208"/>
      <c r="J208"/>
      <c r="K208"/>
      <c r="L208"/>
      <c r="N208"/>
      <c r="P208"/>
      <c r="R208"/>
      <c r="S208"/>
      <c r="T208"/>
      <c r="U208"/>
      <c r="V208"/>
      <c r="Y208"/>
    </row>
    <row r="209" spans="1:25" x14ac:dyDescent="0.25">
      <c r="A209" s="90"/>
      <c r="B209" s="91"/>
      <c r="C209" s="91"/>
      <c r="D209" s="92"/>
      <c r="E209"/>
      <c r="F209"/>
      <c r="G209"/>
      <c r="H209"/>
      <c r="I209"/>
      <c r="J209"/>
      <c r="K209"/>
      <c r="L209"/>
      <c r="N209"/>
      <c r="P209"/>
      <c r="R209"/>
      <c r="S209"/>
      <c r="T209"/>
      <c r="U209"/>
      <c r="V209"/>
      <c r="Y209"/>
    </row>
    <row r="210" spans="1:25" x14ac:dyDescent="0.25">
      <c r="A210" s="90"/>
      <c r="B210" s="91"/>
      <c r="C210" s="91"/>
      <c r="D210" s="92"/>
      <c r="E210"/>
      <c r="F210"/>
      <c r="G210"/>
      <c r="H210"/>
      <c r="I210"/>
      <c r="J210"/>
      <c r="K210"/>
      <c r="L210"/>
      <c r="N210"/>
      <c r="P210"/>
      <c r="R210"/>
      <c r="S210"/>
      <c r="T210"/>
      <c r="U210"/>
      <c r="V210"/>
      <c r="Y210"/>
    </row>
    <row r="211" spans="1:25" x14ac:dyDescent="0.25">
      <c r="A211" s="90"/>
      <c r="B211" s="91"/>
      <c r="C211" s="91"/>
      <c r="D211" s="92"/>
      <c r="E211"/>
      <c r="F211"/>
      <c r="G211"/>
      <c r="H211"/>
      <c r="I211"/>
      <c r="J211"/>
      <c r="K211"/>
      <c r="L211"/>
      <c r="N211"/>
      <c r="P211"/>
      <c r="R211"/>
      <c r="S211"/>
      <c r="T211"/>
      <c r="U211"/>
      <c r="V211"/>
      <c r="Y211"/>
    </row>
    <row r="212" spans="1:25" x14ac:dyDescent="0.25">
      <c r="A212" s="90"/>
      <c r="B212" s="91"/>
      <c r="C212" s="91"/>
      <c r="D212" s="92"/>
      <c r="E212"/>
      <c r="F212"/>
      <c r="G212"/>
      <c r="H212"/>
      <c r="I212"/>
      <c r="J212"/>
      <c r="K212"/>
      <c r="L212"/>
      <c r="N212"/>
      <c r="P212"/>
      <c r="R212"/>
      <c r="S212"/>
      <c r="T212"/>
      <c r="U212"/>
      <c r="V212"/>
      <c r="Y212"/>
    </row>
    <row r="213" spans="1:25" x14ac:dyDescent="0.25">
      <c r="A213" s="90"/>
      <c r="B213" s="91"/>
      <c r="C213" s="91"/>
      <c r="D213" s="92"/>
      <c r="E213"/>
      <c r="F213"/>
      <c r="G213"/>
      <c r="H213"/>
      <c r="I213"/>
      <c r="J213"/>
      <c r="K213"/>
      <c r="L213"/>
      <c r="N213"/>
      <c r="P213"/>
      <c r="R213"/>
      <c r="S213"/>
      <c r="T213"/>
      <c r="U213"/>
      <c r="V213"/>
      <c r="Y213"/>
    </row>
    <row r="214" spans="1:25" x14ac:dyDescent="0.25">
      <c r="A214" s="90"/>
      <c r="B214" s="91"/>
      <c r="C214" s="91"/>
      <c r="D214" s="92"/>
      <c r="E214"/>
      <c r="F214"/>
      <c r="G214"/>
      <c r="H214"/>
      <c r="I214"/>
      <c r="J214"/>
      <c r="K214"/>
      <c r="L214"/>
      <c r="N214"/>
      <c r="P214"/>
      <c r="R214"/>
      <c r="S214"/>
      <c r="T214"/>
      <c r="U214"/>
      <c r="V214"/>
      <c r="Y214"/>
    </row>
    <row r="215" spans="1:25" x14ac:dyDescent="0.25">
      <c r="A215" s="90"/>
      <c r="B215" s="91"/>
      <c r="C215" s="91"/>
      <c r="D215" s="92"/>
      <c r="E215"/>
      <c r="F215"/>
      <c r="G215"/>
      <c r="H215"/>
      <c r="I215"/>
      <c r="J215"/>
      <c r="K215"/>
      <c r="L215"/>
      <c r="N215"/>
      <c r="P215"/>
      <c r="R215"/>
      <c r="S215"/>
      <c r="T215"/>
      <c r="U215"/>
      <c r="V215"/>
      <c r="Y215"/>
    </row>
    <row r="216" spans="1:25" x14ac:dyDescent="0.25">
      <c r="A216" s="90"/>
      <c r="B216" s="91"/>
      <c r="C216" s="91"/>
      <c r="D216" s="92"/>
      <c r="E216"/>
      <c r="F216"/>
      <c r="G216"/>
      <c r="H216"/>
      <c r="I216"/>
      <c r="J216"/>
      <c r="K216"/>
      <c r="L216"/>
      <c r="N216"/>
      <c r="P216"/>
      <c r="R216"/>
      <c r="S216"/>
      <c r="T216"/>
      <c r="U216"/>
      <c r="V216"/>
      <c r="Y216"/>
    </row>
    <row r="217" spans="1:25" x14ac:dyDescent="0.25">
      <c r="A217" s="90"/>
      <c r="B217" s="91"/>
      <c r="C217" s="91"/>
      <c r="D217" s="92"/>
      <c r="E217"/>
      <c r="F217"/>
      <c r="G217"/>
      <c r="H217"/>
      <c r="I217"/>
      <c r="J217"/>
      <c r="K217"/>
      <c r="L217"/>
      <c r="N217"/>
      <c r="P217"/>
      <c r="R217"/>
      <c r="S217"/>
      <c r="T217"/>
      <c r="U217"/>
      <c r="V217"/>
      <c r="Y217"/>
    </row>
    <row r="218" spans="1:25" x14ac:dyDescent="0.25">
      <c r="A218" s="90"/>
      <c r="B218" s="91"/>
      <c r="C218" s="91"/>
      <c r="D218" s="92"/>
      <c r="E218"/>
      <c r="F218"/>
      <c r="G218"/>
      <c r="H218"/>
      <c r="I218"/>
      <c r="J218"/>
      <c r="K218"/>
      <c r="L218"/>
      <c r="N218"/>
      <c r="P218"/>
      <c r="R218"/>
      <c r="S218"/>
      <c r="T218"/>
      <c r="U218"/>
      <c r="V218"/>
      <c r="Y218"/>
    </row>
    <row r="219" spans="1:25" x14ac:dyDescent="0.25">
      <c r="A219" s="90"/>
      <c r="B219" s="91"/>
      <c r="C219" s="91"/>
      <c r="D219" s="92"/>
      <c r="E219"/>
      <c r="F219"/>
      <c r="G219"/>
      <c r="H219"/>
      <c r="I219"/>
      <c r="J219"/>
      <c r="K219"/>
      <c r="L219"/>
      <c r="N219"/>
      <c r="P219"/>
      <c r="R219"/>
      <c r="S219"/>
      <c r="T219"/>
      <c r="U219"/>
      <c r="V219"/>
      <c r="Y219"/>
    </row>
    <row r="220" spans="1:25" x14ac:dyDescent="0.25">
      <c r="A220" s="90"/>
      <c r="B220" s="91"/>
      <c r="C220" s="91"/>
      <c r="D220" s="92"/>
      <c r="E220"/>
      <c r="F220"/>
      <c r="G220"/>
      <c r="H220"/>
      <c r="I220"/>
      <c r="J220"/>
      <c r="K220"/>
      <c r="L220"/>
      <c r="N220"/>
      <c r="P220"/>
      <c r="R220"/>
      <c r="S220"/>
      <c r="T220"/>
      <c r="U220"/>
      <c r="V220"/>
      <c r="Y220"/>
    </row>
    <row r="221" spans="1:25" x14ac:dyDescent="0.25">
      <c r="A221" s="90"/>
      <c r="B221" s="91"/>
      <c r="C221" s="91"/>
      <c r="D221" s="92"/>
      <c r="E221"/>
      <c r="F221"/>
      <c r="G221"/>
      <c r="H221"/>
      <c r="I221"/>
      <c r="J221"/>
      <c r="K221"/>
      <c r="L221"/>
      <c r="N221"/>
      <c r="P221"/>
      <c r="R221"/>
      <c r="S221"/>
      <c r="T221"/>
      <c r="U221"/>
      <c r="V221"/>
      <c r="Y221"/>
    </row>
    <row r="222" spans="1:25" x14ac:dyDescent="0.25">
      <c r="A222" s="90"/>
      <c r="B222" s="91"/>
      <c r="C222" s="91"/>
      <c r="D222" s="92"/>
      <c r="E222"/>
      <c r="F222"/>
      <c r="G222"/>
      <c r="H222"/>
      <c r="I222"/>
      <c r="J222"/>
      <c r="K222"/>
      <c r="L222"/>
      <c r="N222"/>
      <c r="P222"/>
      <c r="R222"/>
      <c r="S222"/>
      <c r="T222"/>
      <c r="U222"/>
      <c r="V222"/>
      <c r="Y222"/>
    </row>
    <row r="223" spans="1:25" x14ac:dyDescent="0.25">
      <c r="A223" s="90"/>
      <c r="B223" s="91"/>
      <c r="C223" s="91"/>
      <c r="D223" s="92"/>
      <c r="E223"/>
      <c r="F223"/>
      <c r="G223"/>
      <c r="H223"/>
      <c r="I223"/>
      <c r="J223"/>
      <c r="K223"/>
      <c r="L223"/>
      <c r="N223"/>
      <c r="P223"/>
      <c r="R223"/>
      <c r="S223"/>
      <c r="T223"/>
      <c r="U223"/>
      <c r="V223"/>
      <c r="Y223"/>
    </row>
    <row r="224" spans="1:25" x14ac:dyDescent="0.25">
      <c r="A224" s="90"/>
      <c r="B224" s="91"/>
      <c r="C224" s="91"/>
      <c r="D224" s="92"/>
      <c r="E224"/>
      <c r="F224"/>
      <c r="G224"/>
      <c r="H224"/>
      <c r="I224"/>
      <c r="J224"/>
      <c r="K224"/>
      <c r="L224"/>
      <c r="N224"/>
      <c r="P224"/>
      <c r="R224"/>
      <c r="S224"/>
      <c r="T224"/>
      <c r="U224"/>
      <c r="V224"/>
      <c r="Y224"/>
    </row>
    <row r="225" spans="1:25" x14ac:dyDescent="0.25">
      <c r="A225" s="90"/>
      <c r="B225" s="91"/>
      <c r="C225" s="91"/>
      <c r="D225" s="92"/>
      <c r="E225"/>
      <c r="F225"/>
      <c r="G225"/>
      <c r="H225"/>
      <c r="I225"/>
      <c r="J225"/>
      <c r="K225"/>
      <c r="L225"/>
      <c r="N225"/>
      <c r="P225"/>
      <c r="R225"/>
      <c r="S225"/>
      <c r="T225"/>
      <c r="U225"/>
      <c r="V225"/>
      <c r="Y225"/>
    </row>
    <row r="226" spans="1:25" x14ac:dyDescent="0.25">
      <c r="A226" s="90"/>
      <c r="B226" s="91"/>
      <c r="C226" s="91"/>
      <c r="D226" s="92"/>
      <c r="E226"/>
      <c r="F226"/>
      <c r="G226"/>
      <c r="H226"/>
      <c r="I226"/>
      <c r="J226"/>
      <c r="K226"/>
      <c r="L226"/>
      <c r="N226"/>
      <c r="P226"/>
      <c r="R226"/>
      <c r="S226"/>
      <c r="T226"/>
      <c r="U226"/>
      <c r="V226"/>
      <c r="Y226"/>
    </row>
    <row r="227" spans="1:25" x14ac:dyDescent="0.25">
      <c r="A227" s="90"/>
      <c r="B227" s="91"/>
      <c r="C227" s="91"/>
      <c r="D227" s="92"/>
      <c r="E227"/>
      <c r="F227"/>
      <c r="G227"/>
      <c r="H227"/>
      <c r="I227"/>
      <c r="J227"/>
      <c r="K227"/>
      <c r="L227"/>
      <c r="N227"/>
      <c r="P227"/>
      <c r="R227"/>
      <c r="S227"/>
      <c r="T227"/>
      <c r="U227"/>
      <c r="V227"/>
      <c r="Y227"/>
    </row>
    <row r="228" spans="1:25" x14ac:dyDescent="0.25">
      <c r="A228" s="90"/>
      <c r="B228" s="91"/>
      <c r="C228" s="91"/>
      <c r="D228" s="92"/>
      <c r="E228"/>
      <c r="F228"/>
      <c r="G228"/>
      <c r="H228"/>
      <c r="I228"/>
      <c r="J228"/>
      <c r="K228"/>
      <c r="L228"/>
      <c r="N228"/>
      <c r="P228"/>
      <c r="R228"/>
      <c r="S228"/>
      <c r="T228"/>
      <c r="U228"/>
      <c r="V228"/>
      <c r="Y228"/>
    </row>
    <row r="229" spans="1:25" x14ac:dyDescent="0.25">
      <c r="A229" s="90"/>
      <c r="B229" s="91"/>
      <c r="C229" s="91"/>
      <c r="D229" s="92"/>
      <c r="E229"/>
      <c r="F229"/>
      <c r="G229"/>
      <c r="H229"/>
      <c r="I229"/>
      <c r="J229"/>
      <c r="K229"/>
      <c r="L229"/>
      <c r="N229"/>
      <c r="P229"/>
      <c r="R229"/>
      <c r="S229"/>
      <c r="T229"/>
      <c r="U229"/>
      <c r="V229"/>
      <c r="Y229"/>
    </row>
    <row r="230" spans="1:25" x14ac:dyDescent="0.25">
      <c r="A230" s="90"/>
      <c r="B230" s="91"/>
      <c r="C230" s="91"/>
      <c r="D230" s="92"/>
      <c r="E230"/>
      <c r="F230"/>
      <c r="G230"/>
      <c r="H230"/>
      <c r="I230"/>
      <c r="J230"/>
      <c r="K230"/>
      <c r="L230"/>
      <c r="N230"/>
      <c r="P230"/>
      <c r="R230"/>
      <c r="S230"/>
      <c r="T230"/>
      <c r="U230"/>
      <c r="V230"/>
      <c r="Y230"/>
    </row>
    <row r="231" spans="1:25" x14ac:dyDescent="0.25">
      <c r="A231" s="90"/>
      <c r="B231" s="91"/>
      <c r="C231" s="91"/>
      <c r="D231" s="92"/>
      <c r="E231"/>
      <c r="F231"/>
      <c r="G231"/>
      <c r="H231"/>
      <c r="I231"/>
      <c r="J231"/>
      <c r="K231"/>
      <c r="L231"/>
      <c r="N231"/>
      <c r="P231"/>
      <c r="R231"/>
      <c r="S231"/>
      <c r="T231"/>
      <c r="U231"/>
      <c r="V231"/>
      <c r="Y231"/>
    </row>
    <row r="232" spans="1:25" x14ac:dyDescent="0.25">
      <c r="A232" s="90"/>
      <c r="B232" s="91"/>
      <c r="C232" s="91"/>
      <c r="D232" s="92"/>
      <c r="E232"/>
      <c r="F232"/>
      <c r="G232"/>
      <c r="H232"/>
      <c r="I232"/>
      <c r="J232"/>
      <c r="K232"/>
      <c r="L232"/>
      <c r="N232"/>
      <c r="P232"/>
      <c r="R232"/>
      <c r="S232"/>
      <c r="T232"/>
      <c r="U232"/>
      <c r="V232"/>
      <c r="Y232"/>
    </row>
    <row r="233" spans="1:25" x14ac:dyDescent="0.25">
      <c r="A233" s="90"/>
      <c r="B233" s="91"/>
      <c r="C233" s="91"/>
      <c r="D233" s="92"/>
      <c r="E233"/>
      <c r="F233"/>
      <c r="G233"/>
      <c r="H233"/>
      <c r="I233"/>
      <c r="J233"/>
      <c r="K233"/>
      <c r="L233"/>
      <c r="N233"/>
      <c r="P233"/>
      <c r="R233"/>
      <c r="S233"/>
      <c r="T233"/>
      <c r="U233"/>
      <c r="V233"/>
      <c r="Y233"/>
    </row>
    <row r="234" spans="1:25" x14ac:dyDescent="0.25">
      <c r="A234" s="90"/>
      <c r="B234" s="91"/>
      <c r="C234" s="91"/>
      <c r="D234" s="92"/>
      <c r="E234"/>
      <c r="F234"/>
      <c r="G234"/>
      <c r="H234"/>
      <c r="I234"/>
      <c r="J234"/>
      <c r="K234"/>
      <c r="L234"/>
      <c r="N234"/>
      <c r="P234"/>
      <c r="R234"/>
      <c r="S234"/>
      <c r="T234"/>
      <c r="U234"/>
      <c r="V234"/>
      <c r="Y234"/>
    </row>
    <row r="235" spans="1:25" x14ac:dyDescent="0.25">
      <c r="A235" s="90"/>
      <c r="B235" s="91"/>
      <c r="C235" s="91"/>
      <c r="D235" s="92"/>
      <c r="E235"/>
      <c r="F235"/>
      <c r="G235"/>
      <c r="H235"/>
      <c r="I235"/>
      <c r="J235"/>
      <c r="K235"/>
      <c r="L235"/>
      <c r="N235"/>
      <c r="P235"/>
      <c r="R235"/>
      <c r="S235"/>
      <c r="T235"/>
      <c r="U235"/>
      <c r="V235"/>
      <c r="Y235"/>
    </row>
    <row r="236" spans="1:25" x14ac:dyDescent="0.25">
      <c r="A236" s="90"/>
      <c r="B236" s="91"/>
      <c r="C236" s="91"/>
      <c r="D236" s="92"/>
      <c r="E236"/>
      <c r="F236"/>
      <c r="G236"/>
      <c r="H236"/>
      <c r="I236"/>
      <c r="J236"/>
      <c r="K236"/>
      <c r="L236"/>
      <c r="N236"/>
      <c r="P236"/>
      <c r="R236"/>
      <c r="S236"/>
      <c r="T236"/>
      <c r="U236"/>
      <c r="V236"/>
      <c r="Y236"/>
    </row>
    <row r="237" spans="1:25" x14ac:dyDescent="0.25">
      <c r="A237" s="90"/>
      <c r="B237" s="91"/>
      <c r="C237" s="91"/>
      <c r="D237" s="92"/>
      <c r="E237"/>
      <c r="F237"/>
      <c r="G237"/>
      <c r="H237"/>
      <c r="I237"/>
      <c r="J237"/>
      <c r="K237"/>
      <c r="L237"/>
      <c r="N237"/>
      <c r="P237"/>
      <c r="R237"/>
      <c r="S237"/>
      <c r="T237"/>
      <c r="U237"/>
      <c r="V237"/>
      <c r="Y237"/>
    </row>
    <row r="238" spans="1:25" x14ac:dyDescent="0.25">
      <c r="A238" s="90"/>
      <c r="B238" s="91"/>
      <c r="C238" s="91"/>
      <c r="D238" s="92"/>
      <c r="E238"/>
      <c r="F238"/>
      <c r="G238"/>
      <c r="H238"/>
      <c r="I238"/>
      <c r="J238"/>
      <c r="K238"/>
      <c r="L238"/>
      <c r="N238"/>
      <c r="P238"/>
      <c r="R238"/>
      <c r="S238"/>
      <c r="T238"/>
      <c r="U238"/>
      <c r="V238"/>
      <c r="Y238"/>
    </row>
    <row r="239" spans="1:25" x14ac:dyDescent="0.25">
      <c r="A239" s="90"/>
      <c r="B239" s="91"/>
      <c r="C239" s="91"/>
      <c r="D239" s="92"/>
      <c r="E239"/>
      <c r="F239"/>
      <c r="G239"/>
      <c r="H239"/>
      <c r="I239"/>
      <c r="J239"/>
      <c r="K239"/>
      <c r="L239"/>
      <c r="N239"/>
      <c r="P239"/>
      <c r="R239"/>
      <c r="S239"/>
      <c r="T239"/>
      <c r="U239"/>
      <c r="V239"/>
      <c r="Y239"/>
    </row>
    <row r="240" spans="1:25" x14ac:dyDescent="0.25">
      <c r="A240" s="90"/>
      <c r="B240" s="91"/>
      <c r="C240" s="91"/>
      <c r="D240" s="92"/>
      <c r="E240"/>
      <c r="F240"/>
      <c r="G240"/>
      <c r="H240"/>
      <c r="I240"/>
      <c r="J240"/>
      <c r="K240"/>
      <c r="L240"/>
      <c r="N240"/>
      <c r="P240"/>
      <c r="R240"/>
      <c r="S240"/>
      <c r="T240"/>
      <c r="U240"/>
      <c r="V240"/>
      <c r="Y240"/>
    </row>
    <row r="241" spans="1:25" x14ac:dyDescent="0.25">
      <c r="A241" s="90"/>
      <c r="B241" s="91"/>
      <c r="C241" s="91"/>
      <c r="D241" s="92"/>
      <c r="E241"/>
      <c r="F241"/>
      <c r="G241"/>
      <c r="H241"/>
      <c r="I241"/>
      <c r="J241"/>
      <c r="K241"/>
      <c r="L241"/>
      <c r="N241"/>
      <c r="P241"/>
      <c r="R241"/>
      <c r="S241"/>
      <c r="T241"/>
      <c r="U241"/>
      <c r="V241"/>
      <c r="Y241"/>
    </row>
    <row r="242" spans="1:25" x14ac:dyDescent="0.25">
      <c r="A242" s="90"/>
      <c r="B242" s="91"/>
      <c r="C242" s="91"/>
      <c r="D242" s="92"/>
      <c r="E242"/>
      <c r="F242"/>
      <c r="G242"/>
      <c r="H242"/>
      <c r="I242"/>
      <c r="J242"/>
      <c r="K242"/>
      <c r="L242"/>
      <c r="N242"/>
      <c r="P242"/>
      <c r="R242"/>
      <c r="S242"/>
      <c r="T242"/>
      <c r="U242"/>
      <c r="V242"/>
      <c r="Y242"/>
    </row>
    <row r="243" spans="1:25" x14ac:dyDescent="0.25">
      <c r="A243" s="90"/>
      <c r="B243" s="91"/>
      <c r="C243" s="91"/>
      <c r="D243" s="92"/>
      <c r="E243"/>
      <c r="F243"/>
      <c r="G243"/>
      <c r="H243"/>
      <c r="I243"/>
      <c r="J243"/>
      <c r="K243"/>
      <c r="L243"/>
      <c r="N243"/>
      <c r="P243"/>
      <c r="R243"/>
      <c r="S243"/>
      <c r="T243"/>
      <c r="U243"/>
      <c r="V243"/>
      <c r="Y243"/>
    </row>
    <row r="244" spans="1:25" x14ac:dyDescent="0.25">
      <c r="A244" s="90"/>
      <c r="B244" s="91"/>
      <c r="C244" s="91"/>
      <c r="D244" s="92"/>
      <c r="E244"/>
      <c r="F244"/>
      <c r="G244"/>
      <c r="H244"/>
      <c r="I244"/>
      <c r="J244"/>
      <c r="K244"/>
      <c r="L244"/>
      <c r="N244"/>
      <c r="P244"/>
      <c r="R244"/>
      <c r="S244"/>
      <c r="T244"/>
      <c r="U244"/>
      <c r="V244"/>
      <c r="Y244"/>
    </row>
    <row r="245" spans="1:25" x14ac:dyDescent="0.25">
      <c r="A245" s="90"/>
      <c r="B245" s="91"/>
      <c r="C245" s="91"/>
      <c r="D245" s="92"/>
      <c r="E245"/>
      <c r="F245"/>
      <c r="G245"/>
      <c r="H245"/>
      <c r="I245"/>
      <c r="J245"/>
      <c r="K245"/>
      <c r="L245"/>
      <c r="N245"/>
      <c r="P245"/>
      <c r="R245"/>
      <c r="S245"/>
      <c r="T245"/>
      <c r="U245"/>
      <c r="V245"/>
      <c r="Y245"/>
    </row>
    <row r="246" spans="1:25" x14ac:dyDescent="0.25">
      <c r="A246" s="90"/>
      <c r="B246" s="91"/>
      <c r="C246" s="91"/>
      <c r="D246" s="92"/>
      <c r="E246"/>
      <c r="F246"/>
      <c r="G246"/>
      <c r="H246"/>
      <c r="I246"/>
      <c r="J246"/>
      <c r="K246"/>
      <c r="L246"/>
      <c r="N246"/>
      <c r="P246"/>
      <c r="R246"/>
      <c r="S246"/>
      <c r="T246"/>
      <c r="U246"/>
      <c r="V246"/>
      <c r="Y246"/>
    </row>
    <row r="247" spans="1:25" x14ac:dyDescent="0.25">
      <c r="A247" s="90"/>
      <c r="B247" s="91"/>
      <c r="C247" s="91"/>
      <c r="D247" s="92"/>
      <c r="E247"/>
      <c r="F247"/>
      <c r="G247"/>
      <c r="H247"/>
      <c r="I247"/>
      <c r="J247"/>
      <c r="K247"/>
      <c r="L247"/>
      <c r="N247"/>
      <c r="P247"/>
      <c r="R247"/>
      <c r="S247"/>
      <c r="T247"/>
      <c r="U247"/>
      <c r="V247"/>
      <c r="Y247"/>
    </row>
    <row r="248" spans="1:25" x14ac:dyDescent="0.25">
      <c r="A248" s="90"/>
      <c r="B248" s="91"/>
      <c r="C248" s="91"/>
      <c r="D248" s="92"/>
      <c r="E248"/>
      <c r="F248"/>
      <c r="G248"/>
      <c r="H248"/>
      <c r="I248"/>
      <c r="J248"/>
      <c r="K248"/>
      <c r="L248"/>
      <c r="N248"/>
      <c r="P248"/>
      <c r="R248"/>
      <c r="S248"/>
      <c r="T248"/>
      <c r="U248"/>
      <c r="V248"/>
      <c r="Y248"/>
    </row>
    <row r="249" spans="1:25" x14ac:dyDescent="0.25">
      <c r="A249" s="90"/>
      <c r="B249" s="91"/>
      <c r="C249" s="91"/>
      <c r="D249" s="92"/>
      <c r="E249"/>
      <c r="F249"/>
      <c r="G249"/>
      <c r="H249"/>
      <c r="I249"/>
      <c r="J249"/>
      <c r="K249"/>
      <c r="L249"/>
      <c r="N249"/>
      <c r="P249"/>
      <c r="R249"/>
      <c r="S249"/>
      <c r="T249"/>
      <c r="U249"/>
      <c r="V249"/>
      <c r="Y249"/>
    </row>
    <row r="250" spans="1:25" x14ac:dyDescent="0.25">
      <c r="A250" s="90"/>
      <c r="B250" s="91"/>
      <c r="C250" s="91"/>
      <c r="D250" s="92"/>
      <c r="E250"/>
      <c r="F250"/>
      <c r="G250"/>
      <c r="H250"/>
      <c r="I250"/>
      <c r="J250"/>
      <c r="K250"/>
      <c r="L250"/>
      <c r="N250"/>
      <c r="P250"/>
      <c r="R250"/>
      <c r="S250"/>
      <c r="T250"/>
      <c r="U250"/>
      <c r="V250"/>
      <c r="Y250"/>
    </row>
    <row r="251" spans="1:25" x14ac:dyDescent="0.25">
      <c r="A251" s="90"/>
      <c r="B251" s="91"/>
      <c r="C251" s="91"/>
      <c r="D251" s="92"/>
      <c r="E251"/>
      <c r="F251"/>
      <c r="G251"/>
      <c r="H251"/>
      <c r="I251"/>
      <c r="J251"/>
      <c r="K251"/>
      <c r="L251"/>
      <c r="N251"/>
      <c r="P251"/>
      <c r="R251"/>
      <c r="S251"/>
      <c r="T251"/>
      <c r="U251"/>
      <c r="V251"/>
      <c r="Y251"/>
    </row>
    <row r="252" spans="1:25" x14ac:dyDescent="0.25">
      <c r="A252" s="90"/>
      <c r="B252" s="91"/>
      <c r="C252" s="91"/>
      <c r="D252" s="92"/>
      <c r="E252"/>
      <c r="F252"/>
      <c r="G252"/>
      <c r="H252"/>
      <c r="I252"/>
      <c r="J252"/>
      <c r="K252"/>
      <c r="L252"/>
      <c r="N252"/>
      <c r="P252"/>
      <c r="R252"/>
      <c r="S252"/>
      <c r="T252"/>
      <c r="U252"/>
      <c r="V252"/>
      <c r="Y252"/>
    </row>
    <row r="253" spans="1:25" x14ac:dyDescent="0.25">
      <c r="A253" s="90"/>
      <c r="B253" s="91"/>
      <c r="C253" s="91"/>
      <c r="D253" s="92"/>
      <c r="E253"/>
      <c r="F253"/>
      <c r="G253"/>
      <c r="H253"/>
      <c r="I253"/>
      <c r="J253"/>
      <c r="K253"/>
      <c r="L253"/>
      <c r="N253"/>
      <c r="P253"/>
      <c r="R253"/>
      <c r="S253"/>
      <c r="T253"/>
      <c r="U253"/>
      <c r="V253"/>
      <c r="Y253"/>
    </row>
    <row r="254" spans="1:25" x14ac:dyDescent="0.25">
      <c r="A254" s="90"/>
      <c r="B254" s="91"/>
      <c r="C254" s="91"/>
      <c r="D254" s="92"/>
      <c r="E254"/>
      <c r="F254"/>
      <c r="G254"/>
      <c r="H254"/>
      <c r="I254"/>
      <c r="J254"/>
      <c r="K254"/>
      <c r="L254"/>
      <c r="N254"/>
      <c r="P254"/>
      <c r="R254"/>
      <c r="S254"/>
      <c r="T254"/>
      <c r="U254"/>
      <c r="V254"/>
      <c r="Y254"/>
    </row>
    <row r="255" spans="1:25" x14ac:dyDescent="0.25">
      <c r="A255" s="90"/>
      <c r="B255" s="91"/>
      <c r="C255" s="91"/>
      <c r="D255" s="92"/>
      <c r="E255"/>
      <c r="F255"/>
      <c r="G255"/>
      <c r="H255"/>
      <c r="I255"/>
      <c r="J255"/>
      <c r="K255"/>
      <c r="L255"/>
      <c r="N255"/>
      <c r="P255"/>
      <c r="R255"/>
      <c r="S255"/>
      <c r="T255"/>
      <c r="U255"/>
      <c r="V255"/>
      <c r="Y255"/>
    </row>
    <row r="256" spans="1:25" x14ac:dyDescent="0.25">
      <c r="A256" s="90"/>
      <c r="B256" s="91"/>
      <c r="C256" s="91"/>
      <c r="D256" s="92"/>
      <c r="E256"/>
      <c r="F256"/>
      <c r="G256"/>
      <c r="H256"/>
      <c r="I256"/>
      <c r="J256"/>
      <c r="K256"/>
      <c r="L256"/>
      <c r="N256"/>
      <c r="P256"/>
      <c r="R256"/>
      <c r="S256"/>
      <c r="T256"/>
      <c r="U256"/>
      <c r="V256"/>
      <c r="Y256"/>
    </row>
    <row r="257" spans="1:25" x14ac:dyDescent="0.25">
      <c r="A257" s="90"/>
      <c r="B257" s="91"/>
      <c r="C257" s="91"/>
      <c r="D257" s="92"/>
      <c r="E257"/>
      <c r="F257"/>
      <c r="G257"/>
      <c r="H257"/>
      <c r="I257"/>
      <c r="J257"/>
      <c r="K257"/>
      <c r="L257"/>
      <c r="N257"/>
      <c r="P257"/>
      <c r="R257"/>
      <c r="S257"/>
      <c r="T257"/>
      <c r="U257"/>
      <c r="V257"/>
      <c r="Y257"/>
    </row>
    <row r="258" spans="1:25" x14ac:dyDescent="0.25">
      <c r="A258" s="90"/>
      <c r="B258" s="91"/>
      <c r="C258" s="91"/>
      <c r="D258" s="92"/>
      <c r="E258"/>
      <c r="F258"/>
      <c r="G258"/>
      <c r="H258"/>
      <c r="I258"/>
      <c r="J258"/>
      <c r="K258"/>
      <c r="L258"/>
      <c r="N258"/>
      <c r="P258"/>
      <c r="R258"/>
      <c r="S258"/>
      <c r="T258"/>
      <c r="U258"/>
      <c r="V258"/>
      <c r="Y258"/>
    </row>
    <row r="259" spans="1:25" x14ac:dyDescent="0.25">
      <c r="A259" s="90"/>
      <c r="B259" s="91"/>
      <c r="C259" s="91"/>
      <c r="D259" s="92"/>
      <c r="E259"/>
      <c r="F259"/>
      <c r="G259"/>
      <c r="H259"/>
      <c r="I259"/>
      <c r="J259"/>
      <c r="K259"/>
      <c r="L259"/>
      <c r="N259"/>
      <c r="P259"/>
      <c r="R259"/>
      <c r="S259"/>
      <c r="T259"/>
      <c r="U259"/>
      <c r="V259"/>
      <c r="Y259"/>
    </row>
    <row r="260" spans="1:25" x14ac:dyDescent="0.25">
      <c r="A260" s="90"/>
      <c r="B260" s="91"/>
      <c r="C260" s="91"/>
      <c r="D260" s="92"/>
      <c r="E260"/>
      <c r="F260"/>
      <c r="G260"/>
      <c r="H260"/>
      <c r="I260"/>
      <c r="J260"/>
      <c r="K260"/>
      <c r="L260"/>
      <c r="N260"/>
      <c r="P260"/>
      <c r="R260"/>
      <c r="S260"/>
      <c r="T260"/>
      <c r="U260"/>
      <c r="V260"/>
      <c r="Y260"/>
    </row>
    <row r="261" spans="1:25" x14ac:dyDescent="0.25">
      <c r="A261" s="90"/>
      <c r="B261" s="91"/>
      <c r="C261" s="91"/>
      <c r="D261" s="92"/>
      <c r="E261"/>
      <c r="F261"/>
      <c r="G261"/>
      <c r="H261"/>
      <c r="I261"/>
      <c r="J261"/>
      <c r="K261"/>
      <c r="L261"/>
      <c r="N261"/>
      <c r="P261"/>
      <c r="R261"/>
      <c r="S261"/>
      <c r="T261"/>
      <c r="U261"/>
      <c r="V261"/>
      <c r="Y261"/>
    </row>
    <row r="262" spans="1:25" x14ac:dyDescent="0.25">
      <c r="A262" s="90"/>
      <c r="B262" s="91"/>
      <c r="C262" s="91"/>
      <c r="D262" s="92"/>
      <c r="E262"/>
      <c r="F262"/>
      <c r="G262"/>
      <c r="H262"/>
      <c r="I262"/>
      <c r="J262"/>
      <c r="K262"/>
      <c r="L262"/>
      <c r="N262"/>
      <c r="P262"/>
      <c r="R262"/>
      <c r="S262"/>
      <c r="T262"/>
      <c r="U262"/>
      <c r="V262"/>
      <c r="Y262"/>
    </row>
    <row r="263" spans="1:25" x14ac:dyDescent="0.25">
      <c r="A263" s="90"/>
      <c r="B263" s="91"/>
      <c r="C263" s="91"/>
      <c r="D263" s="92"/>
      <c r="E263"/>
      <c r="F263"/>
      <c r="G263"/>
      <c r="H263"/>
      <c r="I263"/>
      <c r="J263"/>
      <c r="K263"/>
      <c r="L263"/>
      <c r="N263"/>
      <c r="P263"/>
      <c r="R263"/>
      <c r="S263"/>
      <c r="T263"/>
      <c r="U263"/>
      <c r="V263"/>
      <c r="Y263"/>
    </row>
    <row r="264" spans="1:25" x14ac:dyDescent="0.25">
      <c r="A264" s="90"/>
      <c r="B264" s="91"/>
      <c r="C264" s="91"/>
      <c r="D264" s="92"/>
      <c r="E264"/>
      <c r="F264"/>
      <c r="G264"/>
      <c r="H264"/>
      <c r="I264"/>
      <c r="J264"/>
      <c r="K264"/>
      <c r="L264"/>
      <c r="N264"/>
      <c r="P264"/>
      <c r="R264"/>
      <c r="S264"/>
      <c r="T264"/>
      <c r="U264"/>
      <c r="V264"/>
      <c r="Y264"/>
    </row>
    <row r="265" spans="1:25" x14ac:dyDescent="0.25">
      <c r="A265" s="94"/>
      <c r="B265" s="95"/>
      <c r="C265" s="96"/>
    </row>
    <row r="266" spans="1:25" x14ac:dyDescent="0.25">
      <c r="A266" s="94"/>
      <c r="B266" s="95"/>
      <c r="C266" s="96"/>
    </row>
    <row r="267" spans="1:25" x14ac:dyDescent="0.25">
      <c r="A267" s="94"/>
      <c r="B267" s="95"/>
      <c r="C267" s="96"/>
    </row>
    <row r="268" spans="1:25" x14ac:dyDescent="0.25">
      <c r="A268" s="94"/>
      <c r="B268" s="95"/>
      <c r="C268" s="96"/>
    </row>
    <row r="269" spans="1:25" x14ac:dyDescent="0.25">
      <c r="A269" s="94"/>
      <c r="B269" s="95"/>
      <c r="C269" s="96"/>
    </row>
    <row r="270" spans="1:25" x14ac:dyDescent="0.25">
      <c r="A270" s="94"/>
      <c r="B270" s="95"/>
      <c r="C270" s="96"/>
    </row>
    <row r="271" spans="1:25" x14ac:dyDescent="0.25">
      <c r="A271" s="94"/>
      <c r="B271" s="95"/>
      <c r="C271" s="96"/>
    </row>
    <row r="272" spans="1:25" x14ac:dyDescent="0.25">
      <c r="A272" s="94"/>
      <c r="B272" s="95"/>
      <c r="C272" s="96"/>
    </row>
    <row r="273" spans="1:3" x14ac:dyDescent="0.25">
      <c r="A273" s="94"/>
      <c r="B273" s="95"/>
      <c r="C273" s="96"/>
    </row>
    <row r="274" spans="1:3" x14ac:dyDescent="0.25">
      <c r="A274" s="94"/>
      <c r="B274" s="95"/>
      <c r="C274" s="96"/>
    </row>
    <row r="275" spans="1:3" x14ac:dyDescent="0.25">
      <c r="A275" s="94"/>
      <c r="B275" s="95"/>
      <c r="C275" s="96"/>
    </row>
    <row r="276" spans="1:3" x14ac:dyDescent="0.25">
      <c r="A276" s="94"/>
      <c r="B276" s="95"/>
      <c r="C276" s="96"/>
    </row>
    <row r="277" spans="1:3" x14ac:dyDescent="0.25">
      <c r="A277" s="94"/>
      <c r="B277" s="95"/>
      <c r="C277" s="96"/>
    </row>
    <row r="278" spans="1:3" x14ac:dyDescent="0.25">
      <c r="A278" s="94"/>
      <c r="B278" s="95"/>
      <c r="C278" s="96"/>
    </row>
    <row r="279" spans="1:3" x14ac:dyDescent="0.25">
      <c r="A279" s="94"/>
      <c r="B279" s="95"/>
      <c r="C279" s="96"/>
    </row>
    <row r="280" spans="1:3" x14ac:dyDescent="0.25">
      <c r="A280" s="94"/>
      <c r="B280" s="95"/>
      <c r="C280" s="96"/>
    </row>
    <row r="281" spans="1:3" x14ac:dyDescent="0.25">
      <c r="A281" s="94"/>
      <c r="B281" s="95"/>
      <c r="C281" s="96"/>
    </row>
    <row r="282" spans="1:3" x14ac:dyDescent="0.25">
      <c r="A282" s="94"/>
      <c r="B282" s="95"/>
      <c r="C282" s="96"/>
    </row>
    <row r="283" spans="1:3" x14ac:dyDescent="0.25">
      <c r="A283" s="94"/>
      <c r="B283" s="95"/>
      <c r="C283" s="96"/>
    </row>
    <row r="284" spans="1:3" x14ac:dyDescent="0.25">
      <c r="A284" s="94"/>
      <c r="B284" s="95"/>
      <c r="C284" s="96"/>
    </row>
    <row r="285" spans="1:3" x14ac:dyDescent="0.25">
      <c r="A285" s="94"/>
      <c r="B285" s="95"/>
      <c r="C285" s="96"/>
    </row>
    <row r="286" spans="1:3" x14ac:dyDescent="0.25">
      <c r="A286" s="94"/>
      <c r="B286" s="95"/>
      <c r="C286" s="96"/>
    </row>
    <row r="287" spans="1:3" x14ac:dyDescent="0.25">
      <c r="A287" s="94"/>
      <c r="B287" s="95"/>
      <c r="C287" s="96"/>
    </row>
    <row r="288" spans="1:3" x14ac:dyDescent="0.25">
      <c r="A288" s="94"/>
      <c r="B288" s="95"/>
      <c r="C288" s="96"/>
    </row>
    <row r="289" spans="1:33" x14ac:dyDescent="0.25">
      <c r="A289" s="94"/>
      <c r="B289" s="95"/>
      <c r="C289" s="96"/>
    </row>
    <row r="290" spans="1:33" x14ac:dyDescent="0.25">
      <c r="A290" s="94"/>
      <c r="B290" s="95"/>
      <c r="C290" s="96"/>
    </row>
    <row r="291" spans="1:33" x14ac:dyDescent="0.25">
      <c r="A291" s="94"/>
      <c r="B291" s="95"/>
      <c r="C291" s="96"/>
    </row>
    <row r="292" spans="1:33" x14ac:dyDescent="0.25">
      <c r="A292" s="94"/>
      <c r="B292" s="95"/>
      <c r="C292" s="96"/>
    </row>
    <row r="293" spans="1:33" x14ac:dyDescent="0.25">
      <c r="A293" s="94"/>
      <c r="B293" s="95"/>
      <c r="C293" s="96"/>
    </row>
    <row r="294" spans="1:33" x14ac:dyDescent="0.25">
      <c r="A294" s="94"/>
      <c r="B294" s="95"/>
      <c r="C294" s="96"/>
    </row>
    <row r="295" spans="1:33" x14ac:dyDescent="0.25">
      <c r="A295" s="94"/>
      <c r="B295" s="95"/>
      <c r="C295" s="96"/>
    </row>
    <row r="296" spans="1:33" x14ac:dyDescent="0.25">
      <c r="A296" s="94"/>
      <c r="B296" s="95"/>
      <c r="C296" s="96"/>
    </row>
    <row r="297" spans="1:33" x14ac:dyDescent="0.25">
      <c r="A297" s="94"/>
      <c r="B297" s="95"/>
      <c r="C297" s="96"/>
    </row>
    <row r="298" spans="1:33" x14ac:dyDescent="0.25">
      <c r="A298" s="94"/>
      <c r="B298" s="95"/>
      <c r="C298" s="96"/>
    </row>
    <row r="299" spans="1:33" x14ac:dyDescent="0.25">
      <c r="A299" s="94"/>
      <c r="B299" s="95"/>
      <c r="C299" s="96"/>
    </row>
    <row r="300" spans="1:33" x14ac:dyDescent="0.25">
      <c r="A300" s="94"/>
      <c r="B300" s="95"/>
      <c r="C300" s="96"/>
    </row>
    <row r="301" spans="1:33" x14ac:dyDescent="0.25">
      <c r="A301" s="94"/>
      <c r="B301" s="95"/>
      <c r="C301" s="96"/>
    </row>
    <row r="302" spans="1:33" x14ac:dyDescent="0.25">
      <c r="A302" s="94"/>
      <c r="B302" s="95"/>
      <c r="C302" s="96"/>
    </row>
    <row r="303" spans="1:33" x14ac:dyDescent="0.25">
      <c r="A303" s="94"/>
      <c r="B303" s="95"/>
      <c r="C303" s="96"/>
    </row>
    <row r="304" spans="1:33" x14ac:dyDescent="0.25">
      <c r="A304" s="94"/>
      <c r="B304" s="95"/>
      <c r="C304" s="96"/>
      <c r="AG304" t="s">
        <v>50</v>
      </c>
    </row>
  </sheetData>
  <autoFilter ref="P1:P304" xr:uid="{00000000-0009-0000-0000-000001000000}"/>
  <mergeCells count="10">
    <mergeCell ref="A1:D1"/>
    <mergeCell ref="E1:G3"/>
    <mergeCell ref="A2:D2"/>
    <mergeCell ref="R2:Y3"/>
    <mergeCell ref="A3:D3"/>
    <mergeCell ref="B4:D4"/>
    <mergeCell ref="E4:G4"/>
    <mergeCell ref="H4:N4"/>
    <mergeCell ref="P4:Q4"/>
    <mergeCell ref="R4:X4"/>
  </mergeCells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TUBULAR AZUL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Felipe Tovar Aviles</dc:creator>
  <cp:lastModifiedBy>Ruben Felipe Tovar Aviles</cp:lastModifiedBy>
  <dcterms:created xsi:type="dcterms:W3CDTF">2026-03-27T21:49:46Z</dcterms:created>
  <dcterms:modified xsi:type="dcterms:W3CDTF">2026-03-27T21:50:14Z</dcterms:modified>
</cp:coreProperties>
</file>