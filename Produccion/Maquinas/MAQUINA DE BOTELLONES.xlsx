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13_ncr:1_{9C910A20-4BA7-48C3-BFA0-55A6B66742A0}" xr6:coauthVersionLast="47" xr6:coauthVersionMax="47" xr10:uidLastSave="{00000000-0000-0000-0000-000000000000}"/>
  <bookViews>
    <workbookView xWindow="-120" yWindow="-120" windowWidth="20730" windowHeight="11760" xr2:uid="{B1E5D2DD-CD64-454C-BBB7-F8361698FFA7}"/>
  </bookViews>
  <sheets>
    <sheet name="MAQUINA DE BOTELL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" l="1"/>
  <c r="E68" i="1"/>
  <c r="G68" i="1" s="1"/>
  <c r="J68" i="1" s="1"/>
  <c r="D68" i="1"/>
  <c r="I67" i="1"/>
  <c r="E67" i="1"/>
  <c r="G67" i="1" s="1"/>
  <c r="J67" i="1" s="1"/>
  <c r="D67" i="1"/>
  <c r="I66" i="1"/>
  <c r="E66" i="1"/>
  <c r="G66" i="1" s="1"/>
  <c r="J66" i="1" s="1"/>
  <c r="D66" i="1"/>
  <c r="J65" i="1"/>
  <c r="I65" i="1"/>
  <c r="G65" i="1"/>
  <c r="E65" i="1"/>
  <c r="D65" i="1"/>
  <c r="I64" i="1"/>
  <c r="E64" i="1"/>
  <c r="G64" i="1" s="1"/>
  <c r="J64" i="1" s="1"/>
  <c r="D64" i="1"/>
  <c r="I63" i="1"/>
  <c r="E63" i="1"/>
  <c r="G63" i="1" s="1"/>
  <c r="J63" i="1" s="1"/>
  <c r="D63" i="1"/>
  <c r="I62" i="1"/>
  <c r="G62" i="1"/>
  <c r="J62" i="1" s="1"/>
  <c r="E62" i="1"/>
  <c r="D62" i="1"/>
  <c r="I61" i="1"/>
  <c r="G61" i="1"/>
  <c r="J61" i="1" s="1"/>
  <c r="E61" i="1"/>
  <c r="D61" i="1"/>
  <c r="I60" i="1"/>
  <c r="E60" i="1"/>
  <c r="G60" i="1" s="1"/>
  <c r="J60" i="1" s="1"/>
  <c r="D60" i="1"/>
  <c r="I59" i="1"/>
  <c r="E59" i="1"/>
  <c r="G59" i="1" s="1"/>
  <c r="J59" i="1" s="1"/>
  <c r="D59" i="1"/>
  <c r="I58" i="1"/>
  <c r="E58" i="1"/>
  <c r="G58" i="1" s="1"/>
  <c r="J58" i="1" s="1"/>
  <c r="D58" i="1"/>
  <c r="J57" i="1"/>
  <c r="I57" i="1"/>
  <c r="G57" i="1"/>
  <c r="E57" i="1"/>
  <c r="D57" i="1"/>
  <c r="I56" i="1"/>
  <c r="E56" i="1"/>
  <c r="G56" i="1" s="1"/>
  <c r="J56" i="1" s="1"/>
  <c r="D56" i="1"/>
  <c r="I55" i="1"/>
  <c r="E55" i="1"/>
  <c r="G55" i="1" s="1"/>
  <c r="J55" i="1" s="1"/>
  <c r="D55" i="1"/>
  <c r="I54" i="1"/>
  <c r="G54" i="1"/>
  <c r="J54" i="1" s="1"/>
  <c r="E54" i="1"/>
  <c r="D54" i="1"/>
  <c r="I53" i="1"/>
  <c r="G53" i="1"/>
  <c r="J53" i="1" s="1"/>
  <c r="E53" i="1"/>
  <c r="D53" i="1"/>
  <c r="I52" i="1"/>
  <c r="E52" i="1"/>
  <c r="G52" i="1" s="1"/>
  <c r="J52" i="1" s="1"/>
  <c r="D52" i="1"/>
  <c r="I51" i="1"/>
  <c r="E51" i="1"/>
  <c r="G51" i="1" s="1"/>
  <c r="J51" i="1" s="1"/>
  <c r="D51" i="1"/>
  <c r="I50" i="1"/>
  <c r="E50" i="1"/>
  <c r="G50" i="1" s="1"/>
  <c r="J50" i="1" s="1"/>
  <c r="D50" i="1"/>
  <c r="J49" i="1"/>
  <c r="I49" i="1"/>
  <c r="G49" i="1"/>
  <c r="E49" i="1"/>
  <c r="D49" i="1"/>
  <c r="I48" i="1"/>
  <c r="E48" i="1"/>
  <c r="G48" i="1" s="1"/>
  <c r="J48" i="1" s="1"/>
  <c r="D48" i="1"/>
  <c r="I47" i="1"/>
  <c r="E47" i="1"/>
  <c r="G47" i="1" s="1"/>
  <c r="J47" i="1" s="1"/>
  <c r="D47" i="1"/>
  <c r="I46" i="1"/>
  <c r="G46" i="1"/>
  <c r="J46" i="1" s="1"/>
  <c r="E46" i="1"/>
  <c r="D46" i="1"/>
  <c r="I45" i="1"/>
  <c r="G45" i="1"/>
  <c r="J45" i="1" s="1"/>
  <c r="E45" i="1"/>
  <c r="D45" i="1"/>
  <c r="I44" i="1"/>
  <c r="E44" i="1"/>
  <c r="G44" i="1" s="1"/>
  <c r="J44" i="1" s="1"/>
  <c r="D44" i="1"/>
  <c r="I43" i="1"/>
  <c r="E43" i="1"/>
  <c r="G43" i="1" s="1"/>
  <c r="J43" i="1" s="1"/>
  <c r="D43" i="1"/>
  <c r="I42" i="1"/>
  <c r="E42" i="1"/>
  <c r="G42" i="1" s="1"/>
  <c r="J42" i="1" s="1"/>
  <c r="D42" i="1"/>
  <c r="J41" i="1"/>
  <c r="I41" i="1"/>
  <c r="G41" i="1"/>
  <c r="E41" i="1"/>
  <c r="D41" i="1"/>
  <c r="I40" i="1"/>
  <c r="E40" i="1"/>
  <c r="G40" i="1" s="1"/>
  <c r="J40" i="1" s="1"/>
  <c r="D40" i="1"/>
  <c r="I39" i="1"/>
  <c r="E39" i="1"/>
  <c r="G39" i="1" s="1"/>
  <c r="J39" i="1" s="1"/>
  <c r="D39" i="1"/>
  <c r="I38" i="1"/>
  <c r="G38" i="1"/>
  <c r="J38" i="1" s="1"/>
  <c r="E38" i="1"/>
  <c r="D38" i="1"/>
  <c r="I37" i="1"/>
  <c r="G37" i="1"/>
  <c r="J37" i="1" s="1"/>
  <c r="E37" i="1"/>
  <c r="D37" i="1"/>
  <c r="J36" i="1"/>
  <c r="I36" i="1"/>
  <c r="E36" i="1"/>
  <c r="D36" i="1"/>
  <c r="I35" i="1"/>
  <c r="E35" i="1"/>
  <c r="G35" i="1" s="1"/>
  <c r="J35" i="1" s="1"/>
  <c r="D35" i="1"/>
  <c r="I34" i="1"/>
  <c r="E34" i="1"/>
  <c r="G34" i="1" s="1"/>
  <c r="J34" i="1" s="1"/>
  <c r="D34" i="1"/>
  <c r="I33" i="1"/>
  <c r="G33" i="1"/>
  <c r="J33" i="1" s="1"/>
  <c r="E33" i="1"/>
  <c r="D33" i="1"/>
  <c r="I32" i="1"/>
  <c r="G32" i="1"/>
  <c r="J32" i="1" s="1"/>
  <c r="E32" i="1"/>
  <c r="D32" i="1"/>
  <c r="I31" i="1"/>
  <c r="E31" i="1"/>
  <c r="G31" i="1" s="1"/>
  <c r="J31" i="1" s="1"/>
  <c r="D31" i="1"/>
  <c r="I30" i="1"/>
  <c r="E30" i="1"/>
  <c r="G30" i="1" s="1"/>
  <c r="J30" i="1" s="1"/>
  <c r="D30" i="1"/>
  <c r="I29" i="1"/>
  <c r="E29" i="1"/>
  <c r="G29" i="1" s="1"/>
  <c r="J29" i="1" s="1"/>
  <c r="D29" i="1"/>
  <c r="J28" i="1"/>
  <c r="I28" i="1"/>
  <c r="G28" i="1"/>
  <c r="E28" i="1"/>
  <c r="D28" i="1"/>
  <c r="I27" i="1"/>
  <c r="E27" i="1"/>
  <c r="G27" i="1" s="1"/>
  <c r="J27" i="1" s="1"/>
  <c r="D27" i="1"/>
  <c r="I26" i="1"/>
  <c r="E26" i="1"/>
  <c r="G26" i="1" s="1"/>
  <c r="J26" i="1" s="1"/>
  <c r="D26" i="1"/>
  <c r="I25" i="1"/>
  <c r="G25" i="1"/>
  <c r="J25" i="1" s="1"/>
  <c r="E25" i="1"/>
  <c r="D25" i="1"/>
  <c r="J24" i="1"/>
  <c r="I24" i="1"/>
  <c r="E24" i="1"/>
  <c r="D24" i="1"/>
  <c r="J23" i="1"/>
  <c r="I23" i="1"/>
  <c r="G23" i="1"/>
  <c r="E23" i="1"/>
  <c r="D23" i="1"/>
  <c r="I22" i="1"/>
  <c r="E22" i="1"/>
  <c r="G22" i="1" s="1"/>
  <c r="J22" i="1" s="1"/>
  <c r="D22" i="1"/>
  <c r="J21" i="1"/>
  <c r="I21" i="1"/>
  <c r="E21" i="1"/>
  <c r="D21" i="1"/>
  <c r="J20" i="1"/>
  <c r="I20" i="1"/>
  <c r="E20" i="1"/>
  <c r="D20" i="1"/>
  <c r="J19" i="1"/>
  <c r="I19" i="1"/>
  <c r="E19" i="1"/>
  <c r="D19" i="1"/>
  <c r="J18" i="1"/>
  <c r="I18" i="1"/>
  <c r="E18" i="1"/>
  <c r="D18" i="1"/>
  <c r="I17" i="1"/>
  <c r="E17" i="1"/>
  <c r="G17" i="1" s="1"/>
  <c r="J17" i="1" s="1"/>
  <c r="D17" i="1"/>
  <c r="I16" i="1"/>
  <c r="G16" i="1"/>
  <c r="J16" i="1" s="1"/>
  <c r="E16" i="1"/>
  <c r="D16" i="1"/>
  <c r="I15" i="1"/>
  <c r="G15" i="1"/>
  <c r="J15" i="1" s="1"/>
  <c r="E15" i="1"/>
  <c r="D15" i="1"/>
  <c r="I14" i="1"/>
  <c r="E14" i="1"/>
  <c r="G14" i="1" s="1"/>
  <c r="J14" i="1" s="1"/>
  <c r="D14" i="1"/>
  <c r="I13" i="1"/>
  <c r="E13" i="1"/>
  <c r="G13" i="1" s="1"/>
  <c r="J13" i="1" s="1"/>
  <c r="D13" i="1"/>
  <c r="I12" i="1"/>
  <c r="E12" i="1"/>
  <c r="G12" i="1" s="1"/>
  <c r="J12" i="1" s="1"/>
  <c r="D12" i="1"/>
  <c r="J11" i="1"/>
  <c r="I11" i="1"/>
  <c r="E11" i="1"/>
  <c r="D11" i="1"/>
  <c r="J10" i="1"/>
  <c r="I10" i="1"/>
  <c r="E10" i="1"/>
  <c r="D10" i="1"/>
  <c r="J9" i="1"/>
  <c r="I9" i="1"/>
  <c r="E9" i="1"/>
  <c r="D9" i="1"/>
  <c r="I8" i="1"/>
  <c r="G8" i="1"/>
  <c r="J8" i="1" s="1"/>
  <c r="E8" i="1"/>
  <c r="D8" i="1"/>
  <c r="J7" i="1"/>
  <c r="I7" i="1"/>
  <c r="G7" i="1"/>
  <c r="D7" i="1"/>
</calcChain>
</file>

<file path=xl/sharedStrings.xml><?xml version="1.0" encoding="utf-8"?>
<sst xmlns="http://schemas.openxmlformats.org/spreadsheetml/2006/main" count="65" uniqueCount="35">
  <si>
    <t>COMPAÑÍA OPITA DE FRIO SAS</t>
  </si>
  <si>
    <t>MAQUINA BOTELLONES</t>
  </si>
  <si>
    <t>CONTROL DE TIEMPO DE PRODUCCION</t>
  </si>
  <si>
    <t>LINEA DEL AGUA</t>
  </si>
  <si>
    <t>TIEMPO HORARICA</t>
  </si>
  <si>
    <t>CONTROL HOROMETRO</t>
  </si>
  <si>
    <t>PRODUCTOS</t>
  </si>
  <si>
    <t>PROMED</t>
  </si>
  <si>
    <t>OBSERVACIONES</t>
  </si>
  <si>
    <t>FECHA</t>
  </si>
  <si>
    <t>HORA INIC</t>
  </si>
  <si>
    <t>HORA FIN</t>
  </si>
  <si>
    <t>TIEMP PRENDIDA</t>
  </si>
  <si>
    <t>HOROM INC</t>
  </si>
  <si>
    <t>HOROM FIN</t>
  </si>
  <si>
    <t>TIEMP PROD</t>
  </si>
  <si>
    <t>BOTELLON</t>
  </si>
  <si>
    <t>ACUM BOTELL</t>
  </si>
  <si>
    <t>BOT X HORA</t>
  </si>
  <si>
    <t>AYUDANTE</t>
  </si>
  <si>
    <t>PET 300*24</t>
  </si>
  <si>
    <t>PET 500 *12</t>
  </si>
  <si>
    <t>PET 500*12 GAS</t>
  </si>
  <si>
    <t>PET 600 *12</t>
  </si>
  <si>
    <t>PET 5 litros</t>
  </si>
  <si>
    <t>PET 600*12 GAS</t>
  </si>
  <si>
    <t>pet 1litro*6</t>
  </si>
  <si>
    <t xml:space="preserve"> -     </t>
  </si>
  <si>
    <t>Yinso Novoa</t>
  </si>
  <si>
    <t xml:space="preserve">luis torres </t>
  </si>
  <si>
    <t>humberto</t>
  </si>
  <si>
    <t>Miguel Mendoza</t>
  </si>
  <si>
    <t>Hernandez Luis</t>
  </si>
  <si>
    <t>james</t>
  </si>
  <si>
    <t>andres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</si>
</sst>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_-* #,##0.00\ _€_-;\-* #,##0.00\ _€_-;_-* &quot;-&quot;??\ _€_-;_-@_-"/>
    <numFmt numFmtId="166" formatCode="_-* #,##0\ _€_-;\-* #,##0\ _€_-;_-* &quot;-&quot;??\ _€_-;_-@_-"/>
    <numFmt numFmtId="167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48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5" xfId="0" applyFont="1" applyBorder="1"/>
    <xf numFmtId="0" fontId="3" fillId="6" borderId="5" xfId="0" applyFont="1" applyFill="1" applyBorder="1" applyAlignment="1">
      <alignment horizontal="center"/>
    </xf>
    <xf numFmtId="0" fontId="2" fillId="0" borderId="0" xfId="0" applyFont="1"/>
    <xf numFmtId="0" fontId="3" fillId="0" borderId="5" xfId="0" applyFont="1" applyBorder="1" applyAlignment="1">
      <alignment horizontal="center"/>
    </xf>
    <xf numFmtId="20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20" fontId="6" fillId="11" borderId="5" xfId="0" applyNumberFormat="1" applyFont="1" applyFill="1" applyBorder="1" applyAlignment="1">
      <alignment horizontal="center" vertical="center"/>
    </xf>
    <xf numFmtId="1" fontId="6" fillId="12" borderId="5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/>
    </xf>
    <xf numFmtId="2" fontId="6" fillId="4" borderId="5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166" fontId="6" fillId="5" borderId="5" xfId="1" applyNumberFormat="1" applyFont="1" applyFill="1" applyBorder="1" applyAlignment="1">
      <alignment horizontal="center" vertical="center"/>
    </xf>
    <xf numFmtId="166" fontId="6" fillId="6" borderId="5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0" fillId="0" borderId="5" xfId="0" applyBorder="1"/>
    <xf numFmtId="164" fontId="6" fillId="0" borderId="5" xfId="0" applyNumberFormat="1" applyFont="1" applyBorder="1" applyAlignment="1">
      <alignment horizontal="center" vertical="center"/>
    </xf>
    <xf numFmtId="2" fontId="6" fillId="12" borderId="5" xfId="0" applyNumberFormat="1" applyFont="1" applyFill="1" applyBorder="1" applyAlignment="1">
      <alignment horizontal="center" vertical="center"/>
    </xf>
    <xf numFmtId="1" fontId="6" fillId="13" borderId="5" xfId="0" applyNumberFormat="1" applyFont="1" applyFill="1" applyBorder="1" applyAlignment="1">
      <alignment horizontal="center" vertical="center"/>
    </xf>
    <xf numFmtId="167" fontId="6" fillId="4" borderId="5" xfId="0" applyNumberFormat="1" applyFont="1" applyFill="1" applyBorder="1" applyAlignment="1">
      <alignment horizontal="center" vertical="center"/>
    </xf>
    <xf numFmtId="166" fontId="6" fillId="13" borderId="5" xfId="1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 vertical="center"/>
    </xf>
    <xf numFmtId="166" fontId="6" fillId="0" borderId="5" xfId="1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13" borderId="5" xfId="0" applyNumberFormat="1" applyFont="1" applyFill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 vertical="center"/>
    </xf>
    <xf numFmtId="20" fontId="7" fillId="11" borderId="5" xfId="0" applyNumberFormat="1" applyFont="1" applyFill="1" applyBorder="1" applyAlignment="1">
      <alignment horizontal="center" vertical="center"/>
    </xf>
    <xf numFmtId="2" fontId="7" fillId="12" borderId="5" xfId="0" applyNumberFormat="1" applyFont="1" applyFill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4" borderId="5" xfId="0" applyNumberFormat="1" applyFont="1" applyFill="1" applyBorder="1" applyAlignment="1">
      <alignment horizontal="center" vertical="center"/>
    </xf>
    <xf numFmtId="166" fontId="7" fillId="0" borderId="5" xfId="1" applyNumberFormat="1" applyFont="1" applyFill="1" applyBorder="1" applyAlignment="1">
      <alignment horizontal="center" vertical="center"/>
    </xf>
    <xf numFmtId="166" fontId="7" fillId="5" borderId="5" xfId="1" applyNumberFormat="1" applyFont="1" applyFill="1" applyBorder="1" applyAlignment="1">
      <alignment horizontal="center" vertical="center"/>
    </xf>
    <xf numFmtId="166" fontId="7" fillId="6" borderId="5" xfId="1" applyNumberFormat="1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217B-94D4-426D-9D3B-FC120E2FD482}">
  <sheetPr>
    <tabColor theme="8" tint="-0.499984740745262"/>
  </sheetPr>
  <dimension ref="A1:AF1048576"/>
  <sheetViews>
    <sheetView tabSelected="1" topLeftCell="A1048557" zoomScale="120" zoomScaleNormal="120" workbookViewId="0">
      <selection activeCell="A1048576" sqref="A1048576"/>
    </sheetView>
  </sheetViews>
  <sheetFormatPr baseColWidth="10" defaultRowHeight="15" x14ac:dyDescent="0.25"/>
  <cols>
    <col min="1" max="1" width="18.7109375" customWidth="1"/>
    <col min="2" max="2" width="17.85546875" customWidth="1"/>
    <col min="3" max="3" width="19.85546875" customWidth="1"/>
    <col min="4" max="4" width="37.140625" customWidth="1"/>
    <col min="5" max="5" width="15.7109375" customWidth="1"/>
    <col min="6" max="6" width="16.85546875" customWidth="1"/>
    <col min="7" max="7" width="16.7109375" customWidth="1"/>
    <col min="8" max="8" width="17.140625" customWidth="1"/>
    <col min="9" max="9" width="22.42578125" customWidth="1"/>
    <col min="10" max="10" width="21" customWidth="1"/>
    <col min="11" max="11" width="26.28515625" customWidth="1"/>
    <col min="12" max="12" width="16.42578125" customWidth="1"/>
    <col min="13" max="13" width="19.42578125" customWidth="1"/>
    <col min="14" max="14" width="22.7109375" customWidth="1"/>
    <col min="15" max="15" width="15.42578125" customWidth="1"/>
    <col min="16" max="16" width="16.5703125" customWidth="1"/>
    <col min="17" max="17" width="23.42578125" customWidth="1"/>
    <col min="18" max="18" width="21.42578125" customWidth="1"/>
  </cols>
  <sheetData>
    <row r="1" spans="1:19" ht="21.75" customHeight="1" x14ac:dyDescent="0.25">
      <c r="A1" s="51" t="s">
        <v>0</v>
      </c>
      <c r="B1" s="51"/>
      <c r="C1" s="52"/>
      <c r="D1" s="53" t="s">
        <v>1</v>
      </c>
      <c r="E1" s="54"/>
      <c r="F1" s="54"/>
      <c r="G1" s="54"/>
      <c r="H1" s="54"/>
      <c r="I1" s="54"/>
      <c r="J1" s="54"/>
      <c r="K1" s="54"/>
    </row>
    <row r="2" spans="1:19" ht="12.75" customHeight="1" x14ac:dyDescent="0.25">
      <c r="A2" s="51" t="s">
        <v>2</v>
      </c>
      <c r="B2" s="51"/>
      <c r="C2" s="52"/>
      <c r="D2" s="53"/>
      <c r="E2" s="54"/>
      <c r="F2" s="54"/>
      <c r="G2" s="54"/>
      <c r="H2" s="54"/>
      <c r="I2" s="54"/>
      <c r="J2" s="54"/>
      <c r="K2" s="54"/>
    </row>
    <row r="3" spans="1:19" ht="19.5" customHeight="1" x14ac:dyDescent="0.25">
      <c r="A3" s="55" t="s">
        <v>3</v>
      </c>
      <c r="B3" s="55"/>
      <c r="C3" s="56"/>
      <c r="D3" s="53"/>
      <c r="E3" s="54"/>
      <c r="F3" s="54"/>
      <c r="G3" s="54"/>
      <c r="H3" s="54"/>
      <c r="I3" s="54"/>
      <c r="J3" s="54"/>
      <c r="K3" s="54"/>
    </row>
    <row r="4" spans="1:19" ht="15.75" x14ac:dyDescent="0.25">
      <c r="A4" s="1"/>
      <c r="B4" s="57" t="s">
        <v>4</v>
      </c>
      <c r="C4" s="57"/>
      <c r="D4" s="57"/>
      <c r="E4" s="58" t="s">
        <v>5</v>
      </c>
      <c r="F4" s="58"/>
      <c r="G4" s="58"/>
      <c r="H4" s="59" t="s">
        <v>6</v>
      </c>
      <c r="I4" s="59"/>
      <c r="J4" s="2" t="s">
        <v>7</v>
      </c>
      <c r="K4" s="60" t="s">
        <v>8</v>
      </c>
      <c r="L4" s="61"/>
      <c r="M4" s="61"/>
      <c r="N4" s="61"/>
      <c r="O4" s="61"/>
      <c r="P4" s="61"/>
      <c r="Q4" s="61"/>
      <c r="R4" s="3"/>
      <c r="S4" s="3"/>
    </row>
    <row r="5" spans="1:19" ht="15.75" x14ac:dyDescent="0.25">
      <c r="A5" s="4" t="s">
        <v>9</v>
      </c>
      <c r="B5" s="4" t="s">
        <v>10</v>
      </c>
      <c r="C5" s="4" t="s">
        <v>11</v>
      </c>
      <c r="D5" s="5" t="s">
        <v>12</v>
      </c>
      <c r="E5" s="6" t="s">
        <v>13</v>
      </c>
      <c r="F5" s="6" t="s">
        <v>14</v>
      </c>
      <c r="G5" s="6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7" t="s">
        <v>20</v>
      </c>
      <c r="M5" s="8" t="s">
        <v>21</v>
      </c>
      <c r="N5" s="9" t="s">
        <v>22</v>
      </c>
      <c r="O5" s="8" t="s">
        <v>23</v>
      </c>
      <c r="P5" s="10" t="s">
        <v>24</v>
      </c>
      <c r="Q5" s="9" t="s">
        <v>25</v>
      </c>
      <c r="R5" s="11" t="s">
        <v>26</v>
      </c>
      <c r="S5" s="3"/>
    </row>
    <row r="6" spans="1:19" ht="21" customHeight="1" x14ac:dyDescent="0.25">
      <c r="A6" s="12"/>
      <c r="B6" s="13"/>
      <c r="C6" s="13"/>
      <c r="D6" s="14"/>
      <c r="E6" s="15">
        <v>0</v>
      </c>
      <c r="F6" s="16"/>
      <c r="G6" s="17"/>
      <c r="H6" s="18"/>
      <c r="I6" s="19"/>
      <c r="J6" s="20" t="s">
        <v>27</v>
      </c>
      <c r="K6" s="21"/>
      <c r="L6" s="22"/>
      <c r="M6" s="23"/>
      <c r="N6" s="23"/>
      <c r="O6" s="23"/>
      <c r="P6" s="23"/>
      <c r="Q6" s="23"/>
      <c r="R6" s="24"/>
    </row>
    <row r="7" spans="1:19" ht="15.75" x14ac:dyDescent="0.25">
      <c r="A7" s="12">
        <v>46082</v>
      </c>
      <c r="B7" s="25">
        <v>0.33333333333333331</v>
      </c>
      <c r="C7" s="25">
        <v>0.52083333333333337</v>
      </c>
      <c r="D7" s="14">
        <f t="shared" ref="D7:D68" si="0">+C7-B7</f>
        <v>0.18750000000000006</v>
      </c>
      <c r="E7" s="26">
        <v>61714</v>
      </c>
      <c r="F7" s="27">
        <v>61892</v>
      </c>
      <c r="G7" s="28">
        <f>(F7-E7)/100</f>
        <v>1.78</v>
      </c>
      <c r="H7" s="29">
        <v>149</v>
      </c>
      <c r="I7" s="19">
        <f t="shared" ref="I7:I16" si="1">+H7</f>
        <v>149</v>
      </c>
      <c r="J7" s="20">
        <f t="shared" ref="J7:J68" si="2">+H7/G7</f>
        <v>83.707865168539328</v>
      </c>
      <c r="K7" s="30" t="s">
        <v>28</v>
      </c>
      <c r="L7" s="22"/>
      <c r="M7" s="31"/>
      <c r="N7" s="31"/>
      <c r="O7" s="31"/>
      <c r="P7" s="31">
        <v>56</v>
      </c>
      <c r="Q7" s="31"/>
      <c r="R7" s="32"/>
    </row>
    <row r="8" spans="1:19" ht="15.75" x14ac:dyDescent="0.25">
      <c r="A8" s="12">
        <v>46083</v>
      </c>
      <c r="B8" s="25">
        <v>0.39652777777777776</v>
      </c>
      <c r="C8" s="25">
        <v>0.49305555555555558</v>
      </c>
      <c r="D8" s="14">
        <f t="shared" si="0"/>
        <v>9.6527777777777823E-2</v>
      </c>
      <c r="E8" s="26">
        <f t="shared" ref="E8:E68" si="3">F7</f>
        <v>61892</v>
      </c>
      <c r="F8" s="27">
        <v>61989</v>
      </c>
      <c r="G8" s="33">
        <f t="shared" ref="G8:G68" si="4">(F8-E8)/100</f>
        <v>0.97</v>
      </c>
      <c r="H8" s="29">
        <v>63</v>
      </c>
      <c r="I8" s="19">
        <f t="shared" si="1"/>
        <v>63</v>
      </c>
      <c r="J8" s="20">
        <f t="shared" si="2"/>
        <v>64.948453608247419</v>
      </c>
      <c r="K8" s="30" t="s">
        <v>29</v>
      </c>
      <c r="L8" s="22">
        <v>7</v>
      </c>
      <c r="M8" s="31"/>
      <c r="N8" s="31"/>
      <c r="O8" s="31"/>
      <c r="P8" s="31"/>
      <c r="Q8" s="31"/>
      <c r="R8" s="32"/>
    </row>
    <row r="9" spans="1:19" ht="15.75" x14ac:dyDescent="0.25">
      <c r="A9" s="12">
        <v>46083</v>
      </c>
      <c r="B9" s="25">
        <v>0.67361111111111116</v>
      </c>
      <c r="C9" s="25">
        <v>0.75</v>
      </c>
      <c r="D9" s="14">
        <f t="shared" si="0"/>
        <v>7.638888888888884E-2</v>
      </c>
      <c r="E9" s="26">
        <f t="shared" si="3"/>
        <v>61989</v>
      </c>
      <c r="F9" s="27">
        <v>62065</v>
      </c>
      <c r="G9" s="33">
        <v>6</v>
      </c>
      <c r="H9" s="29">
        <v>58</v>
      </c>
      <c r="I9" s="19">
        <f t="shared" si="1"/>
        <v>58</v>
      </c>
      <c r="J9" s="20">
        <f t="shared" si="2"/>
        <v>9.6666666666666661</v>
      </c>
      <c r="K9" s="34" t="s">
        <v>30</v>
      </c>
      <c r="L9" s="22"/>
      <c r="M9" s="31"/>
      <c r="N9" s="31"/>
      <c r="O9" s="31"/>
      <c r="P9" s="31"/>
      <c r="Q9" s="31"/>
      <c r="R9" s="32"/>
    </row>
    <row r="10" spans="1:19" ht="15.75" x14ac:dyDescent="0.25">
      <c r="A10" s="12">
        <v>46083</v>
      </c>
      <c r="B10" s="25">
        <v>3.888888888888889E-2</v>
      </c>
      <c r="C10" s="25">
        <v>5.347222222222222E-2</v>
      </c>
      <c r="D10" s="14">
        <f t="shared" si="0"/>
        <v>1.458333333333333E-2</v>
      </c>
      <c r="E10" s="26">
        <f t="shared" si="3"/>
        <v>62065</v>
      </c>
      <c r="F10" s="27">
        <v>62095</v>
      </c>
      <c r="G10" s="33">
        <v>3</v>
      </c>
      <c r="H10" s="29">
        <v>23</v>
      </c>
      <c r="I10" s="19">
        <f t="shared" si="1"/>
        <v>23</v>
      </c>
      <c r="J10" s="20">
        <f t="shared" si="2"/>
        <v>7.666666666666667</v>
      </c>
      <c r="K10" s="34" t="s">
        <v>28</v>
      </c>
      <c r="L10" s="22"/>
      <c r="M10" s="23"/>
      <c r="N10" s="23"/>
      <c r="O10" s="23"/>
      <c r="P10" s="23">
        <v>84</v>
      </c>
      <c r="Q10" s="23"/>
      <c r="R10" s="24"/>
    </row>
    <row r="11" spans="1:19" ht="15.75" x14ac:dyDescent="0.25">
      <c r="A11" s="12">
        <v>46084</v>
      </c>
      <c r="B11" s="25">
        <v>0.38541666666666669</v>
      </c>
      <c r="C11" s="25">
        <v>0.67361111111111116</v>
      </c>
      <c r="D11" s="14">
        <f t="shared" si="0"/>
        <v>0.28819444444444448</v>
      </c>
      <c r="E11" s="26">
        <f t="shared" si="3"/>
        <v>62095</v>
      </c>
      <c r="F11" s="27">
        <v>62297</v>
      </c>
      <c r="G11" s="33">
        <v>2</v>
      </c>
      <c r="H11" s="29">
        <v>166</v>
      </c>
      <c r="I11" s="19">
        <f t="shared" si="1"/>
        <v>166</v>
      </c>
      <c r="J11" s="20">
        <f t="shared" si="2"/>
        <v>83</v>
      </c>
      <c r="K11" s="30" t="s">
        <v>31</v>
      </c>
      <c r="L11" s="22"/>
      <c r="M11" s="31"/>
      <c r="N11" s="31"/>
      <c r="O11" s="31"/>
      <c r="P11" s="31"/>
      <c r="Q11" s="31"/>
      <c r="R11" s="32"/>
    </row>
    <row r="12" spans="1:19" ht="15.75" x14ac:dyDescent="0.25">
      <c r="A12" s="12">
        <v>46085</v>
      </c>
      <c r="B12" s="25">
        <v>0.3125</v>
      </c>
      <c r="C12" s="25">
        <v>0.72777777777777775</v>
      </c>
      <c r="D12" s="14">
        <f t="shared" si="0"/>
        <v>0.41527777777777775</v>
      </c>
      <c r="E12" s="26">
        <f t="shared" si="3"/>
        <v>62297</v>
      </c>
      <c r="F12" s="27">
        <v>62781</v>
      </c>
      <c r="G12" s="33">
        <f t="shared" si="4"/>
        <v>4.84</v>
      </c>
      <c r="H12" s="29">
        <v>159</v>
      </c>
      <c r="I12" s="19">
        <f t="shared" si="1"/>
        <v>159</v>
      </c>
      <c r="J12" s="20">
        <f t="shared" si="2"/>
        <v>32.851239669421489</v>
      </c>
      <c r="K12" s="30" t="s">
        <v>29</v>
      </c>
      <c r="L12" s="22"/>
      <c r="M12" s="31"/>
      <c r="N12" s="31"/>
      <c r="O12" s="31"/>
      <c r="P12" s="31"/>
      <c r="Q12" s="31"/>
      <c r="R12" s="32"/>
    </row>
    <row r="13" spans="1:19" ht="15.75" x14ac:dyDescent="0.25">
      <c r="A13" s="12">
        <v>46085</v>
      </c>
      <c r="B13" s="25">
        <v>0.7944444444444444</v>
      </c>
      <c r="C13" s="25">
        <v>0.81944444444444442</v>
      </c>
      <c r="D13" s="14">
        <f t="shared" si="0"/>
        <v>2.5000000000000022E-2</v>
      </c>
      <c r="E13" s="26">
        <f t="shared" si="3"/>
        <v>62781</v>
      </c>
      <c r="F13" s="27">
        <v>62842</v>
      </c>
      <c r="G13" s="33">
        <f t="shared" si="4"/>
        <v>0.61</v>
      </c>
      <c r="H13" s="29">
        <v>53</v>
      </c>
      <c r="I13" s="19">
        <f t="shared" si="1"/>
        <v>53</v>
      </c>
      <c r="J13" s="20">
        <f t="shared" si="2"/>
        <v>86.885245901639351</v>
      </c>
      <c r="K13" s="34" t="s">
        <v>32</v>
      </c>
      <c r="L13" s="22">
        <v>10</v>
      </c>
      <c r="M13" s="31"/>
      <c r="N13" s="31"/>
      <c r="O13" s="31"/>
      <c r="P13" s="31"/>
      <c r="Q13" s="31"/>
      <c r="R13" s="32"/>
    </row>
    <row r="14" spans="1:19" ht="19.5" customHeight="1" x14ac:dyDescent="0.25">
      <c r="A14" s="12">
        <v>46086</v>
      </c>
      <c r="B14" s="25">
        <v>0.39930555555555558</v>
      </c>
      <c r="C14" s="25">
        <v>0.54513888888888884</v>
      </c>
      <c r="D14" s="14">
        <f t="shared" si="0"/>
        <v>0.14583333333333326</v>
      </c>
      <c r="E14" s="26">
        <f t="shared" si="3"/>
        <v>62842</v>
      </c>
      <c r="F14" s="35">
        <v>63000</v>
      </c>
      <c r="G14" s="33">
        <f t="shared" si="4"/>
        <v>1.58</v>
      </c>
      <c r="H14" s="36">
        <v>128</v>
      </c>
      <c r="I14" s="19">
        <f t="shared" si="1"/>
        <v>128</v>
      </c>
      <c r="J14" s="20">
        <f t="shared" si="2"/>
        <v>81.012658227848092</v>
      </c>
      <c r="K14" s="34" t="s">
        <v>29</v>
      </c>
      <c r="L14" s="22"/>
      <c r="M14" s="31"/>
      <c r="N14" s="31"/>
      <c r="O14" s="31"/>
      <c r="P14" s="31"/>
      <c r="Q14" s="31"/>
      <c r="R14" s="32"/>
    </row>
    <row r="15" spans="1:19" ht="15.75" x14ac:dyDescent="0.25">
      <c r="A15" s="12">
        <v>46086</v>
      </c>
      <c r="B15" s="25">
        <v>0.79791666666666672</v>
      </c>
      <c r="C15" s="25">
        <v>0.86388888888888893</v>
      </c>
      <c r="D15" s="14">
        <f t="shared" si="0"/>
        <v>6.597222222222221E-2</v>
      </c>
      <c r="E15" s="26">
        <f t="shared" si="3"/>
        <v>63000</v>
      </c>
      <c r="F15" s="35">
        <v>63067</v>
      </c>
      <c r="G15" s="33">
        <f t="shared" si="4"/>
        <v>0.67</v>
      </c>
      <c r="H15" s="36">
        <v>59</v>
      </c>
      <c r="I15" s="19">
        <f>+H15</f>
        <v>59</v>
      </c>
      <c r="J15" s="20">
        <f>+H15/G15</f>
        <v>88.059701492537314</v>
      </c>
      <c r="K15" s="34" t="s">
        <v>32</v>
      </c>
      <c r="L15" s="22">
        <v>11</v>
      </c>
      <c r="M15" s="31"/>
      <c r="N15" s="31"/>
      <c r="O15" s="31"/>
      <c r="P15" s="31"/>
      <c r="Q15" s="31"/>
      <c r="R15" s="32"/>
    </row>
    <row r="16" spans="1:19" ht="15.75" x14ac:dyDescent="0.25">
      <c r="A16" s="12">
        <v>46087</v>
      </c>
      <c r="B16" s="25">
        <v>0.41805555555555557</v>
      </c>
      <c r="C16" s="25">
        <v>0.57291666666666663</v>
      </c>
      <c r="D16" s="14">
        <f t="shared" si="0"/>
        <v>0.15486111111111106</v>
      </c>
      <c r="E16" s="26">
        <f t="shared" si="3"/>
        <v>63067</v>
      </c>
      <c r="F16" s="35">
        <v>63226</v>
      </c>
      <c r="G16" s="33">
        <f t="shared" si="4"/>
        <v>1.59</v>
      </c>
      <c r="H16" s="36">
        <v>120</v>
      </c>
      <c r="I16" s="19">
        <f t="shared" si="1"/>
        <v>120</v>
      </c>
      <c r="J16" s="20">
        <f t="shared" si="2"/>
        <v>75.471698113207538</v>
      </c>
      <c r="K16" s="34" t="s">
        <v>29</v>
      </c>
      <c r="L16" s="22"/>
      <c r="M16" s="31"/>
      <c r="N16" s="31"/>
      <c r="O16" s="31"/>
      <c r="P16" s="31"/>
      <c r="Q16" s="31"/>
      <c r="R16" s="32"/>
    </row>
    <row r="17" spans="1:32" ht="15.75" x14ac:dyDescent="0.25">
      <c r="A17" s="12">
        <v>46087</v>
      </c>
      <c r="B17" s="25">
        <v>0.95</v>
      </c>
      <c r="C17" s="25">
        <v>0.9604166666666667</v>
      </c>
      <c r="D17" s="14">
        <f t="shared" si="0"/>
        <v>1.0416666666666741E-2</v>
      </c>
      <c r="E17" s="26">
        <f t="shared" si="3"/>
        <v>63226</v>
      </c>
      <c r="F17" s="35">
        <v>63294</v>
      </c>
      <c r="G17" s="33">
        <f>(F17-E17)/100</f>
        <v>0.68</v>
      </c>
      <c r="H17" s="36">
        <v>13</v>
      </c>
      <c r="I17" s="19">
        <f>+H17</f>
        <v>13</v>
      </c>
      <c r="J17" s="20">
        <f>+H17/G17</f>
        <v>19.117647058823529</v>
      </c>
      <c r="K17" s="34" t="s">
        <v>28</v>
      </c>
      <c r="L17" s="22"/>
      <c r="M17" s="31"/>
      <c r="N17" s="31"/>
      <c r="O17" s="31"/>
      <c r="P17" s="31">
        <v>84</v>
      </c>
      <c r="Q17" s="31"/>
      <c r="R17" s="32"/>
    </row>
    <row r="18" spans="1:32" ht="15.75" x14ac:dyDescent="0.25">
      <c r="A18" s="12">
        <v>46088</v>
      </c>
      <c r="B18" s="25">
        <v>0.61458333333333337</v>
      </c>
      <c r="C18" s="25">
        <v>0.65416666666666667</v>
      </c>
      <c r="D18" s="14">
        <f t="shared" si="0"/>
        <v>3.9583333333333304E-2</v>
      </c>
      <c r="E18" s="26">
        <f t="shared" si="3"/>
        <v>63294</v>
      </c>
      <c r="F18" s="35">
        <v>63383</v>
      </c>
      <c r="G18" s="33">
        <v>5</v>
      </c>
      <c r="H18" s="36">
        <v>79</v>
      </c>
      <c r="I18" s="19">
        <f>+H18</f>
        <v>79</v>
      </c>
      <c r="J18" s="20">
        <f>+H18/G18</f>
        <v>15.8</v>
      </c>
      <c r="K18" s="34" t="s">
        <v>29</v>
      </c>
      <c r="L18" s="22"/>
      <c r="M18" s="31"/>
      <c r="N18" s="31"/>
      <c r="O18" s="31"/>
      <c r="P18" s="31">
        <v>56</v>
      </c>
      <c r="Q18" s="31"/>
      <c r="R18" s="32"/>
    </row>
    <row r="19" spans="1:32" ht="15.75" x14ac:dyDescent="0.25">
      <c r="A19" s="12">
        <v>46089</v>
      </c>
      <c r="B19" s="25">
        <v>0.59375</v>
      </c>
      <c r="C19" s="25">
        <v>0.61944444444444446</v>
      </c>
      <c r="D19" s="14">
        <f t="shared" si="0"/>
        <v>2.5694444444444464E-2</v>
      </c>
      <c r="E19" s="26">
        <f t="shared" si="3"/>
        <v>63383</v>
      </c>
      <c r="F19" s="35">
        <v>63544</v>
      </c>
      <c r="G19" s="33">
        <v>1</v>
      </c>
      <c r="H19" s="36">
        <v>30</v>
      </c>
      <c r="I19" s="19">
        <f>+H19</f>
        <v>30</v>
      </c>
      <c r="J19" s="20">
        <f>+H19/G19</f>
        <v>30</v>
      </c>
      <c r="K19" s="30" t="s">
        <v>29</v>
      </c>
      <c r="L19" s="22"/>
      <c r="M19" s="31"/>
      <c r="N19" s="31"/>
      <c r="O19" s="31"/>
      <c r="P19" s="31"/>
      <c r="Q19" s="31"/>
      <c r="R19" s="32"/>
    </row>
    <row r="20" spans="1:32" ht="15.75" x14ac:dyDescent="0.25">
      <c r="A20" s="12">
        <v>46090</v>
      </c>
      <c r="B20" s="25">
        <v>0.37777777777777777</v>
      </c>
      <c r="C20" s="25">
        <v>0.46180555555555558</v>
      </c>
      <c r="D20" s="14">
        <f t="shared" si="0"/>
        <v>8.4027777777777812E-2</v>
      </c>
      <c r="E20" s="26">
        <f t="shared" si="3"/>
        <v>63544</v>
      </c>
      <c r="F20" s="35">
        <v>63668</v>
      </c>
      <c r="G20" s="33">
        <v>1</v>
      </c>
      <c r="H20" s="36">
        <v>72</v>
      </c>
      <c r="I20" s="19">
        <f t="shared" ref="I20:I68" si="5">+H20</f>
        <v>72</v>
      </c>
      <c r="J20" s="20">
        <f t="shared" si="2"/>
        <v>72</v>
      </c>
      <c r="K20" s="34" t="s">
        <v>31</v>
      </c>
      <c r="L20" s="22"/>
      <c r="M20" s="31"/>
      <c r="N20" s="31"/>
      <c r="O20" s="31"/>
      <c r="P20" s="31"/>
      <c r="Q20" s="31"/>
      <c r="R20" s="32"/>
    </row>
    <row r="21" spans="1:32" ht="15.75" x14ac:dyDescent="0.25">
      <c r="A21" s="12">
        <v>46090</v>
      </c>
      <c r="B21" s="25">
        <v>0.95138888888888884</v>
      </c>
      <c r="C21" s="25">
        <v>0.9916666666666667</v>
      </c>
      <c r="D21" s="14">
        <f t="shared" si="0"/>
        <v>4.0277777777777857E-2</v>
      </c>
      <c r="E21" s="26">
        <f t="shared" si="3"/>
        <v>63668</v>
      </c>
      <c r="F21" s="35">
        <v>63784</v>
      </c>
      <c r="G21" s="33">
        <v>4</v>
      </c>
      <c r="H21" s="36">
        <v>63</v>
      </c>
      <c r="I21" s="19">
        <f t="shared" si="5"/>
        <v>63</v>
      </c>
      <c r="J21" s="20">
        <f t="shared" si="2"/>
        <v>15.75</v>
      </c>
      <c r="K21" s="34" t="s">
        <v>32</v>
      </c>
      <c r="L21" s="22"/>
      <c r="M21" s="31"/>
      <c r="N21" s="31"/>
      <c r="O21" s="31"/>
      <c r="P21" s="31">
        <v>56</v>
      </c>
      <c r="Q21" s="31"/>
      <c r="R21" s="32"/>
    </row>
    <row r="22" spans="1:32" ht="15.75" x14ac:dyDescent="0.25">
      <c r="A22" s="12">
        <v>46091</v>
      </c>
      <c r="B22" s="25">
        <v>0.39930555555555558</v>
      </c>
      <c r="C22" s="25">
        <v>0.58333333333333337</v>
      </c>
      <c r="D22" s="14">
        <f t="shared" si="0"/>
        <v>0.18402777777777779</v>
      </c>
      <c r="E22" s="26">
        <f t="shared" si="3"/>
        <v>63784</v>
      </c>
      <c r="F22" s="35">
        <v>63868</v>
      </c>
      <c r="G22" s="33">
        <f t="shared" si="4"/>
        <v>0.84</v>
      </c>
      <c r="H22" s="36">
        <v>84</v>
      </c>
      <c r="I22" s="19">
        <f t="shared" si="5"/>
        <v>84</v>
      </c>
      <c r="J22" s="20">
        <f t="shared" si="2"/>
        <v>100</v>
      </c>
      <c r="K22" s="34" t="s">
        <v>31</v>
      </c>
      <c r="L22" s="22"/>
      <c r="M22" s="31"/>
      <c r="N22" s="31"/>
      <c r="O22" s="31"/>
      <c r="P22" s="31"/>
      <c r="Q22" s="31"/>
      <c r="R22" s="32"/>
    </row>
    <row r="23" spans="1:32" ht="15.75" x14ac:dyDescent="0.25">
      <c r="A23" s="12">
        <v>46091</v>
      </c>
      <c r="B23" s="25">
        <v>0.94027777777777777</v>
      </c>
      <c r="C23" s="25">
        <v>0.96111111111111114</v>
      </c>
      <c r="D23" s="14">
        <f t="shared" si="0"/>
        <v>2.083333333333337E-2</v>
      </c>
      <c r="E23" s="26">
        <f t="shared" si="3"/>
        <v>63868</v>
      </c>
      <c r="F23" s="35">
        <v>63925</v>
      </c>
      <c r="G23" s="33">
        <f t="shared" si="4"/>
        <v>0.56999999999999995</v>
      </c>
      <c r="H23" s="36">
        <v>40</v>
      </c>
      <c r="I23" s="19">
        <f t="shared" si="5"/>
        <v>40</v>
      </c>
      <c r="J23" s="20">
        <f t="shared" si="2"/>
        <v>70.175438596491233</v>
      </c>
      <c r="K23" s="34" t="s">
        <v>32</v>
      </c>
      <c r="L23" s="22"/>
      <c r="M23" s="31"/>
      <c r="N23" s="31"/>
      <c r="O23" s="31"/>
      <c r="P23" s="31">
        <v>56</v>
      </c>
      <c r="Q23" s="31"/>
      <c r="R23" s="32"/>
    </row>
    <row r="24" spans="1:32" ht="15.75" x14ac:dyDescent="0.25">
      <c r="A24" s="12">
        <v>46092</v>
      </c>
      <c r="B24" s="25">
        <v>0.44791666666666669</v>
      </c>
      <c r="C24" s="25">
        <v>0.55138888888888893</v>
      </c>
      <c r="D24" s="14">
        <f t="shared" si="0"/>
        <v>0.10347222222222224</v>
      </c>
      <c r="E24" s="26">
        <f t="shared" si="3"/>
        <v>63925</v>
      </c>
      <c r="F24" s="35">
        <v>64022</v>
      </c>
      <c r="G24" s="33">
        <v>8</v>
      </c>
      <c r="H24" s="36">
        <v>62</v>
      </c>
      <c r="I24" s="19">
        <f t="shared" si="5"/>
        <v>62</v>
      </c>
      <c r="J24" s="20">
        <f t="shared" si="2"/>
        <v>7.75</v>
      </c>
      <c r="K24" s="34" t="s">
        <v>29</v>
      </c>
      <c r="L24" s="22"/>
      <c r="M24" s="31"/>
      <c r="N24" s="31"/>
      <c r="O24" s="31"/>
      <c r="P24" s="31"/>
      <c r="Q24" s="31"/>
      <c r="R24" s="32"/>
    </row>
    <row r="25" spans="1:32" ht="15.75" x14ac:dyDescent="0.25">
      <c r="A25" s="12">
        <v>46092</v>
      </c>
      <c r="B25" s="25">
        <v>0.75</v>
      </c>
      <c r="C25" s="25">
        <v>0.84027777777777779</v>
      </c>
      <c r="D25" s="14">
        <f t="shared" si="0"/>
        <v>9.027777777777779E-2</v>
      </c>
      <c r="E25" s="26">
        <f t="shared" si="3"/>
        <v>64022</v>
      </c>
      <c r="F25" s="35">
        <v>64119</v>
      </c>
      <c r="G25" s="33">
        <f t="shared" si="4"/>
        <v>0.97</v>
      </c>
      <c r="H25" s="36">
        <v>94</v>
      </c>
      <c r="I25" s="19">
        <f t="shared" si="5"/>
        <v>94</v>
      </c>
      <c r="J25" s="20">
        <f t="shared" si="2"/>
        <v>96.907216494845358</v>
      </c>
      <c r="K25" s="34" t="s">
        <v>30</v>
      </c>
      <c r="L25" s="22"/>
      <c r="M25" s="31"/>
      <c r="N25" s="31"/>
      <c r="O25" s="31"/>
      <c r="P25" s="31"/>
      <c r="Q25" s="31"/>
      <c r="R25" s="32"/>
    </row>
    <row r="26" spans="1:32" ht="15.75" x14ac:dyDescent="0.25">
      <c r="A26" s="12">
        <v>46093</v>
      </c>
      <c r="B26" s="25">
        <v>0.40972222222222221</v>
      </c>
      <c r="C26" s="25">
        <v>0.49305555555555558</v>
      </c>
      <c r="D26" s="14">
        <f t="shared" si="0"/>
        <v>8.333333333333337E-2</v>
      </c>
      <c r="E26" s="26">
        <f t="shared" si="3"/>
        <v>64119</v>
      </c>
      <c r="F26" s="35">
        <v>64215</v>
      </c>
      <c r="G26" s="33">
        <f t="shared" si="4"/>
        <v>0.96</v>
      </c>
      <c r="H26" s="36">
        <v>76</v>
      </c>
      <c r="I26" s="19">
        <f t="shared" si="5"/>
        <v>76</v>
      </c>
      <c r="J26" s="20">
        <f t="shared" si="2"/>
        <v>79.166666666666671</v>
      </c>
      <c r="K26" s="34" t="s">
        <v>28</v>
      </c>
      <c r="L26" s="22"/>
      <c r="M26" s="31"/>
      <c r="N26" s="31"/>
      <c r="O26" s="31"/>
      <c r="P26" s="31"/>
      <c r="Q26" s="31"/>
      <c r="R26" s="32"/>
    </row>
    <row r="27" spans="1:32" ht="15.75" x14ac:dyDescent="0.25">
      <c r="A27" s="12">
        <v>46093</v>
      </c>
      <c r="B27" s="25">
        <v>0.61597222222222225</v>
      </c>
      <c r="C27" s="25">
        <v>0.70763888888888893</v>
      </c>
      <c r="D27" s="14">
        <f t="shared" si="0"/>
        <v>9.1666666666666674E-2</v>
      </c>
      <c r="E27" s="26">
        <f t="shared" si="3"/>
        <v>64215</v>
      </c>
      <c r="F27" s="35">
        <v>64288</v>
      </c>
      <c r="G27" s="33">
        <f t="shared" si="4"/>
        <v>0.73</v>
      </c>
      <c r="H27" s="36">
        <v>54</v>
      </c>
      <c r="I27" s="19">
        <f t="shared" si="5"/>
        <v>54</v>
      </c>
      <c r="J27" s="20">
        <f t="shared" si="2"/>
        <v>73.972602739726028</v>
      </c>
      <c r="K27" s="30" t="s">
        <v>29</v>
      </c>
      <c r="L27" s="22"/>
      <c r="M27" s="31"/>
      <c r="N27" s="31"/>
      <c r="O27" s="31"/>
      <c r="P27" s="31"/>
      <c r="Q27" s="31"/>
      <c r="R27" s="32"/>
    </row>
    <row r="28" spans="1:32" ht="15.75" x14ac:dyDescent="0.25">
      <c r="A28" s="12">
        <v>46093</v>
      </c>
      <c r="B28" s="25">
        <v>0.8125</v>
      </c>
      <c r="C28" s="25">
        <v>0.84027777777777779</v>
      </c>
      <c r="D28" s="14">
        <f t="shared" si="0"/>
        <v>2.777777777777779E-2</v>
      </c>
      <c r="E28" s="26">
        <f t="shared" si="3"/>
        <v>64288</v>
      </c>
      <c r="F28" s="35">
        <v>64335</v>
      </c>
      <c r="G28" s="33">
        <f t="shared" si="4"/>
        <v>0.47</v>
      </c>
      <c r="H28" s="36">
        <v>39</v>
      </c>
      <c r="I28" s="19">
        <f t="shared" si="5"/>
        <v>39</v>
      </c>
      <c r="J28" s="20">
        <f t="shared" si="2"/>
        <v>82.978723404255319</v>
      </c>
      <c r="K28" s="30" t="s">
        <v>33</v>
      </c>
      <c r="L28" s="22"/>
      <c r="M28" s="31"/>
      <c r="N28" s="31"/>
      <c r="O28" s="31"/>
      <c r="P28" s="31"/>
      <c r="Q28" s="31"/>
      <c r="R28" s="32"/>
      <c r="AF28">
        <v>2</v>
      </c>
    </row>
    <row r="29" spans="1:32" ht="15.75" x14ac:dyDescent="0.25">
      <c r="A29" s="12">
        <v>46094</v>
      </c>
      <c r="B29" s="25">
        <v>0.375</v>
      </c>
      <c r="C29" s="25">
        <v>0.57291666666666663</v>
      </c>
      <c r="D29" s="14">
        <f t="shared" si="0"/>
        <v>0.19791666666666663</v>
      </c>
      <c r="E29" s="26">
        <f t="shared" si="3"/>
        <v>64335</v>
      </c>
      <c r="F29" s="35">
        <v>64517</v>
      </c>
      <c r="G29" s="33">
        <f t="shared" si="4"/>
        <v>1.82</v>
      </c>
      <c r="H29" s="36">
        <v>143</v>
      </c>
      <c r="I29" s="19">
        <f t="shared" si="5"/>
        <v>143</v>
      </c>
      <c r="J29" s="20">
        <f t="shared" si="2"/>
        <v>78.571428571428569</v>
      </c>
      <c r="K29" s="30" t="s">
        <v>31</v>
      </c>
      <c r="L29" s="22"/>
      <c r="M29" s="31"/>
      <c r="N29" s="31"/>
      <c r="O29" s="31"/>
      <c r="P29" s="31"/>
      <c r="Q29" s="31"/>
      <c r="R29" s="32"/>
    </row>
    <row r="30" spans="1:32" ht="21" customHeight="1" x14ac:dyDescent="0.25">
      <c r="A30" s="12">
        <v>46094</v>
      </c>
      <c r="B30" s="13">
        <v>0.8125</v>
      </c>
      <c r="C30" s="13">
        <v>0.84791666666666665</v>
      </c>
      <c r="D30" s="14">
        <f t="shared" si="0"/>
        <v>3.5416666666666652E-2</v>
      </c>
      <c r="E30" s="26">
        <f t="shared" si="3"/>
        <v>64517</v>
      </c>
      <c r="F30" s="18">
        <v>64559</v>
      </c>
      <c r="G30" s="33">
        <f t="shared" si="4"/>
        <v>0.42</v>
      </c>
      <c r="H30" s="18">
        <v>34</v>
      </c>
      <c r="I30" s="19">
        <f t="shared" si="5"/>
        <v>34</v>
      </c>
      <c r="J30" s="20">
        <f t="shared" si="2"/>
        <v>80.952380952380949</v>
      </c>
      <c r="K30" s="34" t="s">
        <v>29</v>
      </c>
      <c r="L30" s="22"/>
      <c r="M30" s="23"/>
      <c r="N30" s="23"/>
      <c r="O30" s="23"/>
      <c r="P30" s="23">
        <v>56</v>
      </c>
      <c r="Q30" s="23"/>
      <c r="R30" s="24"/>
    </row>
    <row r="31" spans="1:32" ht="15.75" x14ac:dyDescent="0.25">
      <c r="A31" s="12">
        <v>46095</v>
      </c>
      <c r="B31" s="25">
        <v>0.43055555555555558</v>
      </c>
      <c r="C31" s="25">
        <v>0.65625</v>
      </c>
      <c r="D31" s="14">
        <f t="shared" si="0"/>
        <v>0.22569444444444442</v>
      </c>
      <c r="E31" s="26">
        <f t="shared" si="3"/>
        <v>64559</v>
      </c>
      <c r="F31" s="35">
        <v>64702</v>
      </c>
      <c r="G31" s="33">
        <f t="shared" si="4"/>
        <v>1.43</v>
      </c>
      <c r="H31" s="36">
        <v>88</v>
      </c>
      <c r="I31" s="19">
        <f t="shared" si="5"/>
        <v>88</v>
      </c>
      <c r="J31" s="20">
        <f t="shared" si="2"/>
        <v>61.53846153846154</v>
      </c>
      <c r="K31" s="34" t="s">
        <v>29</v>
      </c>
      <c r="L31" s="22"/>
      <c r="M31" s="31"/>
      <c r="N31" s="31"/>
      <c r="O31" s="31"/>
      <c r="P31" s="31"/>
      <c r="Q31" s="31"/>
      <c r="R31" s="32"/>
    </row>
    <row r="32" spans="1:32" ht="15.75" x14ac:dyDescent="0.25">
      <c r="A32" s="12">
        <v>46095</v>
      </c>
      <c r="B32" s="25">
        <v>0.84027777777777779</v>
      </c>
      <c r="C32" s="25">
        <v>0.88611111111111107</v>
      </c>
      <c r="D32" s="14">
        <f t="shared" si="0"/>
        <v>4.5833333333333282E-2</v>
      </c>
      <c r="E32" s="26">
        <f t="shared" si="3"/>
        <v>64702</v>
      </c>
      <c r="F32" s="35">
        <v>64753</v>
      </c>
      <c r="G32" s="33">
        <f t="shared" si="4"/>
        <v>0.51</v>
      </c>
      <c r="H32" s="36">
        <v>43</v>
      </c>
      <c r="I32" s="19">
        <f t="shared" si="5"/>
        <v>43</v>
      </c>
      <c r="J32" s="20">
        <f t="shared" si="2"/>
        <v>84.313725490196077</v>
      </c>
      <c r="K32" s="30" t="s">
        <v>30</v>
      </c>
      <c r="L32" s="22"/>
      <c r="M32" s="31"/>
      <c r="N32" s="31"/>
      <c r="O32" s="31"/>
      <c r="P32" s="31">
        <v>56</v>
      </c>
      <c r="Q32" s="31"/>
      <c r="R32" s="32"/>
    </row>
    <row r="33" spans="1:18" ht="15.75" x14ac:dyDescent="0.25">
      <c r="A33" s="12"/>
      <c r="B33" s="25"/>
      <c r="C33" s="25"/>
      <c r="D33" s="14">
        <f t="shared" si="0"/>
        <v>0</v>
      </c>
      <c r="E33" s="26">
        <f t="shared" si="3"/>
        <v>64753</v>
      </c>
      <c r="F33" s="35"/>
      <c r="G33" s="33">
        <f t="shared" si="4"/>
        <v>-647.53</v>
      </c>
      <c r="H33" s="36"/>
      <c r="I33" s="19">
        <f t="shared" si="5"/>
        <v>0</v>
      </c>
      <c r="J33" s="20">
        <f t="shared" si="2"/>
        <v>0</v>
      </c>
      <c r="K33" s="30" t="s">
        <v>31</v>
      </c>
      <c r="L33" s="22"/>
      <c r="M33" s="31"/>
      <c r="N33" s="31"/>
      <c r="O33" s="31"/>
      <c r="P33" s="31"/>
      <c r="Q33" s="31"/>
      <c r="R33" s="32"/>
    </row>
    <row r="34" spans="1:18" ht="15.75" x14ac:dyDescent="0.25">
      <c r="A34" s="12"/>
      <c r="B34" s="13"/>
      <c r="C34" s="13"/>
      <c r="D34" s="14">
        <f t="shared" si="0"/>
        <v>0</v>
      </c>
      <c r="E34" s="26">
        <f t="shared" si="3"/>
        <v>0</v>
      </c>
      <c r="F34" s="16"/>
      <c r="G34" s="33">
        <f t="shared" si="4"/>
        <v>0</v>
      </c>
      <c r="H34" s="18"/>
      <c r="I34" s="19">
        <f t="shared" si="5"/>
        <v>0</v>
      </c>
      <c r="J34" s="20" t="e">
        <f t="shared" si="2"/>
        <v>#DIV/0!</v>
      </c>
      <c r="K34" s="34"/>
      <c r="L34" s="22"/>
      <c r="M34" s="23"/>
      <c r="N34" s="23"/>
      <c r="O34" s="23"/>
      <c r="P34" s="23"/>
      <c r="Q34" s="23"/>
      <c r="R34" s="24"/>
    </row>
    <row r="35" spans="1:18" ht="15.75" x14ac:dyDescent="0.25">
      <c r="A35" s="12"/>
      <c r="B35" s="25"/>
      <c r="C35" s="25"/>
      <c r="D35" s="14">
        <f t="shared" si="0"/>
        <v>0</v>
      </c>
      <c r="E35" s="26">
        <f t="shared" si="3"/>
        <v>0</v>
      </c>
      <c r="F35" s="37"/>
      <c r="G35" s="33">
        <f t="shared" si="4"/>
        <v>0</v>
      </c>
      <c r="H35" s="36"/>
      <c r="I35" s="19">
        <f t="shared" si="5"/>
        <v>0</v>
      </c>
      <c r="J35" s="20" t="e">
        <f t="shared" si="2"/>
        <v>#DIV/0!</v>
      </c>
      <c r="K35" s="34" t="s">
        <v>31</v>
      </c>
      <c r="L35" s="22"/>
      <c r="M35" s="31"/>
      <c r="N35" s="31"/>
      <c r="O35" s="31"/>
      <c r="P35" s="31"/>
      <c r="Q35" s="31"/>
      <c r="R35" s="32"/>
    </row>
    <row r="36" spans="1:18" ht="15.75" x14ac:dyDescent="0.25">
      <c r="A36" s="12"/>
      <c r="B36" s="25"/>
      <c r="C36" s="25"/>
      <c r="D36" s="14">
        <f t="shared" si="0"/>
        <v>0</v>
      </c>
      <c r="E36" s="26">
        <f t="shared" si="3"/>
        <v>0</v>
      </c>
      <c r="F36" s="37"/>
      <c r="G36" s="33">
        <v>1</v>
      </c>
      <c r="H36" s="36"/>
      <c r="I36" s="19">
        <f t="shared" si="5"/>
        <v>0</v>
      </c>
      <c r="J36" s="20">
        <f t="shared" si="2"/>
        <v>0</v>
      </c>
      <c r="K36" s="30" t="s">
        <v>30</v>
      </c>
      <c r="L36" s="22"/>
      <c r="M36" s="31"/>
      <c r="N36" s="31"/>
      <c r="O36" s="31"/>
      <c r="P36" s="31"/>
      <c r="Q36" s="31"/>
      <c r="R36" s="32"/>
    </row>
    <row r="37" spans="1:18" ht="15.75" x14ac:dyDescent="0.25">
      <c r="A37" s="12"/>
      <c r="B37" s="25"/>
      <c r="C37" s="25"/>
      <c r="D37" s="14">
        <f t="shared" si="0"/>
        <v>0</v>
      </c>
      <c r="E37" s="26">
        <f t="shared" si="3"/>
        <v>0</v>
      </c>
      <c r="F37" s="37"/>
      <c r="G37" s="33">
        <f t="shared" si="4"/>
        <v>0</v>
      </c>
      <c r="H37" s="36"/>
      <c r="I37" s="19">
        <f t="shared" si="5"/>
        <v>0</v>
      </c>
      <c r="J37" s="20" t="e">
        <f t="shared" si="2"/>
        <v>#DIV/0!</v>
      </c>
      <c r="K37" s="34" t="s">
        <v>32</v>
      </c>
      <c r="L37" s="22"/>
      <c r="M37" s="31"/>
      <c r="N37" s="31"/>
      <c r="O37" s="31"/>
      <c r="P37" s="31"/>
      <c r="Q37" s="31"/>
      <c r="R37" s="32"/>
    </row>
    <row r="38" spans="1:18" ht="15.75" x14ac:dyDescent="0.25">
      <c r="A38" s="12"/>
      <c r="B38" s="25"/>
      <c r="C38" s="25"/>
      <c r="D38" s="14">
        <f t="shared" si="0"/>
        <v>0</v>
      </c>
      <c r="E38" s="26">
        <f t="shared" si="3"/>
        <v>0</v>
      </c>
      <c r="F38" s="37"/>
      <c r="G38" s="33">
        <f t="shared" si="4"/>
        <v>0</v>
      </c>
      <c r="H38" s="36"/>
      <c r="I38" s="19">
        <f t="shared" si="5"/>
        <v>0</v>
      </c>
      <c r="J38" s="20" t="e">
        <f t="shared" si="2"/>
        <v>#DIV/0!</v>
      </c>
      <c r="K38" s="30" t="s">
        <v>31</v>
      </c>
      <c r="L38" s="22"/>
      <c r="M38" s="31"/>
      <c r="N38" s="31"/>
      <c r="O38" s="31"/>
      <c r="P38" s="31"/>
      <c r="Q38" s="31"/>
      <c r="R38" s="32"/>
    </row>
    <row r="39" spans="1:18" ht="15.75" x14ac:dyDescent="0.25">
      <c r="A39" s="12"/>
      <c r="B39" s="25"/>
      <c r="C39" s="25"/>
      <c r="D39" s="14">
        <f t="shared" si="0"/>
        <v>0</v>
      </c>
      <c r="E39" s="26">
        <f t="shared" si="3"/>
        <v>0</v>
      </c>
      <c r="F39" s="37"/>
      <c r="G39" s="33">
        <f t="shared" si="4"/>
        <v>0</v>
      </c>
      <c r="H39" s="36"/>
      <c r="I39" s="19">
        <f t="shared" si="5"/>
        <v>0</v>
      </c>
      <c r="J39" s="20" t="e">
        <f t="shared" si="2"/>
        <v>#DIV/0!</v>
      </c>
      <c r="K39" s="30" t="s">
        <v>28</v>
      </c>
      <c r="L39" s="22"/>
      <c r="M39" s="31"/>
      <c r="N39" s="31"/>
      <c r="O39" s="31"/>
      <c r="P39" s="31"/>
      <c r="Q39" s="31"/>
      <c r="R39" s="32"/>
    </row>
    <row r="40" spans="1:18" ht="15.75" x14ac:dyDescent="0.25">
      <c r="A40" s="12"/>
      <c r="B40" s="25"/>
      <c r="C40" s="25"/>
      <c r="D40" s="14">
        <f t="shared" si="0"/>
        <v>0</v>
      </c>
      <c r="E40" s="26">
        <f t="shared" si="3"/>
        <v>0</v>
      </c>
      <c r="F40" s="37"/>
      <c r="G40" s="33">
        <f t="shared" si="4"/>
        <v>0</v>
      </c>
      <c r="H40" s="36"/>
      <c r="I40" s="19">
        <f t="shared" si="5"/>
        <v>0</v>
      </c>
      <c r="J40" s="20" t="e">
        <f t="shared" si="2"/>
        <v>#DIV/0!</v>
      </c>
      <c r="K40" s="30" t="s">
        <v>32</v>
      </c>
      <c r="L40" s="22"/>
      <c r="M40" s="31"/>
      <c r="N40" s="31"/>
      <c r="O40" s="31"/>
      <c r="P40" s="31"/>
      <c r="Q40" s="31"/>
      <c r="R40" s="32"/>
    </row>
    <row r="41" spans="1:18" ht="15.75" x14ac:dyDescent="0.25">
      <c r="A41" s="12"/>
      <c r="B41" s="25"/>
      <c r="C41" s="25"/>
      <c r="D41" s="14">
        <f t="shared" si="0"/>
        <v>0</v>
      </c>
      <c r="E41" s="26">
        <f t="shared" si="3"/>
        <v>0</v>
      </c>
      <c r="F41" s="37"/>
      <c r="G41" s="33">
        <f t="shared" si="4"/>
        <v>0</v>
      </c>
      <c r="H41" s="36"/>
      <c r="I41" s="19">
        <f t="shared" si="5"/>
        <v>0</v>
      </c>
      <c r="J41" s="20" t="e">
        <f t="shared" si="2"/>
        <v>#DIV/0!</v>
      </c>
      <c r="K41" s="30" t="s">
        <v>28</v>
      </c>
      <c r="L41" s="22"/>
      <c r="M41" s="31"/>
      <c r="N41" s="31"/>
      <c r="O41" s="31"/>
      <c r="P41" s="31"/>
      <c r="Q41" s="31"/>
      <c r="R41" s="32"/>
    </row>
    <row r="42" spans="1:18" ht="15.75" x14ac:dyDescent="0.25">
      <c r="A42" s="12"/>
      <c r="B42" s="25"/>
      <c r="C42" s="25"/>
      <c r="D42" s="14">
        <f t="shared" si="0"/>
        <v>0</v>
      </c>
      <c r="E42" s="26">
        <f t="shared" si="3"/>
        <v>0</v>
      </c>
      <c r="F42" s="37"/>
      <c r="G42" s="33">
        <f t="shared" si="4"/>
        <v>0</v>
      </c>
      <c r="H42" s="36"/>
      <c r="I42" s="19">
        <f t="shared" si="5"/>
        <v>0</v>
      </c>
      <c r="J42" s="20" t="e">
        <f t="shared" si="2"/>
        <v>#DIV/0!</v>
      </c>
      <c r="K42" s="30" t="s">
        <v>28</v>
      </c>
      <c r="L42" s="22"/>
      <c r="M42" s="31"/>
      <c r="N42" s="31"/>
      <c r="O42" s="31"/>
      <c r="P42" s="31"/>
      <c r="Q42" s="31"/>
      <c r="R42" s="32"/>
    </row>
    <row r="43" spans="1:18" ht="15.75" x14ac:dyDescent="0.25">
      <c r="A43" s="12"/>
      <c r="B43" s="25"/>
      <c r="C43" s="25"/>
      <c r="D43" s="14">
        <f t="shared" si="0"/>
        <v>0</v>
      </c>
      <c r="E43" s="26">
        <f t="shared" si="3"/>
        <v>0</v>
      </c>
      <c r="F43" s="37"/>
      <c r="G43" s="33">
        <f t="shared" si="4"/>
        <v>0</v>
      </c>
      <c r="H43" s="36"/>
      <c r="I43" s="19">
        <f t="shared" si="5"/>
        <v>0</v>
      </c>
      <c r="J43" s="20" t="e">
        <f t="shared" si="2"/>
        <v>#DIV/0!</v>
      </c>
      <c r="K43" s="30" t="s">
        <v>29</v>
      </c>
      <c r="L43" s="22"/>
      <c r="M43" s="31"/>
      <c r="N43" s="31"/>
      <c r="O43" s="31"/>
      <c r="P43" s="31"/>
      <c r="Q43" s="31"/>
      <c r="R43" s="32"/>
    </row>
    <row r="44" spans="1:18" ht="15.75" x14ac:dyDescent="0.25">
      <c r="A44" s="12"/>
      <c r="B44" s="25"/>
      <c r="C44" s="25"/>
      <c r="D44" s="14">
        <f t="shared" si="0"/>
        <v>0</v>
      </c>
      <c r="E44" s="26">
        <f t="shared" si="3"/>
        <v>0</v>
      </c>
      <c r="F44" s="37"/>
      <c r="G44" s="33">
        <f t="shared" si="4"/>
        <v>0</v>
      </c>
      <c r="H44" s="36"/>
      <c r="I44" s="19">
        <f t="shared" si="5"/>
        <v>0</v>
      </c>
      <c r="J44" s="20" t="e">
        <f t="shared" si="2"/>
        <v>#DIV/0!</v>
      </c>
      <c r="K44" s="30" t="s">
        <v>34</v>
      </c>
      <c r="L44" s="22"/>
      <c r="M44" s="31"/>
      <c r="N44" s="31"/>
      <c r="O44" s="31"/>
      <c r="P44" s="31"/>
      <c r="Q44" s="31"/>
      <c r="R44" s="32"/>
    </row>
    <row r="45" spans="1:18" ht="15.75" x14ac:dyDescent="0.25">
      <c r="A45" s="12"/>
      <c r="B45" s="25"/>
      <c r="C45" s="25"/>
      <c r="D45" s="14">
        <f t="shared" si="0"/>
        <v>0</v>
      </c>
      <c r="E45" s="26">
        <f t="shared" si="3"/>
        <v>0</v>
      </c>
      <c r="F45" s="37"/>
      <c r="G45" s="33">
        <f t="shared" si="4"/>
        <v>0</v>
      </c>
      <c r="H45" s="36"/>
      <c r="I45" s="19">
        <f t="shared" si="5"/>
        <v>0</v>
      </c>
      <c r="J45" s="20" t="e">
        <f t="shared" si="2"/>
        <v>#DIV/0!</v>
      </c>
      <c r="K45" s="30"/>
      <c r="L45" s="22"/>
      <c r="M45" s="31"/>
      <c r="N45" s="31"/>
      <c r="O45" s="31"/>
      <c r="P45" s="31"/>
      <c r="Q45" s="31"/>
      <c r="R45" s="32"/>
    </row>
    <row r="46" spans="1:18" ht="15.75" x14ac:dyDescent="0.25">
      <c r="A46" s="12"/>
      <c r="B46" s="25"/>
      <c r="C46" s="25"/>
      <c r="D46" s="14">
        <f t="shared" si="0"/>
        <v>0</v>
      </c>
      <c r="E46" s="26">
        <f t="shared" si="3"/>
        <v>0</v>
      </c>
      <c r="F46" s="37"/>
      <c r="G46" s="33">
        <f t="shared" si="4"/>
        <v>0</v>
      </c>
      <c r="H46" s="36"/>
      <c r="I46" s="19">
        <f t="shared" si="5"/>
        <v>0</v>
      </c>
      <c r="J46" s="20" t="e">
        <f t="shared" si="2"/>
        <v>#DIV/0!</v>
      </c>
      <c r="K46" s="30"/>
      <c r="L46" s="22"/>
      <c r="M46" s="31"/>
      <c r="N46" s="31"/>
      <c r="O46" s="31"/>
      <c r="P46" s="31"/>
      <c r="Q46" s="31"/>
      <c r="R46" s="32"/>
    </row>
    <row r="47" spans="1:18" ht="15.75" x14ac:dyDescent="0.25">
      <c r="A47" s="12"/>
      <c r="B47" s="25"/>
      <c r="C47" s="25"/>
      <c r="D47" s="14">
        <f t="shared" si="0"/>
        <v>0</v>
      </c>
      <c r="E47" s="26">
        <f t="shared" si="3"/>
        <v>0</v>
      </c>
      <c r="F47" s="37"/>
      <c r="G47" s="33">
        <f t="shared" si="4"/>
        <v>0</v>
      </c>
      <c r="H47" s="36"/>
      <c r="I47" s="19">
        <f t="shared" si="5"/>
        <v>0</v>
      </c>
      <c r="J47" s="20" t="e">
        <f t="shared" si="2"/>
        <v>#DIV/0!</v>
      </c>
      <c r="K47" s="30"/>
      <c r="L47" s="31"/>
      <c r="M47" s="31"/>
      <c r="N47" s="31"/>
      <c r="O47" s="31"/>
      <c r="P47" s="31"/>
      <c r="Q47" s="31"/>
      <c r="R47" s="32"/>
    </row>
    <row r="48" spans="1:18" ht="15.75" x14ac:dyDescent="0.25">
      <c r="A48" s="12"/>
      <c r="B48" s="25"/>
      <c r="C48" s="25"/>
      <c r="D48" s="14">
        <f t="shared" si="0"/>
        <v>0</v>
      </c>
      <c r="E48" s="26">
        <f t="shared" si="3"/>
        <v>0</v>
      </c>
      <c r="F48" s="37"/>
      <c r="G48" s="33">
        <f t="shared" si="4"/>
        <v>0</v>
      </c>
      <c r="H48" s="36"/>
      <c r="I48" s="19">
        <f t="shared" si="5"/>
        <v>0</v>
      </c>
      <c r="J48" s="20" t="e">
        <f t="shared" si="2"/>
        <v>#DIV/0!</v>
      </c>
      <c r="K48" s="38"/>
      <c r="L48" s="31"/>
      <c r="M48" s="31"/>
      <c r="N48" s="31"/>
      <c r="O48" s="31"/>
      <c r="P48" s="31"/>
      <c r="Q48" s="31"/>
      <c r="R48" s="32"/>
    </row>
    <row r="49" spans="1:18" ht="15.75" x14ac:dyDescent="0.25">
      <c r="A49" s="12"/>
      <c r="B49" s="25"/>
      <c r="C49" s="25"/>
      <c r="D49" s="14">
        <f t="shared" si="0"/>
        <v>0</v>
      </c>
      <c r="E49" s="26">
        <f t="shared" si="3"/>
        <v>0</v>
      </c>
      <c r="F49" s="37"/>
      <c r="G49" s="33">
        <f t="shared" si="4"/>
        <v>0</v>
      </c>
      <c r="H49" s="36"/>
      <c r="I49" s="19">
        <f t="shared" si="5"/>
        <v>0</v>
      </c>
      <c r="J49" s="20" t="e">
        <f t="shared" si="2"/>
        <v>#DIV/0!</v>
      </c>
      <c r="K49" s="38"/>
      <c r="L49" s="31"/>
      <c r="M49" s="23"/>
      <c r="N49" s="23"/>
      <c r="O49" s="23"/>
      <c r="P49" s="23"/>
      <c r="Q49" s="23"/>
      <c r="R49" s="24"/>
    </row>
    <row r="50" spans="1:18" ht="15.75" x14ac:dyDescent="0.25">
      <c r="A50" s="12"/>
      <c r="B50" s="25"/>
      <c r="C50" s="25"/>
      <c r="D50" s="14">
        <f t="shared" si="0"/>
        <v>0</v>
      </c>
      <c r="E50" s="26">
        <f t="shared" si="3"/>
        <v>0</v>
      </c>
      <c r="F50" s="37"/>
      <c r="G50" s="33">
        <f t="shared" si="4"/>
        <v>0</v>
      </c>
      <c r="H50" s="36"/>
      <c r="I50" s="19">
        <f t="shared" si="5"/>
        <v>0</v>
      </c>
      <c r="J50" s="20" t="e">
        <f t="shared" si="2"/>
        <v>#DIV/0!</v>
      </c>
      <c r="K50" s="38"/>
      <c r="L50" s="31"/>
      <c r="M50" s="23"/>
      <c r="N50" s="23"/>
      <c r="O50" s="23"/>
      <c r="P50" s="23"/>
      <c r="Q50" s="23"/>
      <c r="R50" s="24"/>
    </row>
    <row r="51" spans="1:18" ht="15.75" x14ac:dyDescent="0.25">
      <c r="A51" s="12"/>
      <c r="B51" s="25"/>
      <c r="C51" s="25"/>
      <c r="D51" s="14">
        <f t="shared" si="0"/>
        <v>0</v>
      </c>
      <c r="E51" s="26">
        <f t="shared" si="3"/>
        <v>0</v>
      </c>
      <c r="F51" s="37"/>
      <c r="G51" s="33">
        <f t="shared" si="4"/>
        <v>0</v>
      </c>
      <c r="H51" s="36"/>
      <c r="I51" s="19">
        <f t="shared" si="5"/>
        <v>0</v>
      </c>
      <c r="J51" s="20" t="e">
        <f t="shared" si="2"/>
        <v>#DIV/0!</v>
      </c>
      <c r="K51" s="38"/>
      <c r="L51" s="31"/>
      <c r="M51" s="23"/>
      <c r="N51" s="23"/>
      <c r="O51" s="23"/>
      <c r="P51" s="23"/>
      <c r="Q51" s="23"/>
      <c r="R51" s="24"/>
    </row>
    <row r="52" spans="1:18" ht="15.75" x14ac:dyDescent="0.25">
      <c r="A52" s="12"/>
      <c r="B52" s="25"/>
      <c r="C52" s="25"/>
      <c r="D52" s="14">
        <f t="shared" si="0"/>
        <v>0</v>
      </c>
      <c r="E52" s="26">
        <f t="shared" si="3"/>
        <v>0</v>
      </c>
      <c r="F52" s="37"/>
      <c r="G52" s="33">
        <f t="shared" si="4"/>
        <v>0</v>
      </c>
      <c r="H52" s="36"/>
      <c r="I52" s="19">
        <f t="shared" si="5"/>
        <v>0</v>
      </c>
      <c r="J52" s="20" t="e">
        <f t="shared" si="2"/>
        <v>#DIV/0!</v>
      </c>
      <c r="K52" s="39"/>
      <c r="L52" s="22"/>
      <c r="M52" s="23"/>
      <c r="N52" s="23"/>
      <c r="O52" s="23"/>
      <c r="P52" s="23"/>
      <c r="Q52" s="23"/>
      <c r="R52" s="24"/>
    </row>
    <row r="53" spans="1:18" ht="15.75" x14ac:dyDescent="0.25">
      <c r="A53" s="12"/>
      <c r="B53" s="25"/>
      <c r="C53" s="25"/>
      <c r="D53" s="14">
        <f t="shared" si="0"/>
        <v>0</v>
      </c>
      <c r="E53" s="26">
        <f t="shared" si="3"/>
        <v>0</v>
      </c>
      <c r="F53" s="37"/>
      <c r="G53" s="33">
        <f t="shared" si="4"/>
        <v>0</v>
      </c>
      <c r="H53" s="36"/>
      <c r="I53" s="19">
        <f t="shared" si="5"/>
        <v>0</v>
      </c>
      <c r="J53" s="20" t="e">
        <f t="shared" si="2"/>
        <v>#DIV/0!</v>
      </c>
      <c r="K53" s="39"/>
      <c r="L53" s="22"/>
      <c r="M53" s="23"/>
      <c r="N53" s="23"/>
      <c r="O53" s="23"/>
      <c r="P53" s="23"/>
      <c r="Q53" s="23"/>
      <c r="R53" s="24"/>
    </row>
    <row r="54" spans="1:18" ht="15.75" x14ac:dyDescent="0.25">
      <c r="A54" s="12"/>
      <c r="B54" s="25"/>
      <c r="C54" s="25"/>
      <c r="D54" s="14">
        <f t="shared" si="0"/>
        <v>0</v>
      </c>
      <c r="E54" s="26">
        <f t="shared" si="3"/>
        <v>0</v>
      </c>
      <c r="F54" s="37"/>
      <c r="G54" s="33">
        <f t="shared" si="4"/>
        <v>0</v>
      </c>
      <c r="H54" s="36"/>
      <c r="I54" s="19">
        <f t="shared" si="5"/>
        <v>0</v>
      </c>
      <c r="J54" s="20" t="e">
        <f t="shared" si="2"/>
        <v>#DIV/0!</v>
      </c>
      <c r="K54" s="39"/>
      <c r="L54" s="22"/>
      <c r="M54" s="23"/>
      <c r="N54" s="23"/>
      <c r="O54" s="23"/>
      <c r="P54" s="23"/>
      <c r="Q54" s="23"/>
      <c r="R54" s="24"/>
    </row>
    <row r="55" spans="1:18" ht="15.75" x14ac:dyDescent="0.25">
      <c r="A55" s="12"/>
      <c r="B55" s="25"/>
      <c r="C55" s="25"/>
      <c r="D55" s="14">
        <f t="shared" si="0"/>
        <v>0</v>
      </c>
      <c r="E55" s="26">
        <f t="shared" si="3"/>
        <v>0</v>
      </c>
      <c r="F55" s="37"/>
      <c r="G55" s="33">
        <f t="shared" si="4"/>
        <v>0</v>
      </c>
      <c r="H55" s="36"/>
      <c r="I55" s="19">
        <f t="shared" si="5"/>
        <v>0</v>
      </c>
      <c r="J55" s="20" t="e">
        <f t="shared" si="2"/>
        <v>#DIV/0!</v>
      </c>
      <c r="K55" s="39"/>
      <c r="L55" s="22"/>
      <c r="M55" s="23"/>
      <c r="N55" s="23"/>
      <c r="O55" s="23"/>
      <c r="P55" s="23"/>
      <c r="Q55" s="23"/>
      <c r="R55" s="24"/>
    </row>
    <row r="56" spans="1:18" ht="15.75" x14ac:dyDescent="0.25">
      <c r="A56" s="12"/>
      <c r="B56" s="25"/>
      <c r="C56" s="25"/>
      <c r="D56" s="14">
        <f t="shared" si="0"/>
        <v>0</v>
      </c>
      <c r="E56" s="26">
        <f t="shared" si="3"/>
        <v>0</v>
      </c>
      <c r="F56" s="37"/>
      <c r="G56" s="33">
        <f t="shared" si="4"/>
        <v>0</v>
      </c>
      <c r="H56" s="36"/>
      <c r="I56" s="19">
        <f t="shared" si="5"/>
        <v>0</v>
      </c>
      <c r="J56" s="20" t="e">
        <f t="shared" si="2"/>
        <v>#DIV/0!</v>
      </c>
      <c r="K56" s="39"/>
      <c r="L56" s="22"/>
      <c r="M56" s="23"/>
      <c r="N56" s="23"/>
      <c r="O56" s="23"/>
      <c r="P56" s="23"/>
      <c r="Q56" s="23"/>
      <c r="R56" s="24"/>
    </row>
    <row r="57" spans="1:18" ht="15.75" x14ac:dyDescent="0.25">
      <c r="A57" s="12"/>
      <c r="B57" s="25"/>
      <c r="C57" s="25"/>
      <c r="D57" s="14">
        <f t="shared" si="0"/>
        <v>0</v>
      </c>
      <c r="E57" s="26">
        <f t="shared" si="3"/>
        <v>0</v>
      </c>
      <c r="F57" s="37"/>
      <c r="G57" s="33">
        <f t="shared" si="4"/>
        <v>0</v>
      </c>
      <c r="H57" s="36"/>
      <c r="I57" s="19">
        <f t="shared" si="5"/>
        <v>0</v>
      </c>
      <c r="J57" s="20" t="e">
        <f t="shared" si="2"/>
        <v>#DIV/0!</v>
      </c>
      <c r="K57" s="39"/>
      <c r="L57" s="22"/>
      <c r="M57" s="23"/>
      <c r="N57" s="23"/>
      <c r="O57" s="23"/>
      <c r="P57" s="23"/>
      <c r="Q57" s="23"/>
      <c r="R57" s="24"/>
    </row>
    <row r="58" spans="1:18" ht="15.75" x14ac:dyDescent="0.25">
      <c r="A58" s="12"/>
      <c r="B58" s="25"/>
      <c r="C58" s="25"/>
      <c r="D58" s="14">
        <f t="shared" si="0"/>
        <v>0</v>
      </c>
      <c r="E58" s="26">
        <f t="shared" si="3"/>
        <v>0</v>
      </c>
      <c r="F58" s="37"/>
      <c r="G58" s="33">
        <f t="shared" si="4"/>
        <v>0</v>
      </c>
      <c r="H58" s="36"/>
      <c r="I58" s="19">
        <f t="shared" si="5"/>
        <v>0</v>
      </c>
      <c r="J58" s="20" t="e">
        <f t="shared" si="2"/>
        <v>#DIV/0!</v>
      </c>
      <c r="K58" s="39"/>
      <c r="L58" s="22"/>
      <c r="M58" s="23"/>
      <c r="N58" s="23"/>
      <c r="O58" s="23"/>
      <c r="P58" s="23"/>
      <c r="Q58" s="23"/>
      <c r="R58" s="24"/>
    </row>
    <row r="59" spans="1:18" ht="15.75" x14ac:dyDescent="0.25">
      <c r="A59" s="12"/>
      <c r="B59" s="25"/>
      <c r="C59" s="25"/>
      <c r="D59" s="14">
        <f t="shared" si="0"/>
        <v>0</v>
      </c>
      <c r="E59" s="26">
        <f t="shared" si="3"/>
        <v>0</v>
      </c>
      <c r="F59" s="37"/>
      <c r="G59" s="33">
        <f t="shared" si="4"/>
        <v>0</v>
      </c>
      <c r="H59" s="36"/>
      <c r="I59" s="19">
        <f t="shared" si="5"/>
        <v>0</v>
      </c>
      <c r="J59" s="20" t="e">
        <f t="shared" si="2"/>
        <v>#DIV/0!</v>
      </c>
      <c r="K59" s="39"/>
      <c r="L59" s="22"/>
      <c r="M59" s="23"/>
      <c r="N59" s="23"/>
      <c r="O59" s="23"/>
      <c r="P59" s="23"/>
      <c r="Q59" s="23"/>
      <c r="R59" s="24"/>
    </row>
    <row r="60" spans="1:18" ht="15.75" x14ac:dyDescent="0.25">
      <c r="A60" s="12"/>
      <c r="B60" s="25"/>
      <c r="C60" s="25"/>
      <c r="D60" s="14">
        <f t="shared" si="0"/>
        <v>0</v>
      </c>
      <c r="E60" s="26">
        <f t="shared" si="3"/>
        <v>0</v>
      </c>
      <c r="F60" s="37"/>
      <c r="G60" s="33">
        <f t="shared" si="4"/>
        <v>0</v>
      </c>
      <c r="H60" s="36"/>
      <c r="I60" s="19">
        <f t="shared" si="5"/>
        <v>0</v>
      </c>
      <c r="J60" s="20" t="e">
        <f t="shared" si="2"/>
        <v>#DIV/0!</v>
      </c>
      <c r="K60" s="39"/>
      <c r="L60" s="22"/>
      <c r="M60" s="23"/>
      <c r="N60" s="23"/>
      <c r="O60" s="23"/>
      <c r="P60" s="23"/>
      <c r="Q60" s="23"/>
      <c r="R60" s="24"/>
    </row>
    <row r="61" spans="1:18" ht="15.75" x14ac:dyDescent="0.25">
      <c r="A61" s="40"/>
      <c r="B61" s="25"/>
      <c r="C61" s="25"/>
      <c r="D61" s="14">
        <f t="shared" si="0"/>
        <v>0</v>
      </c>
      <c r="E61" s="26">
        <f t="shared" si="3"/>
        <v>0</v>
      </c>
      <c r="F61" s="37"/>
      <c r="G61" s="33">
        <f t="shared" si="4"/>
        <v>0</v>
      </c>
      <c r="H61" s="36"/>
      <c r="I61" s="19">
        <f t="shared" si="5"/>
        <v>0</v>
      </c>
      <c r="J61" s="20" t="e">
        <f t="shared" si="2"/>
        <v>#DIV/0!</v>
      </c>
      <c r="K61" s="39"/>
      <c r="L61" s="22"/>
      <c r="M61" s="23"/>
      <c r="N61" s="23"/>
      <c r="O61" s="23"/>
      <c r="P61" s="23"/>
      <c r="Q61" s="23"/>
      <c r="R61" s="24"/>
    </row>
    <row r="62" spans="1:18" ht="15.75" x14ac:dyDescent="0.25">
      <c r="A62" s="40"/>
      <c r="B62" s="25"/>
      <c r="C62" s="25"/>
      <c r="D62" s="14">
        <f t="shared" si="0"/>
        <v>0</v>
      </c>
      <c r="E62" s="26">
        <f t="shared" si="3"/>
        <v>0</v>
      </c>
      <c r="F62" s="37"/>
      <c r="G62" s="33">
        <f t="shared" si="4"/>
        <v>0</v>
      </c>
      <c r="H62" s="36"/>
      <c r="I62" s="19">
        <f t="shared" si="5"/>
        <v>0</v>
      </c>
      <c r="J62" s="20" t="e">
        <f t="shared" si="2"/>
        <v>#DIV/0!</v>
      </c>
      <c r="K62" s="39"/>
      <c r="L62" s="22"/>
      <c r="M62" s="23"/>
      <c r="N62" s="23"/>
      <c r="O62" s="23"/>
      <c r="P62" s="23"/>
      <c r="Q62" s="23"/>
      <c r="R62" s="24"/>
    </row>
    <row r="63" spans="1:18" ht="15.75" x14ac:dyDescent="0.25">
      <c r="A63" s="40"/>
      <c r="B63" s="25"/>
      <c r="C63" s="25"/>
      <c r="D63" s="14">
        <f t="shared" si="0"/>
        <v>0</v>
      </c>
      <c r="E63" s="26">
        <f t="shared" si="3"/>
        <v>0</v>
      </c>
      <c r="F63" s="37"/>
      <c r="G63" s="33">
        <f t="shared" si="4"/>
        <v>0</v>
      </c>
      <c r="H63" s="36"/>
      <c r="I63" s="19">
        <f t="shared" si="5"/>
        <v>0</v>
      </c>
      <c r="J63" s="20" t="e">
        <f t="shared" si="2"/>
        <v>#DIV/0!</v>
      </c>
      <c r="K63" s="39"/>
      <c r="L63" s="22"/>
      <c r="M63" s="23"/>
      <c r="N63" s="23"/>
      <c r="O63" s="23"/>
      <c r="P63" s="23"/>
      <c r="Q63" s="23"/>
      <c r="R63" s="24"/>
    </row>
    <row r="64" spans="1:18" ht="15.75" x14ac:dyDescent="0.25">
      <c r="A64" s="40"/>
      <c r="B64" s="25"/>
      <c r="C64" s="25"/>
      <c r="D64" s="14">
        <f t="shared" si="0"/>
        <v>0</v>
      </c>
      <c r="E64" s="26">
        <f t="shared" si="3"/>
        <v>0</v>
      </c>
      <c r="F64" s="37"/>
      <c r="G64" s="33">
        <f t="shared" si="4"/>
        <v>0</v>
      </c>
      <c r="H64" s="36"/>
      <c r="I64" s="19">
        <f t="shared" si="5"/>
        <v>0</v>
      </c>
      <c r="J64" s="20" t="e">
        <f t="shared" si="2"/>
        <v>#DIV/0!</v>
      </c>
      <c r="K64" s="39"/>
      <c r="L64" s="22"/>
      <c r="M64" s="23"/>
      <c r="N64" s="23"/>
      <c r="O64" s="23"/>
      <c r="P64" s="23"/>
      <c r="Q64" s="23"/>
      <c r="R64" s="24"/>
    </row>
    <row r="65" spans="1:18" ht="15.75" x14ac:dyDescent="0.25">
      <c r="A65" s="40"/>
      <c r="B65" s="25"/>
      <c r="C65" s="25"/>
      <c r="D65" s="14">
        <f t="shared" si="0"/>
        <v>0</v>
      </c>
      <c r="E65" s="26">
        <f t="shared" si="3"/>
        <v>0</v>
      </c>
      <c r="F65" s="37"/>
      <c r="G65" s="33">
        <f t="shared" si="4"/>
        <v>0</v>
      </c>
      <c r="H65" s="36"/>
      <c r="I65" s="19">
        <f t="shared" si="5"/>
        <v>0</v>
      </c>
      <c r="J65" s="20" t="e">
        <f t="shared" si="2"/>
        <v>#DIV/0!</v>
      </c>
      <c r="K65" s="39"/>
      <c r="L65" s="22"/>
      <c r="M65" s="23"/>
      <c r="N65" s="23"/>
      <c r="O65" s="23"/>
      <c r="P65" s="23"/>
      <c r="Q65" s="23"/>
      <c r="R65" s="24"/>
    </row>
    <row r="66" spans="1:18" ht="15.75" x14ac:dyDescent="0.25">
      <c r="A66" s="40"/>
      <c r="B66" s="25"/>
      <c r="C66" s="25"/>
      <c r="D66" s="14">
        <f t="shared" si="0"/>
        <v>0</v>
      </c>
      <c r="E66" s="26">
        <f t="shared" si="3"/>
        <v>0</v>
      </c>
      <c r="F66" s="37"/>
      <c r="G66" s="33">
        <f t="shared" si="4"/>
        <v>0</v>
      </c>
      <c r="H66" s="36"/>
      <c r="I66" s="19">
        <f t="shared" si="5"/>
        <v>0</v>
      </c>
      <c r="J66" s="20" t="e">
        <f t="shared" si="2"/>
        <v>#DIV/0!</v>
      </c>
      <c r="K66" s="39"/>
      <c r="L66" s="22"/>
      <c r="M66" s="23"/>
      <c r="N66" s="23"/>
      <c r="O66" s="23"/>
      <c r="P66" s="23"/>
      <c r="Q66" s="23"/>
      <c r="R66" s="24"/>
    </row>
    <row r="67" spans="1:18" ht="15.75" x14ac:dyDescent="0.25">
      <c r="A67" s="40"/>
      <c r="B67" s="25"/>
      <c r="C67" s="25"/>
      <c r="D67" s="14">
        <f t="shared" si="0"/>
        <v>0</v>
      </c>
      <c r="E67" s="26">
        <f t="shared" si="3"/>
        <v>0</v>
      </c>
      <c r="F67" s="37"/>
      <c r="G67" s="33">
        <f t="shared" si="4"/>
        <v>0</v>
      </c>
      <c r="H67" s="36"/>
      <c r="I67" s="19">
        <f t="shared" si="5"/>
        <v>0</v>
      </c>
      <c r="J67" s="20" t="e">
        <f t="shared" si="2"/>
        <v>#DIV/0!</v>
      </c>
      <c r="K67" s="31"/>
      <c r="L67" s="22"/>
      <c r="M67" s="23"/>
      <c r="N67" s="23"/>
      <c r="O67" s="23"/>
      <c r="P67" s="23"/>
      <c r="Q67" s="23"/>
      <c r="R67" s="24"/>
    </row>
    <row r="68" spans="1:18" ht="15.75" x14ac:dyDescent="0.25">
      <c r="A68" s="12"/>
      <c r="B68" s="25"/>
      <c r="C68" s="25"/>
      <c r="D68" s="14">
        <f t="shared" si="0"/>
        <v>0</v>
      </c>
      <c r="E68" s="26">
        <f t="shared" si="3"/>
        <v>0</v>
      </c>
      <c r="F68" s="37"/>
      <c r="G68" s="33">
        <f t="shared" si="4"/>
        <v>0</v>
      </c>
      <c r="H68" s="36"/>
      <c r="I68" s="19">
        <f t="shared" si="5"/>
        <v>0</v>
      </c>
      <c r="J68" s="20" t="e">
        <f t="shared" si="2"/>
        <v>#DIV/0!</v>
      </c>
      <c r="K68" s="31"/>
      <c r="L68" s="22"/>
      <c r="M68" s="23"/>
      <c r="N68" s="23"/>
      <c r="O68" s="23"/>
      <c r="P68" s="23"/>
      <c r="Q68" s="23"/>
      <c r="R68" s="24"/>
    </row>
    <row r="69" spans="1:18" ht="15.75" x14ac:dyDescent="0.25">
      <c r="A69" s="41"/>
      <c r="B69" s="25"/>
      <c r="C69" s="25"/>
      <c r="D69" s="14"/>
      <c r="E69" s="26"/>
      <c r="F69" s="37"/>
      <c r="G69" s="17"/>
      <c r="H69" s="36"/>
      <c r="I69" s="19"/>
      <c r="J69" s="20"/>
      <c r="K69" s="31"/>
      <c r="L69" s="22"/>
      <c r="M69" s="23"/>
      <c r="N69" s="23"/>
      <c r="O69" s="23"/>
      <c r="P69" s="23"/>
      <c r="Q69" s="23"/>
      <c r="R69" s="24"/>
    </row>
    <row r="70" spans="1:18" ht="15.75" x14ac:dyDescent="0.25">
      <c r="A70" s="41"/>
      <c r="B70" s="25"/>
      <c r="C70" s="25"/>
      <c r="D70" s="14"/>
      <c r="E70" s="26"/>
      <c r="F70" s="37"/>
      <c r="G70" s="17"/>
      <c r="H70" s="36">
        <v>0</v>
      </c>
      <c r="I70" s="19"/>
      <c r="J70" s="20"/>
      <c r="K70" s="31">
        <v>26</v>
      </c>
      <c r="L70" s="22"/>
      <c r="M70" s="23"/>
      <c r="N70" s="23"/>
      <c r="O70" s="23"/>
      <c r="P70" s="23"/>
      <c r="Q70" s="23"/>
      <c r="R70" s="24"/>
    </row>
    <row r="71" spans="1:18" ht="15.75" x14ac:dyDescent="0.25">
      <c r="A71" s="41"/>
      <c r="B71" s="25"/>
      <c r="C71" s="25"/>
      <c r="D71" s="14"/>
      <c r="E71" s="26"/>
      <c r="F71" s="37"/>
      <c r="G71" s="17"/>
      <c r="H71" s="36"/>
      <c r="I71" s="19">
        <v>0</v>
      </c>
      <c r="J71" s="20"/>
      <c r="K71" s="31">
        <v>15</v>
      </c>
      <c r="L71" s="22"/>
      <c r="M71" s="23"/>
      <c r="N71" s="23"/>
      <c r="O71" s="23"/>
      <c r="P71" s="23"/>
      <c r="Q71" s="23"/>
      <c r="R71" s="24"/>
    </row>
    <row r="72" spans="1:18" ht="15.75" x14ac:dyDescent="0.25">
      <c r="A72" s="41"/>
      <c r="B72" s="25"/>
      <c r="C72" s="25"/>
      <c r="D72" s="14"/>
      <c r="E72" s="26"/>
      <c r="F72" s="37"/>
      <c r="G72" s="17"/>
      <c r="H72" s="36"/>
      <c r="I72" s="19"/>
      <c r="J72" s="20"/>
      <c r="K72" s="31">
        <v>34</v>
      </c>
      <c r="L72" s="22"/>
      <c r="M72" s="23"/>
      <c r="N72" s="23"/>
      <c r="O72" s="23"/>
      <c r="P72" s="23"/>
      <c r="Q72" s="23"/>
      <c r="R72" s="24"/>
    </row>
    <row r="73" spans="1:18" ht="15.75" x14ac:dyDescent="0.25">
      <c r="A73" s="41"/>
      <c r="B73" s="25"/>
      <c r="C73" s="25"/>
      <c r="D73" s="14"/>
      <c r="E73" s="26"/>
      <c r="F73" s="37"/>
      <c r="G73" s="17"/>
      <c r="H73" s="36"/>
      <c r="I73" s="19">
        <v>0</v>
      </c>
      <c r="J73" s="20">
        <v>0</v>
      </c>
      <c r="K73" s="31">
        <v>55</v>
      </c>
      <c r="L73" s="22"/>
      <c r="M73" s="23"/>
      <c r="N73" s="23"/>
      <c r="O73" s="23"/>
      <c r="P73" s="23"/>
      <c r="Q73" s="23"/>
      <c r="R73" s="24"/>
    </row>
    <row r="74" spans="1:18" ht="15.75" x14ac:dyDescent="0.25">
      <c r="A74" s="41"/>
      <c r="B74" s="25"/>
      <c r="C74" s="25"/>
      <c r="D74" s="14"/>
      <c r="E74" s="26"/>
      <c r="F74" s="37"/>
      <c r="G74" s="17"/>
      <c r="H74" s="36"/>
      <c r="I74" s="19"/>
      <c r="J74" s="20"/>
      <c r="K74" s="31"/>
      <c r="L74" s="22"/>
      <c r="M74" s="23"/>
      <c r="N74" s="23"/>
      <c r="O74" s="23"/>
      <c r="P74" s="23"/>
      <c r="Q74" s="23"/>
      <c r="R74" s="24"/>
    </row>
    <row r="75" spans="1:18" ht="15.75" x14ac:dyDescent="0.25">
      <c r="A75" s="41"/>
      <c r="B75" s="25"/>
      <c r="C75" s="25"/>
      <c r="D75" s="14"/>
      <c r="E75" s="26"/>
      <c r="F75" s="37"/>
      <c r="G75" s="17"/>
      <c r="H75" s="36"/>
      <c r="I75" s="19"/>
      <c r="J75" s="20"/>
      <c r="K75" s="31"/>
      <c r="L75" s="22"/>
      <c r="M75" s="23"/>
      <c r="N75" s="23"/>
      <c r="O75" s="23"/>
      <c r="P75" s="23"/>
      <c r="Q75" s="23"/>
      <c r="R75" s="24"/>
    </row>
    <row r="76" spans="1:18" ht="15.75" x14ac:dyDescent="0.25">
      <c r="A76" s="41"/>
      <c r="B76" s="25"/>
      <c r="C76" s="25"/>
      <c r="D76" s="14"/>
      <c r="E76" s="26"/>
      <c r="F76" s="37"/>
      <c r="G76" s="17"/>
      <c r="H76" s="36"/>
      <c r="I76" s="19"/>
      <c r="J76" s="20"/>
      <c r="K76" s="31"/>
      <c r="L76" s="22"/>
      <c r="M76" s="23"/>
      <c r="N76" s="23"/>
      <c r="O76" s="23"/>
      <c r="P76" s="23"/>
      <c r="Q76" s="23"/>
      <c r="R76" s="24"/>
    </row>
    <row r="77" spans="1:18" ht="15.75" x14ac:dyDescent="0.25">
      <c r="A77" s="41"/>
      <c r="B77" s="25"/>
      <c r="C77" s="25"/>
      <c r="D77" s="14"/>
      <c r="E77" s="26"/>
      <c r="F77" s="37"/>
      <c r="G77" s="17"/>
      <c r="H77" s="36"/>
      <c r="I77" s="19"/>
      <c r="J77" s="20"/>
      <c r="K77" s="31"/>
      <c r="L77" s="22"/>
      <c r="M77" s="23"/>
      <c r="N77" s="23"/>
      <c r="O77" s="23"/>
      <c r="P77" s="23"/>
      <c r="Q77" s="23"/>
      <c r="R77" s="24"/>
    </row>
    <row r="78" spans="1:18" ht="15.75" x14ac:dyDescent="0.25">
      <c r="A78" s="41"/>
      <c r="B78" s="25"/>
      <c r="C78" s="25"/>
      <c r="D78" s="14"/>
      <c r="E78" s="26"/>
      <c r="F78" s="37"/>
      <c r="G78" s="17"/>
      <c r="H78" s="36"/>
      <c r="I78" s="19"/>
      <c r="J78" s="20"/>
      <c r="K78" s="31"/>
      <c r="L78" s="22"/>
      <c r="M78" s="23"/>
      <c r="N78" s="23"/>
      <c r="O78" s="23"/>
      <c r="P78" s="23"/>
      <c r="Q78" s="23"/>
      <c r="R78" s="24"/>
    </row>
    <row r="79" spans="1:18" ht="15.75" x14ac:dyDescent="0.25">
      <c r="A79" s="41"/>
      <c r="B79" s="25"/>
      <c r="C79" s="25"/>
      <c r="D79" s="14"/>
      <c r="E79" s="26"/>
      <c r="F79" s="37"/>
      <c r="G79" s="17"/>
      <c r="H79" s="36"/>
      <c r="I79" s="19"/>
      <c r="J79" s="20"/>
      <c r="K79" s="31"/>
      <c r="L79" s="22"/>
      <c r="M79" s="23"/>
      <c r="N79" s="23"/>
      <c r="O79" s="23"/>
      <c r="P79" s="23"/>
      <c r="Q79" s="23"/>
      <c r="R79" s="24"/>
    </row>
    <row r="80" spans="1:18" ht="15.75" x14ac:dyDescent="0.25">
      <c r="A80" s="41"/>
      <c r="B80" s="25"/>
      <c r="C80" s="25"/>
      <c r="D80" s="14"/>
      <c r="E80" s="26"/>
      <c r="F80" s="37"/>
      <c r="G80" s="17"/>
      <c r="H80" s="36"/>
      <c r="I80" s="19"/>
      <c r="J80" s="20"/>
      <c r="K80" s="31"/>
      <c r="L80" s="22"/>
      <c r="M80" s="23"/>
      <c r="N80" s="23"/>
      <c r="O80" s="23"/>
      <c r="P80" s="23"/>
      <c r="Q80" s="23"/>
      <c r="R80" s="24"/>
    </row>
    <row r="81" spans="1:18" ht="15.75" x14ac:dyDescent="0.25">
      <c r="A81" s="41"/>
      <c r="B81" s="42"/>
      <c r="C81" s="42"/>
      <c r="D81" s="43"/>
      <c r="E81" s="44"/>
      <c r="F81" s="45"/>
      <c r="G81" s="46"/>
      <c r="H81" s="47"/>
      <c r="I81" s="48"/>
      <c r="J81" s="49"/>
      <c r="K81" s="31"/>
      <c r="L81" s="22"/>
      <c r="M81" s="23"/>
      <c r="N81" s="23"/>
      <c r="O81" s="23"/>
      <c r="P81" s="23"/>
      <c r="Q81" s="23"/>
      <c r="R81" s="24"/>
    </row>
    <row r="82" spans="1:18" ht="15.75" x14ac:dyDescent="0.25">
      <c r="A82" s="41"/>
      <c r="B82" s="42"/>
      <c r="C82" s="42"/>
      <c r="D82" s="43"/>
      <c r="E82" s="44"/>
      <c r="F82" s="45"/>
      <c r="G82" s="46"/>
      <c r="H82" s="47"/>
      <c r="I82" s="48"/>
      <c r="J82" s="49"/>
      <c r="K82" s="31"/>
      <c r="L82" s="22"/>
      <c r="M82" s="23"/>
      <c r="N82" s="23"/>
      <c r="O82" s="23"/>
      <c r="P82" s="23"/>
      <c r="Q82" s="23"/>
      <c r="R82" s="24"/>
    </row>
    <row r="83" spans="1:18" ht="15.75" x14ac:dyDescent="0.25">
      <c r="A83" s="41"/>
      <c r="B83" s="42"/>
      <c r="C83" s="42"/>
      <c r="D83" s="43"/>
      <c r="E83" s="44"/>
      <c r="F83" s="45"/>
      <c r="G83" s="46"/>
      <c r="H83" s="47"/>
      <c r="I83" s="48"/>
      <c r="J83" s="49"/>
      <c r="K83" s="31"/>
      <c r="L83" s="22"/>
      <c r="M83" s="23"/>
      <c r="N83" s="23"/>
      <c r="O83" s="23"/>
      <c r="P83" s="23"/>
      <c r="Q83" s="23"/>
      <c r="R83" s="24"/>
    </row>
    <row r="84" spans="1:18" ht="15.75" x14ac:dyDescent="0.25">
      <c r="A84" s="41"/>
      <c r="B84" s="42"/>
      <c r="C84" s="42"/>
      <c r="D84" s="43"/>
      <c r="E84" s="44"/>
      <c r="F84" s="45"/>
      <c r="G84" s="46"/>
      <c r="H84" s="47"/>
      <c r="I84" s="48"/>
      <c r="J84" s="49"/>
      <c r="K84" s="31"/>
      <c r="L84" s="22"/>
      <c r="M84" s="23"/>
      <c r="N84" s="23"/>
      <c r="O84" s="23"/>
      <c r="P84" s="23"/>
      <c r="Q84" s="23"/>
      <c r="R84" s="24"/>
    </row>
    <row r="85" spans="1:18" ht="15.75" x14ac:dyDescent="0.25">
      <c r="A85" s="41"/>
      <c r="B85" s="42"/>
      <c r="C85" s="42"/>
      <c r="D85" s="43"/>
      <c r="E85" s="44"/>
      <c r="F85" s="45"/>
      <c r="G85" s="46"/>
      <c r="H85" s="47"/>
      <c r="I85" s="48"/>
      <c r="J85" s="49"/>
      <c r="K85" s="31"/>
      <c r="L85" s="22"/>
      <c r="M85" s="23"/>
      <c r="N85" s="23"/>
      <c r="O85" s="23"/>
      <c r="P85" s="23"/>
      <c r="Q85" s="23"/>
      <c r="R85" s="24"/>
    </row>
    <row r="86" spans="1:18" ht="15.75" x14ac:dyDescent="0.25">
      <c r="A86" s="41"/>
      <c r="B86" s="42"/>
      <c r="C86" s="42"/>
      <c r="D86" s="43"/>
      <c r="E86" s="44"/>
      <c r="F86" s="45"/>
      <c r="G86" s="46"/>
      <c r="H86" s="47"/>
      <c r="I86" s="48"/>
      <c r="J86" s="49"/>
      <c r="K86" s="31"/>
      <c r="L86" s="22"/>
      <c r="M86" s="23"/>
      <c r="N86" s="23"/>
      <c r="O86" s="23"/>
      <c r="P86" s="23"/>
      <c r="Q86" s="23"/>
      <c r="R86" s="24"/>
    </row>
    <row r="87" spans="1:18" ht="15.75" x14ac:dyDescent="0.25">
      <c r="A87" s="41"/>
      <c r="B87" s="42"/>
      <c r="C87" s="42"/>
      <c r="D87" s="43"/>
      <c r="E87" s="44"/>
      <c r="F87" s="45"/>
      <c r="G87" s="46"/>
      <c r="H87" s="47"/>
      <c r="I87" s="48"/>
      <c r="J87" s="49"/>
      <c r="K87" s="31"/>
      <c r="L87" s="22"/>
      <c r="M87" s="23"/>
      <c r="N87" s="23"/>
      <c r="O87" s="23"/>
      <c r="P87" s="23"/>
      <c r="Q87" s="23"/>
      <c r="R87" s="24"/>
    </row>
    <row r="88" spans="1:18" ht="15.75" x14ac:dyDescent="0.25">
      <c r="A88" s="41"/>
      <c r="B88" s="42"/>
      <c r="C88" s="42"/>
      <c r="D88" s="43"/>
      <c r="E88" s="44"/>
      <c r="F88" s="45"/>
      <c r="G88" s="46"/>
      <c r="H88" s="47"/>
      <c r="I88" s="48"/>
      <c r="J88" s="49"/>
      <c r="K88" s="31"/>
      <c r="L88" s="22"/>
      <c r="M88" s="23"/>
      <c r="N88" s="23"/>
      <c r="O88" s="23"/>
      <c r="P88" s="23"/>
      <c r="Q88" s="23"/>
      <c r="R88" s="24"/>
    </row>
    <row r="89" spans="1:18" ht="15.75" x14ac:dyDescent="0.25">
      <c r="A89" s="41"/>
      <c r="B89" s="42"/>
      <c r="C89" s="42"/>
      <c r="D89" s="43"/>
      <c r="E89" s="44"/>
      <c r="F89" s="45"/>
      <c r="G89" s="46"/>
      <c r="H89" s="47"/>
      <c r="I89" s="48"/>
      <c r="J89" s="49"/>
      <c r="K89" s="31"/>
      <c r="L89" s="22"/>
      <c r="M89" s="23"/>
      <c r="N89" s="23"/>
      <c r="O89" s="23"/>
      <c r="P89" s="23"/>
      <c r="Q89" s="23"/>
      <c r="R89" s="24"/>
    </row>
    <row r="90" spans="1:18" ht="15.75" x14ac:dyDescent="0.25">
      <c r="A90" s="41"/>
      <c r="B90" s="42"/>
      <c r="C90" s="42"/>
      <c r="D90" s="43"/>
      <c r="E90" s="44"/>
      <c r="F90" s="45"/>
      <c r="G90" s="46"/>
      <c r="H90" s="47"/>
      <c r="I90" s="48"/>
      <c r="J90" s="49"/>
      <c r="K90" s="31"/>
      <c r="L90" s="22"/>
      <c r="M90" s="23"/>
      <c r="N90" s="23"/>
      <c r="O90" s="23"/>
      <c r="P90" s="23"/>
      <c r="Q90" s="23"/>
      <c r="R90" s="24"/>
    </row>
    <row r="91" spans="1:18" ht="15.75" x14ac:dyDescent="0.25">
      <c r="A91" s="41"/>
      <c r="B91" s="42"/>
      <c r="C91" s="42"/>
      <c r="D91" s="43"/>
      <c r="E91" s="44"/>
      <c r="F91" s="45"/>
      <c r="G91" s="46"/>
      <c r="H91" s="47"/>
      <c r="I91" s="48"/>
      <c r="J91" s="49"/>
      <c r="K91" s="31"/>
      <c r="L91" s="22"/>
      <c r="M91" s="23"/>
      <c r="N91" s="23"/>
      <c r="O91" s="23"/>
      <c r="P91" s="23"/>
      <c r="Q91" s="23"/>
      <c r="R91" s="24"/>
    </row>
    <row r="92" spans="1:18" ht="15.75" x14ac:dyDescent="0.25">
      <c r="A92" s="41"/>
      <c r="B92" s="42"/>
      <c r="C92" s="42"/>
      <c r="D92" s="43"/>
      <c r="E92" s="44"/>
      <c r="F92" s="45"/>
      <c r="G92" s="46"/>
      <c r="H92" s="47"/>
      <c r="I92" s="48"/>
      <c r="J92" s="49"/>
      <c r="K92" s="31"/>
      <c r="L92" s="22"/>
      <c r="M92" s="23"/>
      <c r="N92" s="23"/>
      <c r="O92" s="23"/>
      <c r="P92" s="23"/>
      <c r="Q92" s="23"/>
      <c r="R92" s="24"/>
    </row>
    <row r="93" spans="1:18" ht="15.75" x14ac:dyDescent="0.25">
      <c r="A93" s="41"/>
      <c r="B93" s="42"/>
      <c r="C93" s="42"/>
      <c r="D93" s="43"/>
      <c r="E93" s="44"/>
      <c r="F93" s="45"/>
      <c r="G93" s="46"/>
      <c r="H93" s="47"/>
      <c r="I93" s="48"/>
      <c r="J93" s="49"/>
      <c r="K93" s="31"/>
      <c r="L93" s="22"/>
      <c r="M93" s="23"/>
      <c r="N93" s="23"/>
      <c r="O93" s="23"/>
      <c r="P93" s="23"/>
      <c r="Q93" s="23"/>
      <c r="R93" s="24"/>
    </row>
    <row r="94" spans="1:18" ht="15.75" x14ac:dyDescent="0.25">
      <c r="A94" s="41"/>
      <c r="B94" s="42"/>
      <c r="C94" s="42"/>
      <c r="D94" s="43"/>
      <c r="E94" s="44"/>
      <c r="F94" s="45"/>
      <c r="G94" s="46"/>
      <c r="H94" s="47"/>
      <c r="I94" s="48"/>
      <c r="J94" s="49"/>
      <c r="K94" s="31"/>
      <c r="L94" s="22"/>
      <c r="M94" s="23"/>
      <c r="N94" s="23"/>
      <c r="O94" s="23"/>
      <c r="P94" s="23"/>
      <c r="Q94" s="23"/>
      <c r="R94" s="24"/>
    </row>
    <row r="95" spans="1:18" ht="15.75" x14ac:dyDescent="0.25">
      <c r="A95" s="41"/>
      <c r="B95" s="42"/>
      <c r="C95" s="42"/>
      <c r="D95" s="43"/>
      <c r="E95" s="44"/>
      <c r="F95" s="45"/>
      <c r="G95" s="46"/>
      <c r="H95" s="47"/>
      <c r="I95" s="48"/>
      <c r="J95" s="49"/>
      <c r="K95" s="31"/>
      <c r="L95" s="22"/>
      <c r="M95" s="23"/>
      <c r="N95" s="23"/>
      <c r="O95" s="23"/>
      <c r="P95" s="23"/>
      <c r="Q95" s="23"/>
      <c r="R95" s="24"/>
    </row>
    <row r="96" spans="1:18" ht="15.75" x14ac:dyDescent="0.25">
      <c r="A96" s="41"/>
      <c r="B96" s="42"/>
      <c r="C96" s="42"/>
      <c r="D96" s="43"/>
      <c r="E96" s="44"/>
      <c r="F96" s="45"/>
      <c r="G96" s="46"/>
      <c r="H96" s="47"/>
      <c r="I96" s="48"/>
      <c r="J96" s="49"/>
      <c r="K96" s="31"/>
      <c r="L96" s="22"/>
      <c r="M96" s="23"/>
      <c r="N96" s="23"/>
      <c r="O96" s="23"/>
      <c r="P96" s="23"/>
      <c r="Q96" s="23"/>
      <c r="R96" s="24"/>
    </row>
    <row r="97" spans="1:18" ht="15.75" x14ac:dyDescent="0.25">
      <c r="A97" s="41"/>
      <c r="B97" s="42"/>
      <c r="C97" s="42"/>
      <c r="D97" s="43"/>
      <c r="E97" s="44"/>
      <c r="F97" s="45"/>
      <c r="G97" s="46"/>
      <c r="H97" s="47"/>
      <c r="I97" s="48"/>
      <c r="J97" s="49"/>
      <c r="K97" s="31"/>
      <c r="L97" s="22"/>
      <c r="M97" s="23"/>
      <c r="N97" s="23"/>
      <c r="O97" s="23"/>
      <c r="P97" s="23"/>
      <c r="Q97" s="23"/>
      <c r="R97" s="24"/>
    </row>
    <row r="98" spans="1:18" ht="15.75" x14ac:dyDescent="0.25">
      <c r="A98" s="41"/>
      <c r="B98" s="42"/>
      <c r="C98" s="42"/>
      <c r="D98" s="43"/>
      <c r="E98" s="44"/>
      <c r="F98" s="45"/>
      <c r="G98" s="46"/>
      <c r="H98" s="47"/>
      <c r="I98" s="48"/>
      <c r="J98" s="49"/>
      <c r="K98" s="31"/>
      <c r="L98" s="22"/>
      <c r="M98" s="23"/>
      <c r="N98" s="23"/>
      <c r="O98" s="23"/>
      <c r="P98" s="23"/>
      <c r="Q98" s="23"/>
      <c r="R98" s="24"/>
    </row>
    <row r="99" spans="1:18" ht="15.75" x14ac:dyDescent="0.25">
      <c r="A99" s="41"/>
      <c r="B99" s="42"/>
      <c r="C99" s="42"/>
      <c r="D99" s="43"/>
      <c r="E99" s="44"/>
      <c r="F99" s="45"/>
      <c r="G99" s="46"/>
      <c r="H99" s="47"/>
      <c r="I99" s="48"/>
      <c r="J99" s="49"/>
      <c r="K99" s="31"/>
      <c r="L99" s="22"/>
      <c r="M99" s="23"/>
      <c r="N99" s="23"/>
      <c r="O99" s="23"/>
      <c r="P99" s="23"/>
      <c r="Q99" s="23"/>
      <c r="R99" s="24"/>
    </row>
    <row r="100" spans="1:18" ht="15.75" x14ac:dyDescent="0.25">
      <c r="A100" s="41"/>
      <c r="B100" s="42"/>
      <c r="C100" s="42"/>
      <c r="D100" s="43"/>
      <c r="E100" s="44"/>
      <c r="F100" s="45"/>
      <c r="G100" s="46"/>
      <c r="H100" s="47"/>
      <c r="I100" s="48"/>
      <c r="J100" s="49"/>
      <c r="K100" s="31"/>
      <c r="L100" s="22"/>
      <c r="M100" s="23"/>
      <c r="N100" s="23"/>
      <c r="O100" s="23"/>
      <c r="P100" s="23"/>
      <c r="Q100" s="23"/>
      <c r="R100" s="24"/>
    </row>
    <row r="101" spans="1:18" ht="15.75" x14ac:dyDescent="0.25">
      <c r="A101" s="41"/>
      <c r="B101" s="42"/>
      <c r="C101" s="42"/>
      <c r="D101" s="43"/>
      <c r="E101" s="44"/>
      <c r="F101" s="45"/>
      <c r="G101" s="46"/>
      <c r="H101" s="47"/>
      <c r="I101" s="48"/>
      <c r="J101" s="49"/>
      <c r="K101" s="31"/>
      <c r="L101" s="22"/>
      <c r="M101" s="23"/>
      <c r="N101" s="23"/>
      <c r="O101" s="23"/>
      <c r="P101" s="23"/>
      <c r="Q101" s="23"/>
      <c r="R101" s="24"/>
    </row>
    <row r="102" spans="1:18" ht="15.75" x14ac:dyDescent="0.25">
      <c r="A102" s="41"/>
      <c r="B102" s="42"/>
      <c r="C102" s="42"/>
      <c r="D102" s="43"/>
      <c r="E102" s="44"/>
      <c r="F102" s="45"/>
      <c r="G102" s="46"/>
      <c r="H102" s="47"/>
      <c r="I102" s="48"/>
      <c r="J102" s="49"/>
      <c r="K102" s="31"/>
      <c r="L102" s="22"/>
      <c r="M102" s="23"/>
      <c r="N102" s="23"/>
      <c r="O102" s="23"/>
      <c r="P102" s="23"/>
      <c r="Q102" s="23"/>
      <c r="R102" s="24"/>
    </row>
    <row r="103" spans="1:18" ht="15.75" x14ac:dyDescent="0.2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</row>
    <row r="104" spans="1:18" ht="15.75" x14ac:dyDescent="0.2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</row>
    <row r="105" spans="1:18" ht="15.75" x14ac:dyDescent="0.2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</row>
    <row r="106" spans="1:18" ht="15.75" x14ac:dyDescent="0.2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</row>
    <row r="107" spans="1:18" ht="15.75" x14ac:dyDescent="0.2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</row>
    <row r="108" spans="1:18" ht="15.75" x14ac:dyDescent="0.2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</row>
    <row r="109" spans="1:18" ht="15.75" x14ac:dyDescent="0.2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</row>
    <row r="110" spans="1:18" ht="15.75" x14ac:dyDescent="0.2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</row>
    <row r="111" spans="1:18" ht="15.75" x14ac:dyDescent="0.2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</row>
    <row r="112" spans="1:18" ht="15.75" x14ac:dyDescent="0.2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</row>
    <row r="113" spans="1:17" ht="15.75" x14ac:dyDescent="0.2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</row>
    <row r="114" spans="1:17" ht="15.75" x14ac:dyDescent="0.2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</row>
    <row r="115" spans="1:17" ht="15.75" x14ac:dyDescent="0.2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</row>
    <row r="116" spans="1:17" ht="15.75" x14ac:dyDescent="0.2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</row>
    <row r="117" spans="1:17" ht="15.75" x14ac:dyDescent="0.2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</row>
    <row r="118" spans="1:17" ht="15.75" x14ac:dyDescent="0.2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</row>
    <row r="119" spans="1:17" ht="15.75" x14ac:dyDescent="0.2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</row>
    <row r="120" spans="1:17" ht="15.75" x14ac:dyDescent="0.2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</row>
    <row r="121" spans="1:17" ht="15.75" x14ac:dyDescent="0.2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</row>
    <row r="122" spans="1:17" ht="15.75" x14ac:dyDescent="0.2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</row>
    <row r="123" spans="1:17" ht="15.75" x14ac:dyDescent="0.2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</row>
    <row r="124" spans="1:17" ht="15.75" x14ac:dyDescent="0.2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</row>
    <row r="125" spans="1:17" ht="15.75" x14ac:dyDescent="0.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1:17" ht="15.75" x14ac:dyDescent="0.2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</row>
    <row r="127" spans="1:17" ht="15.75" x14ac:dyDescent="0.2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</row>
    <row r="1048576" spans="1:1" ht="15.75" x14ac:dyDescent="0.25">
      <c r="A1048576" s="12"/>
    </row>
  </sheetData>
  <mergeCells count="8">
    <mergeCell ref="A1:C1"/>
    <mergeCell ref="D1:K3"/>
    <mergeCell ref="A2:C2"/>
    <mergeCell ref="A3:C3"/>
    <mergeCell ref="B4:D4"/>
    <mergeCell ref="E4:G4"/>
    <mergeCell ref="H4:I4"/>
    <mergeCell ref="K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MAQUINA DE BOTELLONES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2026-03-27T21:50:30Z</dcterms:created>
  <dcterms:modified xsi:type="dcterms:W3CDTF">2026-03-31T20:55:53Z</dcterms:modified>
</cp:coreProperties>
</file>