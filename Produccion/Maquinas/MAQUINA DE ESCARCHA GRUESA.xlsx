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8_{C1845C75-473D-451B-A828-A255D1511D85}" xr6:coauthVersionLast="47" xr6:coauthVersionMax="47" xr10:uidLastSave="{00000000-0000-0000-0000-000000000000}"/>
  <bookViews>
    <workbookView xWindow="0" yWindow="0" windowWidth="20490" windowHeight="11520" xr2:uid="{822886FA-B8AF-43EE-B22C-6908314556C2}"/>
  </bookViews>
  <sheets>
    <sheet name="MAQUINA DE ESCARCHA GRUESA" sheetId="1" r:id="rId1"/>
  </sheets>
  <definedNames>
    <definedName name="_xlnm._FilterDatabase" localSheetId="0" hidden="1">'MAQUINA DE ESCARCHA GRUESA'!$U$1:$U$284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1" l="1"/>
  <c r="S150" i="1"/>
  <c r="N150" i="1"/>
  <c r="P150" i="1" s="1"/>
  <c r="M150" i="1"/>
  <c r="L150" i="1"/>
  <c r="G150" i="1"/>
  <c r="E150" i="1"/>
  <c r="D150" i="1"/>
  <c r="R149" i="1"/>
  <c r="S149" i="1" s="1"/>
  <c r="P149" i="1"/>
  <c r="O149" i="1"/>
  <c r="N149" i="1"/>
  <c r="M149" i="1"/>
  <c r="L149" i="1"/>
  <c r="G149" i="1"/>
  <c r="E149" i="1"/>
  <c r="D149" i="1"/>
  <c r="S148" i="1"/>
  <c r="R148" i="1"/>
  <c r="N148" i="1"/>
  <c r="M148" i="1"/>
  <c r="L148" i="1"/>
  <c r="E148" i="1"/>
  <c r="G148" i="1" s="1"/>
  <c r="D148" i="1"/>
  <c r="R147" i="1"/>
  <c r="S147" i="1" s="1"/>
  <c r="N147" i="1"/>
  <c r="M147" i="1"/>
  <c r="O147" i="1" s="1"/>
  <c r="L147" i="1"/>
  <c r="E147" i="1"/>
  <c r="G147" i="1" s="1"/>
  <c r="P147" i="1" s="1"/>
  <c r="D147" i="1"/>
  <c r="R146" i="1"/>
  <c r="S146" i="1" s="1"/>
  <c r="N146" i="1"/>
  <c r="M146" i="1"/>
  <c r="L146" i="1"/>
  <c r="P146" i="1" s="1"/>
  <c r="G146" i="1"/>
  <c r="E146" i="1"/>
  <c r="D146" i="1"/>
  <c r="S145" i="1"/>
  <c r="R145" i="1"/>
  <c r="P145" i="1"/>
  <c r="O145" i="1"/>
  <c r="N145" i="1"/>
  <c r="M145" i="1"/>
  <c r="L145" i="1"/>
  <c r="G145" i="1"/>
  <c r="E145" i="1"/>
  <c r="D145" i="1"/>
  <c r="S144" i="1"/>
  <c r="R144" i="1"/>
  <c r="N144" i="1"/>
  <c r="P144" i="1" s="1"/>
  <c r="M144" i="1"/>
  <c r="L144" i="1"/>
  <c r="G144" i="1"/>
  <c r="E144" i="1"/>
  <c r="D144" i="1"/>
  <c r="R143" i="1"/>
  <c r="S143" i="1" s="1"/>
  <c r="N143" i="1"/>
  <c r="M143" i="1"/>
  <c r="L143" i="1"/>
  <c r="G143" i="1"/>
  <c r="E143" i="1"/>
  <c r="D143" i="1"/>
  <c r="R142" i="1"/>
  <c r="S142" i="1" s="1"/>
  <c r="N142" i="1"/>
  <c r="P142" i="1" s="1"/>
  <c r="M142" i="1"/>
  <c r="L142" i="1"/>
  <c r="O142" i="1" s="1"/>
  <c r="G142" i="1"/>
  <c r="E142" i="1"/>
  <c r="D142" i="1"/>
  <c r="R141" i="1"/>
  <c r="S141" i="1" s="1"/>
  <c r="P141" i="1"/>
  <c r="O141" i="1"/>
  <c r="N141" i="1"/>
  <c r="M141" i="1"/>
  <c r="L141" i="1"/>
  <c r="G141" i="1"/>
  <c r="E141" i="1"/>
  <c r="D141" i="1"/>
  <c r="S140" i="1"/>
  <c r="R140" i="1"/>
  <c r="N140" i="1"/>
  <c r="M140" i="1"/>
  <c r="L140" i="1"/>
  <c r="E140" i="1"/>
  <c r="G140" i="1" s="1"/>
  <c r="D140" i="1"/>
  <c r="R139" i="1"/>
  <c r="S139" i="1" s="1"/>
  <c r="N139" i="1"/>
  <c r="M139" i="1"/>
  <c r="O139" i="1" s="1"/>
  <c r="L139" i="1"/>
  <c r="E139" i="1"/>
  <c r="G139" i="1" s="1"/>
  <c r="P139" i="1" s="1"/>
  <c r="D139" i="1"/>
  <c r="R138" i="1"/>
  <c r="S138" i="1" s="1"/>
  <c r="N138" i="1"/>
  <c r="M138" i="1"/>
  <c r="L138" i="1"/>
  <c r="E138" i="1"/>
  <c r="G138" i="1" s="1"/>
  <c r="D138" i="1"/>
  <c r="S137" i="1"/>
  <c r="R137" i="1"/>
  <c r="P137" i="1"/>
  <c r="O137" i="1"/>
  <c r="N137" i="1"/>
  <c r="M137" i="1"/>
  <c r="L137" i="1"/>
  <c r="G137" i="1"/>
  <c r="E137" i="1"/>
  <c r="D137" i="1"/>
  <c r="S136" i="1"/>
  <c r="R136" i="1"/>
  <c r="N136" i="1"/>
  <c r="M136" i="1"/>
  <c r="L136" i="1"/>
  <c r="G136" i="1"/>
  <c r="E136" i="1"/>
  <c r="D136" i="1"/>
  <c r="R135" i="1"/>
  <c r="S135" i="1" s="1"/>
  <c r="N135" i="1"/>
  <c r="M135" i="1"/>
  <c r="L135" i="1"/>
  <c r="G135" i="1"/>
  <c r="E135" i="1"/>
  <c r="D135" i="1"/>
  <c r="R134" i="1"/>
  <c r="S134" i="1" s="1"/>
  <c r="N134" i="1"/>
  <c r="P134" i="1" s="1"/>
  <c r="M134" i="1"/>
  <c r="L134" i="1"/>
  <c r="G134" i="1"/>
  <c r="E134" i="1"/>
  <c r="D134" i="1"/>
  <c r="R133" i="1"/>
  <c r="S133" i="1" s="1"/>
  <c r="P133" i="1"/>
  <c r="O133" i="1"/>
  <c r="N133" i="1"/>
  <c r="M133" i="1"/>
  <c r="L133" i="1"/>
  <c r="G133" i="1"/>
  <c r="E133" i="1"/>
  <c r="D133" i="1"/>
  <c r="S132" i="1"/>
  <c r="R132" i="1"/>
  <c r="N132" i="1"/>
  <c r="M132" i="1"/>
  <c r="L132" i="1"/>
  <c r="E132" i="1"/>
  <c r="G132" i="1" s="1"/>
  <c r="D132" i="1"/>
  <c r="R131" i="1"/>
  <c r="S131" i="1" s="1"/>
  <c r="N131" i="1"/>
  <c r="M131" i="1"/>
  <c r="O131" i="1" s="1"/>
  <c r="L131" i="1"/>
  <c r="E131" i="1"/>
  <c r="G131" i="1" s="1"/>
  <c r="P131" i="1" s="1"/>
  <c r="D131" i="1"/>
  <c r="R130" i="1"/>
  <c r="S130" i="1" s="1"/>
  <c r="N130" i="1"/>
  <c r="M130" i="1"/>
  <c r="L130" i="1"/>
  <c r="E130" i="1"/>
  <c r="G130" i="1" s="1"/>
  <c r="D130" i="1"/>
  <c r="S129" i="1"/>
  <c r="R129" i="1"/>
  <c r="P129" i="1"/>
  <c r="O129" i="1"/>
  <c r="N129" i="1"/>
  <c r="M129" i="1"/>
  <c r="L129" i="1"/>
  <c r="G129" i="1"/>
  <c r="E129" i="1"/>
  <c r="D129" i="1"/>
  <c r="S128" i="1"/>
  <c r="R128" i="1"/>
  <c r="N128" i="1"/>
  <c r="P128" i="1" s="1"/>
  <c r="M128" i="1"/>
  <c r="L128" i="1"/>
  <c r="G128" i="1"/>
  <c r="E128" i="1"/>
  <c r="D128" i="1"/>
  <c r="R127" i="1"/>
  <c r="S127" i="1" s="1"/>
  <c r="N127" i="1"/>
  <c r="M127" i="1"/>
  <c r="L127" i="1"/>
  <c r="G127" i="1"/>
  <c r="E127" i="1"/>
  <c r="D127" i="1"/>
  <c r="R126" i="1"/>
  <c r="S126" i="1" s="1"/>
  <c r="N126" i="1"/>
  <c r="P126" i="1" s="1"/>
  <c r="M126" i="1"/>
  <c r="L126" i="1"/>
  <c r="O126" i="1" s="1"/>
  <c r="G126" i="1"/>
  <c r="E126" i="1"/>
  <c r="D126" i="1"/>
  <c r="R125" i="1"/>
  <c r="S125" i="1" s="1"/>
  <c r="P125" i="1"/>
  <c r="O125" i="1"/>
  <c r="N125" i="1"/>
  <c r="M125" i="1"/>
  <c r="L125" i="1"/>
  <c r="G125" i="1"/>
  <c r="E125" i="1"/>
  <c r="D125" i="1"/>
  <c r="S124" i="1"/>
  <c r="R124" i="1"/>
  <c r="N124" i="1"/>
  <c r="M124" i="1"/>
  <c r="L124" i="1"/>
  <c r="E124" i="1"/>
  <c r="G124" i="1" s="1"/>
  <c r="D124" i="1"/>
  <c r="R123" i="1"/>
  <c r="S123" i="1" s="1"/>
  <c r="N123" i="1"/>
  <c r="M123" i="1"/>
  <c r="O123" i="1" s="1"/>
  <c r="L123" i="1"/>
  <c r="E123" i="1"/>
  <c r="G123" i="1" s="1"/>
  <c r="P123" i="1" s="1"/>
  <c r="D123" i="1"/>
  <c r="S122" i="1"/>
  <c r="M122" i="1"/>
  <c r="G122" i="1"/>
  <c r="E122" i="1"/>
  <c r="D122" i="1"/>
  <c r="R121" i="1"/>
  <c r="S121" i="1" s="1"/>
  <c r="O121" i="1"/>
  <c r="P121" i="1" s="1"/>
  <c r="N121" i="1"/>
  <c r="M121" i="1"/>
  <c r="L121" i="1"/>
  <c r="G121" i="1"/>
  <c r="E121" i="1"/>
  <c r="D121" i="1"/>
  <c r="S120" i="1"/>
  <c r="R120" i="1"/>
  <c r="N120" i="1"/>
  <c r="M120" i="1"/>
  <c r="L120" i="1"/>
  <c r="E120" i="1"/>
  <c r="G120" i="1" s="1"/>
  <c r="D120" i="1"/>
  <c r="R119" i="1"/>
  <c r="S119" i="1" s="1"/>
  <c r="N119" i="1"/>
  <c r="O119" i="1" s="1"/>
  <c r="P119" i="1" s="1"/>
  <c r="M119" i="1"/>
  <c r="L119" i="1"/>
  <c r="G119" i="1"/>
  <c r="E119" i="1"/>
  <c r="D119" i="1"/>
  <c r="R118" i="1"/>
  <c r="S118" i="1" s="1"/>
  <c r="N118" i="1"/>
  <c r="M118" i="1"/>
  <c r="L118" i="1"/>
  <c r="O118" i="1" s="1"/>
  <c r="P118" i="1" s="1"/>
  <c r="E118" i="1"/>
  <c r="G118" i="1" s="1"/>
  <c r="D118" i="1"/>
  <c r="S117" i="1"/>
  <c r="R117" i="1"/>
  <c r="N117" i="1"/>
  <c r="M117" i="1"/>
  <c r="L117" i="1"/>
  <c r="O117" i="1" s="1"/>
  <c r="G117" i="1"/>
  <c r="E117" i="1"/>
  <c r="D117" i="1"/>
  <c r="R116" i="1"/>
  <c r="S116" i="1" s="1"/>
  <c r="N116" i="1"/>
  <c r="M116" i="1"/>
  <c r="O116" i="1" s="1"/>
  <c r="P116" i="1" s="1"/>
  <c r="L116" i="1"/>
  <c r="E116" i="1"/>
  <c r="G116" i="1" s="1"/>
  <c r="D116" i="1"/>
  <c r="S115" i="1"/>
  <c r="R115" i="1"/>
  <c r="N115" i="1"/>
  <c r="M115" i="1"/>
  <c r="L115" i="1"/>
  <c r="E115" i="1"/>
  <c r="G115" i="1" s="1"/>
  <c r="D115" i="1"/>
  <c r="S114" i="1"/>
  <c r="R114" i="1"/>
  <c r="N114" i="1"/>
  <c r="M114" i="1"/>
  <c r="L114" i="1"/>
  <c r="O114" i="1" s="1"/>
  <c r="P114" i="1" s="1"/>
  <c r="G114" i="1"/>
  <c r="E114" i="1"/>
  <c r="D114" i="1"/>
  <c r="R113" i="1"/>
  <c r="S113" i="1" s="1"/>
  <c r="O113" i="1"/>
  <c r="P113" i="1" s="1"/>
  <c r="N113" i="1"/>
  <c r="M113" i="1"/>
  <c r="L113" i="1"/>
  <c r="G113" i="1"/>
  <c r="E113" i="1"/>
  <c r="D113" i="1"/>
  <c r="S112" i="1"/>
  <c r="R112" i="1"/>
  <c r="N112" i="1"/>
  <c r="M112" i="1"/>
  <c r="L112" i="1"/>
  <c r="E112" i="1"/>
  <c r="G112" i="1" s="1"/>
  <c r="D112" i="1"/>
  <c r="R111" i="1"/>
  <c r="S111" i="1" s="1"/>
  <c r="N111" i="1"/>
  <c r="O111" i="1" s="1"/>
  <c r="P111" i="1" s="1"/>
  <c r="M111" i="1"/>
  <c r="L111" i="1"/>
  <c r="G111" i="1"/>
  <c r="E111" i="1"/>
  <c r="D111" i="1"/>
  <c r="R110" i="1"/>
  <c r="S110" i="1" s="1"/>
  <c r="N110" i="1"/>
  <c r="M110" i="1"/>
  <c r="L110" i="1"/>
  <c r="O110" i="1" s="1"/>
  <c r="E110" i="1"/>
  <c r="G110" i="1" s="1"/>
  <c r="D110" i="1"/>
  <c r="S109" i="1"/>
  <c r="R109" i="1"/>
  <c r="N109" i="1"/>
  <c r="M109" i="1"/>
  <c r="L109" i="1"/>
  <c r="O109" i="1" s="1"/>
  <c r="P109" i="1" s="1"/>
  <c r="G109" i="1"/>
  <c r="E109" i="1"/>
  <c r="D109" i="1"/>
  <c r="R108" i="1"/>
  <c r="S108" i="1" s="1"/>
  <c r="N108" i="1"/>
  <c r="M108" i="1"/>
  <c r="O108" i="1" s="1"/>
  <c r="P108" i="1" s="1"/>
  <c r="L108" i="1"/>
  <c r="E108" i="1"/>
  <c r="G108" i="1" s="1"/>
  <c r="D108" i="1"/>
  <c r="S107" i="1"/>
  <c r="O107" i="1"/>
  <c r="N107" i="1"/>
  <c r="M107" i="1"/>
  <c r="L107" i="1"/>
  <c r="E107" i="1"/>
  <c r="G107" i="1" s="1"/>
  <c r="D107" i="1"/>
  <c r="S106" i="1"/>
  <c r="R106" i="1"/>
  <c r="O106" i="1"/>
  <c r="N106" i="1"/>
  <c r="M106" i="1"/>
  <c r="L106" i="1"/>
  <c r="G106" i="1"/>
  <c r="E106" i="1"/>
  <c r="D106" i="1"/>
  <c r="S105" i="1"/>
  <c r="R105" i="1"/>
  <c r="N105" i="1"/>
  <c r="M105" i="1"/>
  <c r="O105" i="1" s="1"/>
  <c r="P105" i="1" s="1"/>
  <c r="L105" i="1"/>
  <c r="E105" i="1"/>
  <c r="G105" i="1" s="1"/>
  <c r="D105" i="1"/>
  <c r="S104" i="1"/>
  <c r="R104" i="1"/>
  <c r="N104" i="1"/>
  <c r="M104" i="1"/>
  <c r="L104" i="1"/>
  <c r="O104" i="1" s="1"/>
  <c r="G104" i="1"/>
  <c r="E104" i="1"/>
  <c r="D104" i="1"/>
  <c r="S103" i="1"/>
  <c r="R103" i="1"/>
  <c r="N103" i="1"/>
  <c r="O103" i="1" s="1"/>
  <c r="P103" i="1" s="1"/>
  <c r="M103" i="1"/>
  <c r="L103" i="1"/>
  <c r="G103" i="1"/>
  <c r="E103" i="1"/>
  <c r="D103" i="1"/>
  <c r="R102" i="1"/>
  <c r="S102" i="1" s="1"/>
  <c r="N102" i="1"/>
  <c r="O102" i="1" s="1"/>
  <c r="M102" i="1"/>
  <c r="L102" i="1"/>
  <c r="E102" i="1"/>
  <c r="G102" i="1" s="1"/>
  <c r="D102" i="1"/>
  <c r="R101" i="1"/>
  <c r="S101" i="1" s="1"/>
  <c r="N101" i="1"/>
  <c r="M101" i="1"/>
  <c r="L101" i="1"/>
  <c r="E101" i="1"/>
  <c r="D101" i="1"/>
  <c r="S100" i="1"/>
  <c r="R100" i="1"/>
  <c r="N100" i="1"/>
  <c r="M100" i="1"/>
  <c r="L100" i="1"/>
  <c r="O100" i="1" s="1"/>
  <c r="G100" i="1"/>
  <c r="D100" i="1"/>
  <c r="R99" i="1"/>
  <c r="S99" i="1" s="1"/>
  <c r="N99" i="1"/>
  <c r="M99" i="1"/>
  <c r="L99" i="1"/>
  <c r="O99" i="1" s="1"/>
  <c r="P99" i="1" s="1"/>
  <c r="G99" i="1"/>
  <c r="E99" i="1"/>
  <c r="D99" i="1"/>
  <c r="R98" i="1"/>
  <c r="S98" i="1" s="1"/>
  <c r="O98" i="1"/>
  <c r="P98" i="1" s="1"/>
  <c r="N98" i="1"/>
  <c r="M98" i="1"/>
  <c r="L98" i="1"/>
  <c r="E98" i="1"/>
  <c r="D98" i="1"/>
  <c r="R97" i="1"/>
  <c r="S97" i="1" s="1"/>
  <c r="N97" i="1"/>
  <c r="M97" i="1"/>
  <c r="L97" i="1"/>
  <c r="G97" i="1"/>
  <c r="E97" i="1"/>
  <c r="D97" i="1"/>
  <c r="R96" i="1"/>
  <c r="S96" i="1" s="1"/>
  <c r="O96" i="1"/>
  <c r="P96" i="1" s="1"/>
  <c r="N96" i="1"/>
  <c r="M96" i="1"/>
  <c r="L96" i="1"/>
  <c r="G96" i="1"/>
  <c r="E96" i="1"/>
  <c r="D96" i="1"/>
  <c r="S95" i="1"/>
  <c r="R95" i="1"/>
  <c r="N95" i="1"/>
  <c r="M95" i="1"/>
  <c r="L95" i="1"/>
  <c r="O95" i="1" s="1"/>
  <c r="E95" i="1"/>
  <c r="G95" i="1" s="1"/>
  <c r="D95" i="1"/>
  <c r="S94" i="1"/>
  <c r="R94" i="1"/>
  <c r="N94" i="1"/>
  <c r="M94" i="1"/>
  <c r="L94" i="1"/>
  <c r="O94" i="1" s="1"/>
  <c r="P94" i="1" s="1"/>
  <c r="G94" i="1"/>
  <c r="E94" i="1"/>
  <c r="D94" i="1"/>
  <c r="R93" i="1"/>
  <c r="S93" i="1" s="1"/>
  <c r="N93" i="1"/>
  <c r="O93" i="1" s="1"/>
  <c r="P93" i="1" s="1"/>
  <c r="M93" i="1"/>
  <c r="L93" i="1"/>
  <c r="E93" i="1"/>
  <c r="G93" i="1" s="1"/>
  <c r="D93" i="1"/>
  <c r="R92" i="1"/>
  <c r="S92" i="1" s="1"/>
  <c r="P92" i="1"/>
  <c r="N92" i="1"/>
  <c r="M92" i="1"/>
  <c r="L92" i="1"/>
  <c r="O92" i="1" s="1"/>
  <c r="E92" i="1"/>
  <c r="G92" i="1" s="1"/>
  <c r="D92" i="1"/>
  <c r="S91" i="1"/>
  <c r="R91" i="1"/>
  <c r="N91" i="1"/>
  <c r="M91" i="1"/>
  <c r="O91" i="1" s="1"/>
  <c r="P91" i="1" s="1"/>
  <c r="L91" i="1"/>
  <c r="G91" i="1"/>
  <c r="E91" i="1"/>
  <c r="D91" i="1"/>
  <c r="S90" i="1"/>
  <c r="R90" i="1"/>
  <c r="N90" i="1"/>
  <c r="M90" i="1"/>
  <c r="O90" i="1" s="1"/>
  <c r="P90" i="1" s="1"/>
  <c r="L90" i="1"/>
  <c r="E90" i="1"/>
  <c r="G90" i="1" s="1"/>
  <c r="D90" i="1"/>
  <c r="R89" i="1"/>
  <c r="S89" i="1" s="1"/>
  <c r="P89" i="1"/>
  <c r="N89" i="1"/>
  <c r="M89" i="1"/>
  <c r="L89" i="1"/>
  <c r="O89" i="1" s="1"/>
  <c r="E89" i="1"/>
  <c r="G89" i="1" s="1"/>
  <c r="D89" i="1"/>
  <c r="R88" i="1"/>
  <c r="S88" i="1" s="1"/>
  <c r="N88" i="1"/>
  <c r="M88" i="1"/>
  <c r="L88" i="1"/>
  <c r="O88" i="1" s="1"/>
  <c r="P88" i="1" s="1"/>
  <c r="G88" i="1"/>
  <c r="E88" i="1"/>
  <c r="D88" i="1"/>
  <c r="R87" i="1"/>
  <c r="S87" i="1" s="1"/>
  <c r="N87" i="1"/>
  <c r="M87" i="1"/>
  <c r="L87" i="1"/>
  <c r="O87" i="1" s="1"/>
  <c r="E87" i="1"/>
  <c r="G87" i="1" s="1"/>
  <c r="D87" i="1"/>
  <c r="S86" i="1"/>
  <c r="R86" i="1"/>
  <c r="N86" i="1"/>
  <c r="O86" i="1" s="1"/>
  <c r="P86" i="1" s="1"/>
  <c r="M86" i="1"/>
  <c r="L86" i="1"/>
  <c r="G86" i="1"/>
  <c r="E86" i="1"/>
  <c r="D86" i="1"/>
  <c r="R85" i="1"/>
  <c r="S85" i="1" s="1"/>
  <c r="N85" i="1"/>
  <c r="M85" i="1"/>
  <c r="O85" i="1" s="1"/>
  <c r="P85" i="1" s="1"/>
  <c r="L85" i="1"/>
  <c r="E85" i="1"/>
  <c r="D85" i="1"/>
  <c r="S84" i="1"/>
  <c r="R84" i="1"/>
  <c r="O84" i="1"/>
  <c r="N84" i="1"/>
  <c r="M84" i="1"/>
  <c r="L84" i="1"/>
  <c r="E84" i="1"/>
  <c r="G84" i="1" s="1"/>
  <c r="D84" i="1"/>
  <c r="S83" i="1"/>
  <c r="R83" i="1"/>
  <c r="N83" i="1"/>
  <c r="M83" i="1"/>
  <c r="L83" i="1"/>
  <c r="O83" i="1" s="1"/>
  <c r="P83" i="1" s="1"/>
  <c r="E83" i="1"/>
  <c r="G83" i="1" s="1"/>
  <c r="D83" i="1"/>
  <c r="R82" i="1"/>
  <c r="S82" i="1" s="1"/>
  <c r="N82" i="1"/>
  <c r="O82" i="1" s="1"/>
  <c r="P82" i="1" s="1"/>
  <c r="M82" i="1"/>
  <c r="L82" i="1"/>
  <c r="E82" i="1"/>
  <c r="G82" i="1" s="1"/>
  <c r="D82" i="1"/>
  <c r="R81" i="1"/>
  <c r="S81" i="1" s="1"/>
  <c r="N81" i="1"/>
  <c r="M81" i="1"/>
  <c r="O81" i="1" s="1"/>
  <c r="P81" i="1" s="1"/>
  <c r="L81" i="1"/>
  <c r="G81" i="1"/>
  <c r="E81" i="1"/>
  <c r="D81" i="1"/>
  <c r="S80" i="1"/>
  <c r="R80" i="1"/>
  <c r="N80" i="1"/>
  <c r="M80" i="1"/>
  <c r="L80" i="1"/>
  <c r="O80" i="1" s="1"/>
  <c r="G80" i="1"/>
  <c r="E80" i="1"/>
  <c r="D80" i="1"/>
  <c r="R79" i="1"/>
  <c r="S79" i="1" s="1"/>
  <c r="N79" i="1"/>
  <c r="O79" i="1" s="1"/>
  <c r="P79" i="1" s="1"/>
  <c r="M79" i="1"/>
  <c r="L79" i="1"/>
  <c r="G79" i="1"/>
  <c r="E79" i="1"/>
  <c r="D79" i="1"/>
  <c r="R78" i="1"/>
  <c r="S78" i="1" s="1"/>
  <c r="N78" i="1"/>
  <c r="M78" i="1"/>
  <c r="L78" i="1"/>
  <c r="G78" i="1"/>
  <c r="E78" i="1"/>
  <c r="D78" i="1"/>
  <c r="R77" i="1"/>
  <c r="S77" i="1" s="1"/>
  <c r="N77" i="1"/>
  <c r="M77" i="1"/>
  <c r="O77" i="1" s="1"/>
  <c r="P77" i="1" s="1"/>
  <c r="L77" i="1"/>
  <c r="G77" i="1"/>
  <c r="E77" i="1"/>
  <c r="D77" i="1"/>
  <c r="S76" i="1"/>
  <c r="R76" i="1"/>
  <c r="N76" i="1"/>
  <c r="M76" i="1"/>
  <c r="L76" i="1"/>
  <c r="O76" i="1" s="1"/>
  <c r="E76" i="1"/>
  <c r="G76" i="1" s="1"/>
  <c r="D76" i="1"/>
  <c r="R75" i="1"/>
  <c r="S75" i="1" s="1"/>
  <c r="O75" i="1"/>
  <c r="N75" i="1"/>
  <c r="M75" i="1"/>
  <c r="L75" i="1"/>
  <c r="E75" i="1"/>
  <c r="G75" i="1" s="1"/>
  <c r="D75" i="1"/>
  <c r="R74" i="1"/>
  <c r="S74" i="1" s="1"/>
  <c r="N74" i="1"/>
  <c r="M74" i="1"/>
  <c r="L74" i="1"/>
  <c r="O74" i="1" s="1"/>
  <c r="P74" i="1" s="1"/>
  <c r="E74" i="1"/>
  <c r="G74" i="1" s="1"/>
  <c r="D74" i="1"/>
  <c r="S73" i="1"/>
  <c r="R73" i="1"/>
  <c r="N73" i="1"/>
  <c r="M73" i="1"/>
  <c r="L73" i="1"/>
  <c r="O73" i="1" s="1"/>
  <c r="P73" i="1" s="1"/>
  <c r="G73" i="1"/>
  <c r="E73" i="1"/>
  <c r="D73" i="1"/>
  <c r="S72" i="1"/>
  <c r="R72" i="1"/>
  <c r="N72" i="1"/>
  <c r="O72" i="1" s="1"/>
  <c r="P72" i="1" s="1"/>
  <c r="M72" i="1"/>
  <c r="L72" i="1"/>
  <c r="G72" i="1"/>
  <c r="E72" i="1"/>
  <c r="D72" i="1"/>
  <c r="R71" i="1"/>
  <c r="S71" i="1" s="1"/>
  <c r="N71" i="1"/>
  <c r="M71" i="1"/>
  <c r="O71" i="1" s="1"/>
  <c r="L71" i="1"/>
  <c r="E71" i="1"/>
  <c r="G71" i="1" s="1"/>
  <c r="D71" i="1"/>
  <c r="R70" i="1"/>
  <c r="S70" i="1" s="1"/>
  <c r="N70" i="1"/>
  <c r="M70" i="1"/>
  <c r="L70" i="1"/>
  <c r="O70" i="1" s="1"/>
  <c r="G70" i="1"/>
  <c r="E70" i="1"/>
  <c r="D70" i="1"/>
  <c r="R69" i="1"/>
  <c r="S69" i="1" s="1"/>
  <c r="N69" i="1"/>
  <c r="M69" i="1"/>
  <c r="L69" i="1"/>
  <c r="O69" i="1" s="1"/>
  <c r="P69" i="1" s="1"/>
  <c r="G69" i="1"/>
  <c r="E69" i="1"/>
  <c r="D69" i="1"/>
  <c r="R68" i="1"/>
  <c r="S68" i="1" s="1"/>
  <c r="N68" i="1"/>
  <c r="M68" i="1"/>
  <c r="L68" i="1"/>
  <c r="O68" i="1" s="1"/>
  <c r="P68" i="1" s="1"/>
  <c r="G68" i="1"/>
  <c r="E68" i="1"/>
  <c r="D68" i="1"/>
  <c r="S67" i="1"/>
  <c r="R67" i="1"/>
  <c r="N67" i="1"/>
  <c r="M67" i="1"/>
  <c r="L67" i="1"/>
  <c r="O67" i="1" s="1"/>
  <c r="E67" i="1"/>
  <c r="G67" i="1" s="1"/>
  <c r="D67" i="1"/>
  <c r="R66" i="1"/>
  <c r="S66" i="1" s="1"/>
  <c r="N66" i="1"/>
  <c r="M66" i="1"/>
  <c r="L66" i="1"/>
  <c r="O66" i="1" s="1"/>
  <c r="P66" i="1" s="1"/>
  <c r="E66" i="1"/>
  <c r="G66" i="1" s="1"/>
  <c r="D66" i="1"/>
  <c r="R65" i="1"/>
  <c r="S65" i="1" s="1"/>
  <c r="O65" i="1"/>
  <c r="P65" i="1" s="1"/>
  <c r="N65" i="1"/>
  <c r="M65" i="1"/>
  <c r="L65" i="1"/>
  <c r="G65" i="1"/>
  <c r="E65" i="1"/>
  <c r="D65" i="1"/>
  <c r="S64" i="1"/>
  <c r="R64" i="1"/>
  <c r="N64" i="1"/>
  <c r="M64" i="1"/>
  <c r="L64" i="1"/>
  <c r="O64" i="1" s="1"/>
  <c r="E64" i="1"/>
  <c r="G64" i="1" s="1"/>
  <c r="D64" i="1"/>
  <c r="R63" i="1"/>
  <c r="S63" i="1" s="1"/>
  <c r="N63" i="1"/>
  <c r="M63" i="1"/>
  <c r="O63" i="1" s="1"/>
  <c r="P63" i="1" s="1"/>
  <c r="L63" i="1"/>
  <c r="G63" i="1"/>
  <c r="E63" i="1"/>
  <c r="D63" i="1"/>
  <c r="S62" i="1"/>
  <c r="R62" i="1"/>
  <c r="N62" i="1"/>
  <c r="M62" i="1"/>
  <c r="L62" i="1"/>
  <c r="G62" i="1"/>
  <c r="E62" i="1"/>
  <c r="D62" i="1"/>
  <c r="R61" i="1"/>
  <c r="S61" i="1" s="1"/>
  <c r="N61" i="1"/>
  <c r="M61" i="1"/>
  <c r="O61" i="1" s="1"/>
  <c r="P61" i="1" s="1"/>
  <c r="L61" i="1"/>
  <c r="G61" i="1"/>
  <c r="E61" i="1"/>
  <c r="D61" i="1"/>
  <c r="R60" i="1"/>
  <c r="S60" i="1" s="1"/>
  <c r="N60" i="1"/>
  <c r="M60" i="1"/>
  <c r="L60" i="1"/>
  <c r="O60" i="1" s="1"/>
  <c r="P60" i="1" s="1"/>
  <c r="G60" i="1"/>
  <c r="E60" i="1"/>
  <c r="D60" i="1"/>
  <c r="R59" i="1"/>
  <c r="S59" i="1" s="1"/>
  <c r="N59" i="1"/>
  <c r="M59" i="1"/>
  <c r="L59" i="1"/>
  <c r="O59" i="1" s="1"/>
  <c r="P59" i="1" s="1"/>
  <c r="E59" i="1"/>
  <c r="G59" i="1" s="1"/>
  <c r="D59" i="1"/>
  <c r="S58" i="1"/>
  <c r="R58" i="1"/>
  <c r="O58" i="1"/>
  <c r="P58" i="1" s="1"/>
  <c r="N58" i="1"/>
  <c r="M58" i="1"/>
  <c r="L58" i="1"/>
  <c r="E58" i="1"/>
  <c r="G58" i="1" s="1"/>
  <c r="D58" i="1"/>
  <c r="R57" i="1"/>
  <c r="S57" i="1" s="1"/>
  <c r="N57" i="1"/>
  <c r="M57" i="1"/>
  <c r="L57" i="1"/>
  <c r="O57" i="1" s="1"/>
  <c r="E57" i="1"/>
  <c r="G57" i="1" s="1"/>
  <c r="D57" i="1"/>
  <c r="S56" i="1"/>
  <c r="R56" i="1"/>
  <c r="N56" i="1"/>
  <c r="M56" i="1"/>
  <c r="L56" i="1"/>
  <c r="O56" i="1" s="1"/>
  <c r="P56" i="1" s="1"/>
  <c r="E56" i="1"/>
  <c r="G56" i="1" s="1"/>
  <c r="D56" i="1"/>
  <c r="S55" i="1"/>
  <c r="R55" i="1"/>
  <c r="O55" i="1"/>
  <c r="P55" i="1" s="1"/>
  <c r="N55" i="1"/>
  <c r="M55" i="1"/>
  <c r="L55" i="1"/>
  <c r="E55" i="1"/>
  <c r="G55" i="1" s="1"/>
  <c r="D55" i="1"/>
  <c r="S54" i="1"/>
  <c r="R54" i="1"/>
  <c r="N54" i="1"/>
  <c r="M54" i="1"/>
  <c r="L54" i="1"/>
  <c r="O54" i="1" s="1"/>
  <c r="P54" i="1" s="1"/>
  <c r="E54" i="1"/>
  <c r="S53" i="1"/>
  <c r="R53" i="1"/>
  <c r="N53" i="1"/>
  <c r="M53" i="1"/>
  <c r="L53" i="1"/>
  <c r="O53" i="1" s="1"/>
  <c r="P53" i="1" s="1"/>
  <c r="E53" i="1"/>
  <c r="D53" i="1"/>
  <c r="R52" i="1"/>
  <c r="S52" i="1" s="1"/>
  <c r="N52" i="1"/>
  <c r="M52" i="1"/>
  <c r="L52" i="1"/>
  <c r="O52" i="1" s="1"/>
  <c r="P52" i="1" s="1"/>
  <c r="G52" i="1"/>
  <c r="E52" i="1"/>
  <c r="D52" i="1"/>
  <c r="R51" i="1"/>
  <c r="S51" i="1" s="1"/>
  <c r="N51" i="1"/>
  <c r="M51" i="1"/>
  <c r="L51" i="1"/>
  <c r="O51" i="1" s="1"/>
  <c r="P51" i="1" s="1"/>
  <c r="E51" i="1"/>
  <c r="G51" i="1" s="1"/>
  <c r="D51" i="1"/>
  <c r="R50" i="1"/>
  <c r="S50" i="1" s="1"/>
  <c r="O50" i="1"/>
  <c r="P50" i="1" s="1"/>
  <c r="N50" i="1"/>
  <c r="M50" i="1"/>
  <c r="L50" i="1"/>
  <c r="E50" i="1"/>
  <c r="G50" i="1" s="1"/>
  <c r="D50" i="1"/>
  <c r="R49" i="1"/>
  <c r="S49" i="1" s="1"/>
  <c r="N49" i="1"/>
  <c r="M49" i="1"/>
  <c r="L49" i="1"/>
  <c r="O49" i="1" s="1"/>
  <c r="P49" i="1" s="1"/>
  <c r="E49" i="1"/>
  <c r="G49" i="1" s="1"/>
  <c r="D49" i="1"/>
  <c r="S48" i="1"/>
  <c r="R48" i="1"/>
  <c r="N48" i="1"/>
  <c r="M48" i="1"/>
  <c r="L48" i="1"/>
  <c r="O48" i="1" s="1"/>
  <c r="P48" i="1" s="1"/>
  <c r="G48" i="1"/>
  <c r="E48" i="1"/>
  <c r="D48" i="1"/>
  <c r="S47" i="1"/>
  <c r="R47" i="1"/>
  <c r="N47" i="1"/>
  <c r="O47" i="1" s="1"/>
  <c r="P47" i="1" s="1"/>
  <c r="M47" i="1"/>
  <c r="L47" i="1"/>
  <c r="E47" i="1"/>
  <c r="G47" i="1" s="1"/>
  <c r="D47" i="1"/>
  <c r="S46" i="1"/>
  <c r="R46" i="1"/>
  <c r="N46" i="1"/>
  <c r="O46" i="1" s="1"/>
  <c r="P46" i="1" s="1"/>
  <c r="M46" i="1"/>
  <c r="L46" i="1"/>
  <c r="E46" i="1"/>
  <c r="G46" i="1" s="1"/>
  <c r="D46" i="1"/>
  <c r="R45" i="1"/>
  <c r="S45" i="1" s="1"/>
  <c r="N45" i="1"/>
  <c r="M45" i="1"/>
  <c r="L45" i="1"/>
  <c r="O45" i="1" s="1"/>
  <c r="G45" i="1"/>
  <c r="E45" i="1"/>
  <c r="D45" i="1"/>
  <c r="R44" i="1"/>
  <c r="S44" i="1" s="1"/>
  <c r="N44" i="1"/>
  <c r="M44" i="1"/>
  <c r="L44" i="1"/>
  <c r="G44" i="1"/>
  <c r="E44" i="1"/>
  <c r="D44" i="1"/>
  <c r="R43" i="1"/>
  <c r="S43" i="1" s="1"/>
  <c r="P43" i="1"/>
  <c r="N43" i="1"/>
  <c r="M43" i="1"/>
  <c r="L43" i="1"/>
  <c r="O43" i="1" s="1"/>
  <c r="G43" i="1"/>
  <c r="E43" i="1"/>
  <c r="D43" i="1"/>
  <c r="R42" i="1"/>
  <c r="S42" i="1" s="1"/>
  <c r="N42" i="1"/>
  <c r="M42" i="1"/>
  <c r="L42" i="1"/>
  <c r="O42" i="1" s="1"/>
  <c r="E42" i="1"/>
  <c r="G42" i="1" s="1"/>
  <c r="D42" i="1"/>
  <c r="S41" i="1"/>
  <c r="R41" i="1"/>
  <c r="N41" i="1"/>
  <c r="M41" i="1"/>
  <c r="L41" i="1"/>
  <c r="E41" i="1"/>
  <c r="G41" i="1" s="1"/>
  <c r="D41" i="1"/>
  <c r="R40" i="1"/>
  <c r="S40" i="1" s="1"/>
  <c r="O40" i="1"/>
  <c r="N40" i="1"/>
  <c r="M40" i="1"/>
  <c r="L40" i="1"/>
  <c r="E40" i="1"/>
  <c r="G40" i="1" s="1"/>
  <c r="D40" i="1"/>
  <c r="S39" i="1"/>
  <c r="R39" i="1"/>
  <c r="N39" i="1"/>
  <c r="M39" i="1"/>
  <c r="L39" i="1"/>
  <c r="O39" i="1" s="1"/>
  <c r="P39" i="1" s="1"/>
  <c r="E39" i="1"/>
  <c r="D39" i="1"/>
  <c r="S38" i="1"/>
  <c r="R38" i="1"/>
  <c r="N38" i="1"/>
  <c r="M38" i="1"/>
  <c r="L38" i="1"/>
  <c r="O38" i="1" s="1"/>
  <c r="E38" i="1"/>
  <c r="G38" i="1" s="1"/>
  <c r="D38" i="1"/>
  <c r="R37" i="1"/>
  <c r="S37" i="1" s="1"/>
  <c r="N37" i="1"/>
  <c r="M37" i="1"/>
  <c r="L37" i="1"/>
  <c r="O37" i="1" s="1"/>
  <c r="P37" i="1" s="1"/>
  <c r="G37" i="1"/>
  <c r="E37" i="1"/>
  <c r="D37" i="1"/>
  <c r="S36" i="1"/>
  <c r="R36" i="1"/>
  <c r="O36" i="1"/>
  <c r="P36" i="1" s="1"/>
  <c r="N36" i="1"/>
  <c r="M36" i="1"/>
  <c r="L36" i="1"/>
  <c r="E36" i="1"/>
  <c r="G36" i="1" s="1"/>
  <c r="D36" i="1"/>
  <c r="S35" i="1"/>
  <c r="R35" i="1"/>
  <c r="N35" i="1"/>
  <c r="M35" i="1"/>
  <c r="O35" i="1" s="1"/>
  <c r="P35" i="1" s="1"/>
  <c r="L35" i="1"/>
  <c r="D35" i="1"/>
  <c r="S34" i="1"/>
  <c r="R34" i="1"/>
  <c r="N34" i="1"/>
  <c r="M34" i="1"/>
  <c r="L34" i="1"/>
  <c r="O34" i="1" s="1"/>
  <c r="P34" i="1" s="1"/>
  <c r="E34" i="1"/>
  <c r="D34" i="1"/>
  <c r="R33" i="1"/>
  <c r="S33" i="1" s="1"/>
  <c r="N33" i="1"/>
  <c r="M33" i="1"/>
  <c r="L33" i="1"/>
  <c r="O33" i="1" s="1"/>
  <c r="P33" i="1" s="1"/>
  <c r="D33" i="1"/>
  <c r="R32" i="1"/>
  <c r="S32" i="1" s="1"/>
  <c r="N32" i="1"/>
  <c r="M32" i="1"/>
  <c r="L32" i="1"/>
  <c r="G32" i="1"/>
  <c r="E32" i="1"/>
  <c r="D32" i="1"/>
  <c r="R31" i="1"/>
  <c r="S31" i="1" s="1"/>
  <c r="N31" i="1"/>
  <c r="O31" i="1" s="1"/>
  <c r="P31" i="1" s="1"/>
  <c r="M31" i="1"/>
  <c r="L31" i="1"/>
  <c r="E31" i="1"/>
  <c r="G31" i="1" s="1"/>
  <c r="D31" i="1"/>
  <c r="R30" i="1"/>
  <c r="S30" i="1" s="1"/>
  <c r="P30" i="1"/>
  <c r="N30" i="1"/>
  <c r="M30" i="1"/>
  <c r="O30" i="1" s="1"/>
  <c r="L30" i="1"/>
  <c r="E30" i="1"/>
  <c r="D30" i="1"/>
  <c r="S29" i="1"/>
  <c r="R29" i="1"/>
  <c r="N29" i="1"/>
  <c r="M29" i="1"/>
  <c r="L29" i="1"/>
  <c r="O29" i="1" s="1"/>
  <c r="P29" i="1" s="1"/>
  <c r="E29" i="1"/>
  <c r="D29" i="1"/>
  <c r="N28" i="1"/>
  <c r="M28" i="1"/>
  <c r="H28" i="1"/>
  <c r="E28" i="1"/>
  <c r="G28" i="1" s="1"/>
  <c r="D28" i="1"/>
  <c r="S27" i="1"/>
  <c r="R27" i="1"/>
  <c r="N27" i="1"/>
  <c r="M27" i="1"/>
  <c r="L27" i="1"/>
  <c r="O27" i="1" s="1"/>
  <c r="P27" i="1" s="1"/>
  <c r="E27" i="1"/>
  <c r="G27" i="1" s="1"/>
  <c r="D27" i="1"/>
  <c r="S26" i="1"/>
  <c r="R26" i="1"/>
  <c r="N26" i="1"/>
  <c r="M26" i="1"/>
  <c r="O26" i="1" s="1"/>
  <c r="P26" i="1" s="1"/>
  <c r="L26" i="1"/>
  <c r="G26" i="1"/>
  <c r="E26" i="1"/>
  <c r="D26" i="1"/>
  <c r="S25" i="1"/>
  <c r="R25" i="1"/>
  <c r="N25" i="1"/>
  <c r="O25" i="1" s="1"/>
  <c r="P25" i="1" s="1"/>
  <c r="M25" i="1"/>
  <c r="L25" i="1"/>
  <c r="G25" i="1"/>
  <c r="E25" i="1"/>
  <c r="D25" i="1"/>
  <c r="R24" i="1"/>
  <c r="S24" i="1" s="1"/>
  <c r="N24" i="1"/>
  <c r="M24" i="1"/>
  <c r="L24" i="1"/>
  <c r="E24" i="1"/>
  <c r="G24" i="1" s="1"/>
  <c r="D24" i="1"/>
  <c r="R23" i="1"/>
  <c r="S23" i="1" s="1"/>
  <c r="P23" i="1"/>
  <c r="O23" i="1"/>
  <c r="N23" i="1"/>
  <c r="M23" i="1"/>
  <c r="L23" i="1"/>
  <c r="G23" i="1"/>
  <c r="E23" i="1"/>
  <c r="D23" i="1"/>
  <c r="S22" i="1"/>
  <c r="R22" i="1"/>
  <c r="N22" i="1"/>
  <c r="O22" i="1" s="1"/>
  <c r="M22" i="1"/>
  <c r="L22" i="1"/>
  <c r="E22" i="1"/>
  <c r="G22" i="1" s="1"/>
  <c r="D22" i="1"/>
  <c r="R21" i="1"/>
  <c r="S21" i="1" s="1"/>
  <c r="N21" i="1"/>
  <c r="M21" i="1"/>
  <c r="L21" i="1"/>
  <c r="O21" i="1" s="1"/>
  <c r="P21" i="1" s="1"/>
  <c r="G21" i="1"/>
  <c r="E21" i="1"/>
  <c r="D21" i="1"/>
  <c r="R20" i="1"/>
  <c r="S20" i="1" s="1"/>
  <c r="N20" i="1"/>
  <c r="O20" i="1" s="1"/>
  <c r="P20" i="1" s="1"/>
  <c r="M20" i="1"/>
  <c r="L20" i="1"/>
  <c r="G20" i="1"/>
  <c r="E20" i="1"/>
  <c r="D20" i="1"/>
  <c r="S19" i="1"/>
  <c r="R19" i="1"/>
  <c r="N19" i="1"/>
  <c r="M19" i="1"/>
  <c r="L19" i="1"/>
  <c r="O19" i="1" s="1"/>
  <c r="P19" i="1" s="1"/>
  <c r="E19" i="1"/>
  <c r="G19" i="1" s="1"/>
  <c r="D19" i="1"/>
  <c r="R18" i="1"/>
  <c r="S18" i="1" s="1"/>
  <c r="N18" i="1"/>
  <c r="M18" i="1"/>
  <c r="L18" i="1"/>
  <c r="O18" i="1" s="1"/>
  <c r="P18" i="1" s="1"/>
  <c r="E18" i="1"/>
  <c r="D18" i="1"/>
  <c r="R17" i="1"/>
  <c r="S17" i="1" s="1"/>
  <c r="N17" i="1"/>
  <c r="O17" i="1" s="1"/>
  <c r="P17" i="1" s="1"/>
  <c r="M17" i="1"/>
  <c r="L17" i="1"/>
  <c r="G17" i="1"/>
  <c r="E17" i="1"/>
  <c r="D17" i="1"/>
  <c r="R16" i="1"/>
  <c r="S16" i="1" s="1"/>
  <c r="N16" i="1"/>
  <c r="M16" i="1"/>
  <c r="L16" i="1"/>
  <c r="O16" i="1" s="1"/>
  <c r="E16" i="1"/>
  <c r="G16" i="1" s="1"/>
  <c r="D16" i="1"/>
  <c r="R15" i="1"/>
  <c r="S15" i="1" s="1"/>
  <c r="N15" i="1"/>
  <c r="M15" i="1"/>
  <c r="L15" i="1"/>
  <c r="O15" i="1" s="1"/>
  <c r="P15" i="1" s="1"/>
  <c r="G15" i="1"/>
  <c r="E15" i="1"/>
  <c r="D15" i="1"/>
  <c r="S14" i="1"/>
  <c r="R14" i="1"/>
  <c r="O14" i="1"/>
  <c r="P14" i="1" s="1"/>
  <c r="N14" i="1"/>
  <c r="M14" i="1"/>
  <c r="L14" i="1"/>
  <c r="E14" i="1"/>
  <c r="G14" i="1" s="1"/>
  <c r="D14" i="1"/>
  <c r="S13" i="1"/>
  <c r="R13" i="1"/>
  <c r="N13" i="1"/>
  <c r="M13" i="1"/>
  <c r="O13" i="1" s="1"/>
  <c r="L13" i="1"/>
  <c r="E13" i="1"/>
  <c r="G13" i="1" s="1"/>
  <c r="D13" i="1"/>
  <c r="S12" i="1"/>
  <c r="R12" i="1"/>
  <c r="N12" i="1"/>
  <c r="M12" i="1"/>
  <c r="L12" i="1"/>
  <c r="E12" i="1"/>
  <c r="G12" i="1" s="1"/>
  <c r="D12" i="1"/>
  <c r="R11" i="1"/>
  <c r="S11" i="1" s="1"/>
  <c r="N11" i="1"/>
  <c r="M11" i="1"/>
  <c r="O11" i="1" s="1"/>
  <c r="P11" i="1" s="1"/>
  <c r="L11" i="1"/>
  <c r="G11" i="1"/>
  <c r="E11" i="1"/>
  <c r="D11" i="1"/>
  <c r="T10" i="1"/>
  <c r="S10" i="1"/>
  <c r="R10" i="1"/>
  <c r="N10" i="1"/>
  <c r="M10" i="1"/>
  <c r="L10" i="1"/>
  <c r="O10" i="1" s="1"/>
  <c r="P10" i="1" s="1"/>
  <c r="E10" i="1"/>
  <c r="D10" i="1"/>
  <c r="S9" i="1"/>
  <c r="R9" i="1"/>
  <c r="N9" i="1"/>
  <c r="M9" i="1"/>
  <c r="L9" i="1"/>
  <c r="E9" i="1"/>
  <c r="D9" i="1"/>
  <c r="S8" i="1"/>
  <c r="T9" i="1" s="1"/>
  <c r="R8" i="1"/>
  <c r="O8" i="1"/>
  <c r="P8" i="1" s="1"/>
  <c r="N8" i="1"/>
  <c r="M8" i="1"/>
  <c r="L8" i="1"/>
  <c r="E8" i="1"/>
  <c r="G8" i="1" s="1"/>
  <c r="D8" i="1"/>
  <c r="T7" i="1"/>
  <c r="S7" i="1"/>
  <c r="T8" i="1" s="1"/>
  <c r="R7" i="1"/>
  <c r="N7" i="1"/>
  <c r="M7" i="1"/>
  <c r="O7" i="1" s="1"/>
  <c r="L7" i="1"/>
  <c r="G7" i="1"/>
  <c r="D7" i="1"/>
  <c r="F151" i="1" l="1"/>
  <c r="F152" i="1" s="1"/>
  <c r="P64" i="1"/>
  <c r="O12" i="1"/>
  <c r="P12" i="1" s="1"/>
  <c r="P16" i="1"/>
  <c r="O41" i="1"/>
  <c r="P41" i="1" s="1"/>
  <c r="P42" i="1"/>
  <c r="O44" i="1"/>
  <c r="P44" i="1" s="1"/>
  <c r="P87" i="1"/>
  <c r="P95" i="1"/>
  <c r="P104" i="1"/>
  <c r="P127" i="1"/>
  <c r="O127" i="1"/>
  <c r="P117" i="1"/>
  <c r="P130" i="1"/>
  <c r="P45" i="1"/>
  <c r="P7" i="1"/>
  <c r="O9" i="1"/>
  <c r="P9" i="1" s="1"/>
  <c r="P13" i="1"/>
  <c r="O32" i="1"/>
  <c r="P32" i="1" s="1"/>
  <c r="P143" i="1"/>
  <c r="O143" i="1"/>
  <c r="O150" i="1"/>
  <c r="T11" i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P76" i="1"/>
  <c r="P75" i="1"/>
  <c r="P107" i="1"/>
  <c r="P38" i="1"/>
  <c r="P71" i="1"/>
  <c r="P102" i="1"/>
  <c r="P135" i="1"/>
  <c r="O135" i="1"/>
  <c r="P22" i="1"/>
  <c r="R28" i="1"/>
  <c r="S28" i="1" s="1"/>
  <c r="L28" i="1"/>
  <c r="O28" i="1" s="1"/>
  <c r="P28" i="1" s="1"/>
  <c r="P40" i="1"/>
  <c r="P57" i="1"/>
  <c r="P67" i="1"/>
  <c r="P70" i="1"/>
  <c r="P80" i="1"/>
  <c r="P84" i="1"/>
  <c r="P100" i="1"/>
  <c r="P110" i="1"/>
  <c r="O134" i="1"/>
  <c r="P136" i="1"/>
  <c r="P138" i="1"/>
  <c r="O101" i="1"/>
  <c r="P124" i="1"/>
  <c r="P132" i="1"/>
  <c r="P140" i="1"/>
  <c r="P148" i="1"/>
  <c r="O78" i="1"/>
  <c r="P78" i="1" s="1"/>
  <c r="O128" i="1"/>
  <c r="O136" i="1"/>
  <c r="O144" i="1"/>
  <c r="O124" i="1"/>
  <c r="O132" i="1"/>
  <c r="O140" i="1"/>
  <c r="O148" i="1"/>
  <c r="O62" i="1"/>
  <c r="P62" i="1" s="1"/>
  <c r="O97" i="1"/>
  <c r="P97" i="1" s="1"/>
  <c r="O115" i="1"/>
  <c r="P115" i="1" s="1"/>
  <c r="O24" i="1"/>
  <c r="P24" i="1" s="1"/>
  <c r="P106" i="1"/>
  <c r="O112" i="1"/>
  <c r="P112" i="1" s="1"/>
  <c r="O120" i="1"/>
  <c r="P120" i="1" s="1"/>
  <c r="O130" i="1"/>
  <c r="O138" i="1"/>
  <c r="O146" i="1"/>
  <c r="L151" i="1" l="1"/>
  <c r="L152" i="1" s="1"/>
</calcChain>
</file>

<file path=xl/sharedStrings.xml><?xml version="1.0" encoding="utf-8"?>
<sst xmlns="http://schemas.openxmlformats.org/spreadsheetml/2006/main" count="139" uniqueCount="54">
  <si>
    <t>COMPAÑÍA OPITA DE FRIO SAS</t>
  </si>
  <si>
    <t>ESCARCHA GRUESA</t>
  </si>
  <si>
    <t>CONTROL DE TIEMPO DE PRODUCCION</t>
  </si>
  <si>
    <t>LINEA DEL AGUA</t>
  </si>
  <si>
    <t>TIEMPO HORARICA</t>
  </si>
  <si>
    <t>CONTROL HOROMETRO</t>
  </si>
  <si>
    <t>PRODUCTOS</t>
  </si>
  <si>
    <t>PLASTICO ENTREGADO</t>
  </si>
  <si>
    <t>USADO</t>
  </si>
  <si>
    <t>TOTAL PLASTIC</t>
  </si>
  <si>
    <t>ACUMULADO</t>
  </si>
  <si>
    <t>OBSERVACIONES</t>
  </si>
  <si>
    <t>FECHA</t>
  </si>
  <si>
    <t>HORA INIC</t>
  </si>
  <si>
    <t>HORA FIN</t>
  </si>
  <si>
    <t>TIEMP PRENDIDA</t>
  </si>
  <si>
    <t>HOROM INC</t>
  </si>
  <si>
    <t>HOROM FIN</t>
  </si>
  <si>
    <t>TIEMP PROD</t>
  </si>
  <si>
    <t>BTO ESCARCHA</t>
  </si>
  <si>
    <t>BTO FINOS</t>
  </si>
  <si>
    <t>ARROBA ESCARCHA</t>
  </si>
  <si>
    <t>15 KG DE ESCARCHA</t>
  </si>
  <si>
    <t>KIL/PROD BTO</t>
  </si>
  <si>
    <t>KIL/PROD FINOS</t>
  </si>
  <si>
    <t>KIL/PROD ARROBAS</t>
  </si>
  <si>
    <t>ACUM  KILOS</t>
  </si>
  <si>
    <t>PROD POR HORA</t>
  </si>
  <si>
    <t>BOLSAS</t>
  </si>
  <si>
    <t>DIARIO</t>
  </si>
  <si>
    <t>PLASTICO</t>
  </si>
  <si>
    <t>AYUDANTE</t>
  </si>
  <si>
    <t>OBSERVACION</t>
  </si>
  <si>
    <t>Daniel Garcia</t>
  </si>
  <si>
    <t>Jhoan Sebastian</t>
  </si>
  <si>
    <t>Oscar Andres</t>
  </si>
  <si>
    <t>Humberto</t>
  </si>
  <si>
    <t>Diego Uribe</t>
  </si>
  <si>
    <t>quejada diego</t>
  </si>
  <si>
    <t>Yinso Novoa</t>
  </si>
  <si>
    <t>ja</t>
  </si>
  <si>
    <t>hernandez luis</t>
  </si>
  <si>
    <t xml:space="preserve">se recibio maquina apagada y se prende a las 10:26 </t>
  </si>
  <si>
    <t>DAVID</t>
  </si>
  <si>
    <t>Andres Tinoco</t>
  </si>
  <si>
    <t>luis torres</t>
  </si>
  <si>
    <t>Yeisson</t>
  </si>
  <si>
    <t>oviedo andres</t>
  </si>
  <si>
    <t>jesus david</t>
  </si>
  <si>
    <t xml:space="preserve">se apaga 25 min por lavado de tanque </t>
  </si>
  <si>
    <t>Luis Hernadez</t>
  </si>
  <si>
    <t>Michell Romero</t>
  </si>
  <si>
    <t>HORAS TRABAJADAS</t>
  </si>
  <si>
    <t>DIAS TRABAJADOS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</si>
</sst>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_-* #,##0.00\ _€_-;\-* #,##0.00\ _€_-;_-* &quot;-&quot;??\ _€_-;_-@_-"/>
    <numFmt numFmtId="166" formatCode="_-* #,##0\ _€_-;\-* #,##0\ _€_-;_-* &quot;-&quot;??\ _€_-;_-@_-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48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5" fillId="0" borderId="2" xfId="0" applyNumberFormat="1" applyFont="1" applyBorder="1"/>
    <xf numFmtId="164" fontId="6" fillId="0" borderId="2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14" fontId="5" fillId="0" borderId="2" xfId="0" applyNumberFormat="1" applyFont="1" applyBorder="1" applyAlignment="1">
      <alignment horizontal="center"/>
    </xf>
    <xf numFmtId="164" fontId="6" fillId="8" borderId="2" xfId="0" applyNumberFormat="1" applyFont="1" applyFill="1" applyBorder="1" applyAlignment="1">
      <alignment horizontal="center"/>
    </xf>
    <xf numFmtId="20" fontId="6" fillId="9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 vertical="center"/>
    </xf>
    <xf numFmtId="1" fontId="6" fillId="10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166" fontId="6" fillId="0" borderId="2" xfId="1" applyNumberFormat="1" applyFont="1" applyFill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166" fontId="6" fillId="8" borderId="2" xfId="1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7" fontId="5" fillId="8" borderId="2" xfId="0" applyNumberFormat="1" applyFont="1" applyFill="1" applyBorder="1" applyAlignment="1">
      <alignment horizontal="center" vertical="center"/>
    </xf>
    <xf numFmtId="14" fontId="5" fillId="8" borderId="2" xfId="0" applyNumberFormat="1" applyFont="1" applyFill="1" applyBorder="1" applyAlignment="1">
      <alignment horizontal="center"/>
    </xf>
    <xf numFmtId="166" fontId="2" fillId="8" borderId="2" xfId="1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12" borderId="0" xfId="0" applyFill="1"/>
    <xf numFmtId="164" fontId="6" fillId="8" borderId="2" xfId="0" applyNumberFormat="1" applyFont="1" applyFill="1" applyBorder="1" applyAlignment="1">
      <alignment horizontal="center" vertical="center"/>
    </xf>
    <xf numFmtId="20" fontId="6" fillId="8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5" fillId="8" borderId="2" xfId="0" applyNumberFormat="1" applyFont="1" applyFill="1" applyBorder="1" applyAlignment="1">
      <alignment horizontal="center" vertical="center"/>
    </xf>
    <xf numFmtId="166" fontId="6" fillId="10" borderId="2" xfId="1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0" xfId="0" applyNumberFormat="1" applyFont="1"/>
    <xf numFmtId="164" fontId="6" fillId="0" borderId="0" xfId="0" applyNumberFormat="1" applyFont="1" applyAlignment="1">
      <alignment horizontal="center"/>
    </xf>
    <xf numFmtId="2" fontId="6" fillId="13" borderId="0" xfId="0" applyNumberFormat="1" applyFont="1" applyFill="1" applyAlignment="1">
      <alignment horizontal="center"/>
    </xf>
    <xf numFmtId="1" fontId="6" fillId="13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20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20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6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32D9-34A9-417C-B705-BD410C40134E}">
  <sheetPr>
    <tabColor theme="9"/>
    <pageSetUpPr fitToPage="1"/>
  </sheetPr>
  <dimension ref="A1:HH284"/>
  <sheetViews>
    <sheetView tabSelected="1" showWhiteSpace="0" topLeftCell="A49" zoomScale="112" zoomScaleNormal="112" workbookViewId="0">
      <selection activeCell="F68" sqref="F68"/>
    </sheetView>
  </sheetViews>
  <sheetFormatPr baseColWidth="10" defaultRowHeight="15" x14ac:dyDescent="0.25"/>
  <cols>
    <col min="1" max="1" width="14.28515625" customWidth="1"/>
    <col min="2" max="2" width="16.5703125" style="76" customWidth="1"/>
    <col min="3" max="3" width="17.7109375" style="76" customWidth="1"/>
    <col min="4" max="4" width="15.85546875" style="77" customWidth="1"/>
    <col min="5" max="5" width="23" style="78" customWidth="1"/>
    <col min="6" max="6" width="18.85546875" style="78" customWidth="1"/>
    <col min="7" max="7" width="17" style="78" customWidth="1"/>
    <col min="8" max="8" width="23.5703125" style="76" customWidth="1"/>
    <col min="9" max="9" width="14.28515625" style="76" customWidth="1"/>
    <col min="10" max="10" width="28.5703125" style="76" customWidth="1"/>
    <col min="11" max="11" width="27.42578125" style="76" customWidth="1"/>
    <col min="12" max="12" width="13.7109375" style="76" bestFit="1" customWidth="1"/>
    <col min="13" max="14" width="11.42578125" style="76"/>
    <col min="15" max="15" width="13" style="76" bestFit="1" customWidth="1"/>
    <col min="16" max="16" width="27.28515625" style="76" customWidth="1"/>
    <col min="17" max="17" width="25.85546875" style="76" customWidth="1"/>
    <col min="18" max="18" width="21.85546875" style="76" customWidth="1"/>
    <col min="19" max="19" width="20.7109375" style="76" customWidth="1"/>
    <col min="20" max="20" width="12.7109375" style="76" customWidth="1"/>
    <col min="21" max="21" width="29.7109375" style="79" customWidth="1"/>
    <col min="22" max="22" width="98" style="79" customWidth="1"/>
  </cols>
  <sheetData>
    <row r="1" spans="1:22" ht="15" customHeight="1" x14ac:dyDescent="0.25">
      <c r="A1" s="1" t="s">
        <v>0</v>
      </c>
      <c r="B1" s="2"/>
      <c r="C1" s="2"/>
      <c r="D1" s="3"/>
      <c r="E1" s="4"/>
      <c r="F1" s="4"/>
      <c r="G1" s="4"/>
      <c r="H1" s="5" t="s">
        <v>1</v>
      </c>
      <c r="I1" s="5"/>
      <c r="J1" s="5"/>
      <c r="K1" s="5"/>
      <c r="L1" s="5"/>
      <c r="M1" s="5"/>
      <c r="N1" s="5"/>
      <c r="O1" s="6"/>
      <c r="P1" s="6"/>
      <c r="Q1" s="6"/>
      <c r="R1" s="6"/>
      <c r="S1" s="6"/>
      <c r="T1" s="6"/>
      <c r="U1"/>
      <c r="V1"/>
    </row>
    <row r="2" spans="1:22" ht="15" customHeight="1" x14ac:dyDescent="0.25">
      <c r="A2" s="1" t="s">
        <v>2</v>
      </c>
      <c r="B2" s="2"/>
      <c r="C2" s="2"/>
      <c r="D2" s="3"/>
      <c r="E2" s="4"/>
      <c r="F2" s="4"/>
      <c r="G2" s="4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/>
      <c r="V2"/>
    </row>
    <row r="3" spans="1:22" ht="15" customHeight="1" x14ac:dyDescent="0.25">
      <c r="A3" s="1" t="s">
        <v>3</v>
      </c>
      <c r="B3" s="2"/>
      <c r="C3" s="2"/>
      <c r="D3" s="3"/>
      <c r="E3" s="7"/>
      <c r="F3" s="7"/>
      <c r="G3" s="7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/>
      <c r="V3"/>
    </row>
    <row r="4" spans="1:22" ht="15.75" x14ac:dyDescent="0.25">
      <c r="A4" s="9"/>
      <c r="B4" s="10" t="s">
        <v>4</v>
      </c>
      <c r="C4" s="10"/>
      <c r="D4" s="10"/>
      <c r="E4" s="11" t="s">
        <v>5</v>
      </c>
      <c r="F4" s="11"/>
      <c r="G4" s="11"/>
      <c r="H4" s="12" t="s">
        <v>6</v>
      </c>
      <c r="I4" s="13"/>
      <c r="J4" s="13"/>
      <c r="K4" s="13"/>
      <c r="L4" s="13"/>
      <c r="M4" s="13"/>
      <c r="N4" s="13"/>
      <c r="O4" s="13"/>
      <c r="P4" s="14"/>
      <c r="Q4" s="15" t="s">
        <v>7</v>
      </c>
      <c r="R4" s="15" t="s">
        <v>8</v>
      </c>
      <c r="S4" s="15" t="s">
        <v>9</v>
      </c>
      <c r="T4" s="15" t="s">
        <v>10</v>
      </c>
      <c r="U4" s="16" t="s">
        <v>11</v>
      </c>
      <c r="V4" s="16"/>
    </row>
    <row r="5" spans="1:22" s="21" customFormat="1" ht="60" x14ac:dyDescent="0.25">
      <c r="A5" s="17" t="s">
        <v>12</v>
      </c>
      <c r="B5" s="17" t="s">
        <v>13</v>
      </c>
      <c r="C5" s="17" t="s">
        <v>14</v>
      </c>
      <c r="D5" s="18" t="s">
        <v>15</v>
      </c>
      <c r="E5" s="19" t="s">
        <v>16</v>
      </c>
      <c r="F5" s="19" t="s">
        <v>17</v>
      </c>
      <c r="G5" s="19" t="s">
        <v>18</v>
      </c>
      <c r="H5" s="17" t="s">
        <v>19</v>
      </c>
      <c r="I5" s="17" t="s">
        <v>20</v>
      </c>
      <c r="J5" s="17" t="s">
        <v>21</v>
      </c>
      <c r="K5" s="17" t="s">
        <v>22</v>
      </c>
      <c r="L5" s="20" t="s">
        <v>23</v>
      </c>
      <c r="M5" s="20" t="s">
        <v>24</v>
      </c>
      <c r="N5" s="20" t="s">
        <v>25</v>
      </c>
      <c r="O5" s="20" t="s">
        <v>26</v>
      </c>
      <c r="P5" s="17" t="s">
        <v>27</v>
      </c>
      <c r="Q5" s="17" t="s">
        <v>28</v>
      </c>
      <c r="R5" s="17" t="s">
        <v>28</v>
      </c>
      <c r="S5" s="17" t="s">
        <v>29</v>
      </c>
      <c r="T5" s="17" t="s">
        <v>30</v>
      </c>
      <c r="U5" s="17" t="s">
        <v>31</v>
      </c>
      <c r="V5" s="17" t="s">
        <v>32</v>
      </c>
    </row>
    <row r="6" spans="1:22" ht="15.75" x14ac:dyDescent="0.25">
      <c r="A6" s="22"/>
      <c r="B6" s="23"/>
      <c r="C6" s="23"/>
      <c r="D6" s="24"/>
      <c r="E6" s="25"/>
      <c r="F6" s="25"/>
      <c r="G6" s="25"/>
      <c r="H6" s="26">
        <v>25</v>
      </c>
      <c r="I6" s="26">
        <v>26</v>
      </c>
      <c r="J6" s="26">
        <v>13</v>
      </c>
      <c r="K6" s="26">
        <v>15</v>
      </c>
      <c r="L6" s="27"/>
      <c r="M6" s="27"/>
      <c r="N6" s="27"/>
      <c r="O6" s="27"/>
      <c r="P6" s="27"/>
      <c r="Q6" s="27"/>
      <c r="R6" s="27"/>
      <c r="S6" s="27"/>
      <c r="T6" s="27"/>
      <c r="U6" s="28"/>
      <c r="V6" s="29"/>
    </row>
    <row r="7" spans="1:22" ht="15.75" x14ac:dyDescent="0.25">
      <c r="A7" s="30">
        <v>46082</v>
      </c>
      <c r="B7" s="31">
        <v>0.25555555555555554</v>
      </c>
      <c r="C7" s="31">
        <v>0.74027777777777781</v>
      </c>
      <c r="D7" s="32">
        <f t="shared" ref="D7:D56" si="0">1+C7-B7</f>
        <v>1.4847222222222223</v>
      </c>
      <c r="E7" s="33">
        <v>519895</v>
      </c>
      <c r="F7" s="27">
        <v>521017</v>
      </c>
      <c r="G7" s="34">
        <f t="shared" ref="G7:G71" si="1">(F7-E7)/100</f>
        <v>11.22</v>
      </c>
      <c r="H7" s="35">
        <v>246</v>
      </c>
      <c r="I7" s="35"/>
      <c r="J7" s="35"/>
      <c r="K7" s="35"/>
      <c r="L7" s="36">
        <f t="shared" ref="L7:L56" si="2">+H7*$H$6</f>
        <v>6150</v>
      </c>
      <c r="M7" s="36">
        <f t="shared" ref="M7:M36" si="3">+$I$6*I7</f>
        <v>0</v>
      </c>
      <c r="N7" s="36">
        <f>+J7*$J$6+(K7*15)</f>
        <v>0</v>
      </c>
      <c r="O7" s="36">
        <f>+L7+M7+N7</f>
        <v>6150</v>
      </c>
      <c r="P7" s="36">
        <f>(O7/G7)</f>
        <v>548.1283422459893</v>
      </c>
      <c r="Q7" s="27">
        <v>279</v>
      </c>
      <c r="R7" s="27">
        <f>H7+I7</f>
        <v>246</v>
      </c>
      <c r="S7" s="37">
        <f>R7-Q7</f>
        <v>-33</v>
      </c>
      <c r="T7" s="27">
        <f>S7</f>
        <v>-33</v>
      </c>
      <c r="U7" s="17" t="s">
        <v>33</v>
      </c>
      <c r="V7" s="38"/>
    </row>
    <row r="8" spans="1:22" ht="15.75" x14ac:dyDescent="0.25">
      <c r="A8" s="30">
        <v>46082</v>
      </c>
      <c r="B8" s="31">
        <v>0.76041666666666663</v>
      </c>
      <c r="C8" s="31">
        <v>0.24166666666666667</v>
      </c>
      <c r="D8" s="32">
        <f t="shared" si="0"/>
        <v>0.48125000000000007</v>
      </c>
      <c r="E8" s="33">
        <f t="shared" ref="E8:E71" si="4">F7</f>
        <v>521017</v>
      </c>
      <c r="F8" s="27">
        <v>522227</v>
      </c>
      <c r="G8" s="34">
        <f t="shared" si="1"/>
        <v>12.1</v>
      </c>
      <c r="H8" s="35">
        <v>252</v>
      </c>
      <c r="I8" s="35"/>
      <c r="J8" s="35"/>
      <c r="K8" s="35"/>
      <c r="L8" s="36">
        <f t="shared" si="2"/>
        <v>6300</v>
      </c>
      <c r="M8" s="36">
        <f t="shared" si="3"/>
        <v>0</v>
      </c>
      <c r="N8" s="36">
        <f t="shared" ref="N8:N56" si="5">+J8*$J$6+(K8*15)</f>
        <v>0</v>
      </c>
      <c r="O8" s="36">
        <f t="shared" ref="O8:O71" si="6">+L8+M8+N8</f>
        <v>6300</v>
      </c>
      <c r="P8" s="36">
        <f t="shared" ref="P8:P71" si="7">(O8/G8)</f>
        <v>520.6611570247934</v>
      </c>
      <c r="Q8" s="27">
        <v>275</v>
      </c>
      <c r="R8" s="27">
        <f>H8+I8</f>
        <v>252</v>
      </c>
      <c r="S8" s="37">
        <f t="shared" ref="S8:S71" si="8">R8-Q8</f>
        <v>-23</v>
      </c>
      <c r="T8" s="27">
        <f>-S7-(S8)</f>
        <v>56</v>
      </c>
      <c r="U8" s="17" t="s">
        <v>34</v>
      </c>
      <c r="V8" s="38"/>
    </row>
    <row r="9" spans="1:22" s="21" customFormat="1" x14ac:dyDescent="0.2">
      <c r="A9" s="30">
        <v>46083</v>
      </c>
      <c r="B9" s="31">
        <v>0.25694444444444442</v>
      </c>
      <c r="C9" s="31">
        <v>0.5756944444444444</v>
      </c>
      <c r="D9" s="32">
        <f t="shared" si="0"/>
        <v>1.3187499999999999</v>
      </c>
      <c r="E9" s="33">
        <f t="shared" si="4"/>
        <v>522227</v>
      </c>
      <c r="F9" s="33">
        <v>523028</v>
      </c>
      <c r="G9" s="34">
        <v>8</v>
      </c>
      <c r="H9" s="39">
        <v>176</v>
      </c>
      <c r="I9" s="39"/>
      <c r="J9" s="39"/>
      <c r="K9" s="39"/>
      <c r="L9" s="36">
        <f t="shared" si="2"/>
        <v>4400</v>
      </c>
      <c r="M9" s="36">
        <f t="shared" si="3"/>
        <v>0</v>
      </c>
      <c r="N9" s="36">
        <f t="shared" si="5"/>
        <v>0</v>
      </c>
      <c r="O9" s="36">
        <f t="shared" si="6"/>
        <v>4400</v>
      </c>
      <c r="P9" s="36">
        <f t="shared" si="7"/>
        <v>550</v>
      </c>
      <c r="Q9" s="40">
        <v>200</v>
      </c>
      <c r="R9" s="27">
        <f t="shared" ref="R9:R46" si="9">H9+I9</f>
        <v>176</v>
      </c>
      <c r="S9" s="37">
        <f t="shared" si="8"/>
        <v>-24</v>
      </c>
      <c r="T9" s="27">
        <f>-S8-(S9)</f>
        <v>47</v>
      </c>
      <c r="U9" s="41" t="s">
        <v>35</v>
      </c>
      <c r="V9" s="38"/>
    </row>
    <row r="10" spans="1:22" s="21" customFormat="1" x14ac:dyDescent="0.2">
      <c r="A10" s="30">
        <v>46083</v>
      </c>
      <c r="B10" s="31">
        <v>0.59027777777777779</v>
      </c>
      <c r="C10" s="31">
        <v>0.74097222222222225</v>
      </c>
      <c r="D10" s="32">
        <f t="shared" si="0"/>
        <v>1.1506944444444445</v>
      </c>
      <c r="E10" s="33">
        <f t="shared" si="4"/>
        <v>523028</v>
      </c>
      <c r="F10" s="27">
        <v>523424</v>
      </c>
      <c r="G10" s="34">
        <v>3</v>
      </c>
      <c r="H10" s="39">
        <v>49</v>
      </c>
      <c r="I10" s="39"/>
      <c r="J10" s="39"/>
      <c r="K10" s="39">
        <v>50</v>
      </c>
      <c r="L10" s="36">
        <f t="shared" si="2"/>
        <v>1225</v>
      </c>
      <c r="M10" s="36">
        <f t="shared" si="3"/>
        <v>0</v>
      </c>
      <c r="N10" s="36">
        <f t="shared" si="5"/>
        <v>750</v>
      </c>
      <c r="O10" s="36">
        <f t="shared" si="6"/>
        <v>1975</v>
      </c>
      <c r="P10" s="36">
        <f t="shared" si="7"/>
        <v>658.33333333333337</v>
      </c>
      <c r="Q10" s="39">
        <v>100</v>
      </c>
      <c r="R10" s="27">
        <f t="shared" si="9"/>
        <v>49</v>
      </c>
      <c r="S10" s="37">
        <f t="shared" si="8"/>
        <v>-51</v>
      </c>
      <c r="T10" s="27">
        <f>T9-(S10)</f>
        <v>98</v>
      </c>
      <c r="U10" s="41" t="s">
        <v>33</v>
      </c>
      <c r="V10" s="38"/>
    </row>
    <row r="11" spans="1:22" s="21" customFormat="1" x14ac:dyDescent="0.2">
      <c r="A11" s="30">
        <v>46083</v>
      </c>
      <c r="B11" s="31">
        <v>0.77569444444444446</v>
      </c>
      <c r="C11" s="31">
        <v>0.90694444444444444</v>
      </c>
      <c r="D11" s="32">
        <f t="shared" si="0"/>
        <v>1.1312500000000001</v>
      </c>
      <c r="E11" s="33">
        <f t="shared" si="4"/>
        <v>523424</v>
      </c>
      <c r="F11" s="27">
        <v>523774</v>
      </c>
      <c r="G11" s="34">
        <f t="shared" si="1"/>
        <v>3.5</v>
      </c>
      <c r="H11" s="39">
        <v>91</v>
      </c>
      <c r="I11" s="39"/>
      <c r="J11" s="39"/>
      <c r="K11" s="39"/>
      <c r="L11" s="36">
        <f t="shared" si="2"/>
        <v>2275</v>
      </c>
      <c r="M11" s="36">
        <f t="shared" si="3"/>
        <v>0</v>
      </c>
      <c r="N11" s="36">
        <f t="shared" si="5"/>
        <v>0</v>
      </c>
      <c r="O11" s="36">
        <f t="shared" si="6"/>
        <v>2275</v>
      </c>
      <c r="P11" s="36">
        <f t="shared" si="7"/>
        <v>650</v>
      </c>
      <c r="Q11" s="39">
        <v>100</v>
      </c>
      <c r="R11" s="27">
        <f t="shared" si="9"/>
        <v>91</v>
      </c>
      <c r="S11" s="37">
        <f t="shared" si="8"/>
        <v>-9</v>
      </c>
      <c r="T11" s="27">
        <f t="shared" ref="T11:T74" si="10">T10-(S11)</f>
        <v>107</v>
      </c>
      <c r="U11" s="17" t="s">
        <v>36</v>
      </c>
      <c r="V11" s="38"/>
    </row>
    <row r="12" spans="1:22" s="21" customFormat="1" x14ac:dyDescent="0.2">
      <c r="A12" s="30">
        <v>46083</v>
      </c>
      <c r="B12" s="31">
        <v>0.92361111111111116</v>
      </c>
      <c r="C12" s="31">
        <v>0.24722222222222223</v>
      </c>
      <c r="D12" s="32">
        <f>1+C12-B12</f>
        <v>0.32361111111111107</v>
      </c>
      <c r="E12" s="33">
        <f t="shared" si="4"/>
        <v>523774</v>
      </c>
      <c r="F12" s="27">
        <v>524603</v>
      </c>
      <c r="G12" s="34">
        <f t="shared" si="1"/>
        <v>8.2899999999999991</v>
      </c>
      <c r="H12" s="39">
        <v>187</v>
      </c>
      <c r="I12" s="39"/>
      <c r="J12" s="39"/>
      <c r="K12" s="39"/>
      <c r="L12" s="36">
        <f>+H12*$H$6</f>
        <v>4675</v>
      </c>
      <c r="M12" s="36">
        <f>+$I$6*I12</f>
        <v>0</v>
      </c>
      <c r="N12" s="36">
        <f>+J12*$J$6+(K12*15)</f>
        <v>0</v>
      </c>
      <c r="O12" s="36">
        <f>+L12+M12+N12</f>
        <v>4675</v>
      </c>
      <c r="P12" s="36">
        <f>(O12/G12)</f>
        <v>563.93244873341382</v>
      </c>
      <c r="Q12" s="39">
        <v>100</v>
      </c>
      <c r="R12" s="27">
        <f>H12+I12</f>
        <v>187</v>
      </c>
      <c r="S12" s="37">
        <f t="shared" si="8"/>
        <v>87</v>
      </c>
      <c r="T12" s="27">
        <f t="shared" si="10"/>
        <v>20</v>
      </c>
      <c r="U12" s="17" t="s">
        <v>37</v>
      </c>
      <c r="V12" s="38"/>
    </row>
    <row r="13" spans="1:22" s="21" customFormat="1" x14ac:dyDescent="0.2">
      <c r="A13" s="30">
        <v>46084</v>
      </c>
      <c r="B13" s="31">
        <v>0.25972222222222224</v>
      </c>
      <c r="C13" s="31">
        <v>0.57152777777777775</v>
      </c>
      <c r="D13" s="32">
        <f t="shared" si="0"/>
        <v>1.3118055555555557</v>
      </c>
      <c r="E13" s="33">
        <f t="shared" si="4"/>
        <v>524603</v>
      </c>
      <c r="F13" s="33">
        <v>525332</v>
      </c>
      <c r="G13" s="34">
        <f t="shared" si="1"/>
        <v>7.29</v>
      </c>
      <c r="H13" s="39">
        <v>153</v>
      </c>
      <c r="I13" s="39"/>
      <c r="J13" s="39"/>
      <c r="K13" s="39"/>
      <c r="L13" s="36">
        <f t="shared" si="2"/>
        <v>3825</v>
      </c>
      <c r="M13" s="36">
        <f t="shared" si="3"/>
        <v>0</v>
      </c>
      <c r="N13" s="36">
        <f t="shared" si="5"/>
        <v>0</v>
      </c>
      <c r="O13" s="36">
        <f t="shared" si="6"/>
        <v>3825</v>
      </c>
      <c r="P13" s="36">
        <f t="shared" si="7"/>
        <v>524.69135802469134</v>
      </c>
      <c r="Q13" s="39">
        <v>150</v>
      </c>
      <c r="R13" s="27">
        <f t="shared" si="9"/>
        <v>153</v>
      </c>
      <c r="S13" s="37">
        <f t="shared" si="8"/>
        <v>3</v>
      </c>
      <c r="T13" s="27">
        <f t="shared" si="10"/>
        <v>17</v>
      </c>
      <c r="U13" s="17" t="s">
        <v>35</v>
      </c>
      <c r="V13" s="38"/>
    </row>
    <row r="14" spans="1:22" s="21" customFormat="1" x14ac:dyDescent="0.2">
      <c r="A14" s="30">
        <v>46084</v>
      </c>
      <c r="B14" s="31">
        <v>0.58680555555555558</v>
      </c>
      <c r="C14" s="31">
        <v>0.78472222222222221</v>
      </c>
      <c r="D14" s="32">
        <f t="shared" si="0"/>
        <v>1.1979166666666667</v>
      </c>
      <c r="E14" s="33">
        <f t="shared" si="4"/>
        <v>525332</v>
      </c>
      <c r="F14" s="33">
        <v>525748</v>
      </c>
      <c r="G14" s="34">
        <f t="shared" si="1"/>
        <v>4.16</v>
      </c>
      <c r="H14" s="39">
        <v>92</v>
      </c>
      <c r="I14" s="39"/>
      <c r="J14" s="39"/>
      <c r="K14" s="39"/>
      <c r="L14" s="36">
        <f t="shared" si="2"/>
        <v>2300</v>
      </c>
      <c r="M14" s="36">
        <f t="shared" si="3"/>
        <v>0</v>
      </c>
      <c r="N14" s="36">
        <f t="shared" si="5"/>
        <v>0</v>
      </c>
      <c r="O14" s="36">
        <f t="shared" si="6"/>
        <v>2300</v>
      </c>
      <c r="P14" s="36">
        <f t="shared" si="7"/>
        <v>552.88461538461536</v>
      </c>
      <c r="Q14" s="39">
        <v>100</v>
      </c>
      <c r="R14" s="27">
        <f t="shared" si="9"/>
        <v>92</v>
      </c>
      <c r="S14" s="37">
        <f t="shared" si="8"/>
        <v>-8</v>
      </c>
      <c r="T14" s="27">
        <f t="shared" si="10"/>
        <v>25</v>
      </c>
      <c r="U14" s="17" t="s">
        <v>38</v>
      </c>
      <c r="V14" s="42"/>
    </row>
    <row r="15" spans="1:22" s="45" customFormat="1" x14ac:dyDescent="0.2">
      <c r="A15" s="30">
        <v>46084</v>
      </c>
      <c r="B15" s="31">
        <v>0.77083333333333337</v>
      </c>
      <c r="C15" s="31">
        <v>0.91180555555555554</v>
      </c>
      <c r="D15" s="32">
        <f t="shared" si="0"/>
        <v>1.1409722222222221</v>
      </c>
      <c r="E15" s="33">
        <f t="shared" si="4"/>
        <v>525748</v>
      </c>
      <c r="F15" s="43">
        <v>526111</v>
      </c>
      <c r="G15" s="34">
        <f t="shared" si="1"/>
        <v>3.63</v>
      </c>
      <c r="H15" s="44">
        <v>81</v>
      </c>
      <c r="I15" s="44"/>
      <c r="J15" s="44"/>
      <c r="K15" s="44"/>
      <c r="L15" s="36">
        <f t="shared" si="2"/>
        <v>2025</v>
      </c>
      <c r="M15" s="36">
        <f t="shared" si="3"/>
        <v>0</v>
      </c>
      <c r="N15" s="36">
        <f t="shared" si="5"/>
        <v>0</v>
      </c>
      <c r="O15" s="36">
        <f t="shared" si="6"/>
        <v>2025</v>
      </c>
      <c r="P15" s="36">
        <f t="shared" si="7"/>
        <v>557.85123966942149</v>
      </c>
      <c r="Q15" s="44">
        <v>100</v>
      </c>
      <c r="R15" s="27">
        <f t="shared" si="9"/>
        <v>81</v>
      </c>
      <c r="S15" s="37">
        <f t="shared" si="8"/>
        <v>-19</v>
      </c>
      <c r="T15" s="27">
        <f t="shared" si="10"/>
        <v>44</v>
      </c>
      <c r="U15" s="41" t="s">
        <v>38</v>
      </c>
      <c r="V15" s="42"/>
    </row>
    <row r="16" spans="1:22" s="21" customFormat="1" x14ac:dyDescent="0.2">
      <c r="A16" s="30">
        <v>46084</v>
      </c>
      <c r="B16" s="31">
        <v>0.92361111111111116</v>
      </c>
      <c r="C16" s="31">
        <v>0.23472222222222222</v>
      </c>
      <c r="D16" s="32">
        <f t="shared" si="0"/>
        <v>0.31111111111111112</v>
      </c>
      <c r="E16" s="33">
        <f t="shared" si="4"/>
        <v>526111</v>
      </c>
      <c r="F16" s="33">
        <v>526922</v>
      </c>
      <c r="G16" s="34">
        <f t="shared" si="1"/>
        <v>8.11</v>
      </c>
      <c r="H16" s="39">
        <v>174</v>
      </c>
      <c r="I16" s="39"/>
      <c r="J16" s="39"/>
      <c r="K16" s="39"/>
      <c r="L16" s="36">
        <f t="shared" si="2"/>
        <v>4350</v>
      </c>
      <c r="M16" s="36">
        <f t="shared" si="3"/>
        <v>0</v>
      </c>
      <c r="N16" s="36">
        <f t="shared" si="5"/>
        <v>0</v>
      </c>
      <c r="O16" s="36">
        <f t="shared" si="6"/>
        <v>4350</v>
      </c>
      <c r="P16" s="36">
        <f t="shared" si="7"/>
        <v>536.37484586929725</v>
      </c>
      <c r="Q16" s="39">
        <v>200</v>
      </c>
      <c r="R16" s="27">
        <f t="shared" si="9"/>
        <v>174</v>
      </c>
      <c r="S16" s="37">
        <f>R16-Q16</f>
        <v>-26</v>
      </c>
      <c r="T16" s="27">
        <f>T15-(S16)</f>
        <v>70</v>
      </c>
      <c r="U16" s="41" t="s">
        <v>39</v>
      </c>
      <c r="V16" s="42"/>
    </row>
    <row r="17" spans="1:22" s="21" customFormat="1" x14ac:dyDescent="0.2">
      <c r="A17" s="30">
        <v>46085</v>
      </c>
      <c r="B17" s="31">
        <v>0.25277777777777777</v>
      </c>
      <c r="C17" s="31">
        <v>0.58263888888888893</v>
      </c>
      <c r="D17" s="32">
        <f t="shared" si="0"/>
        <v>1.3298611111111112</v>
      </c>
      <c r="E17" s="33">
        <f t="shared" si="4"/>
        <v>526922</v>
      </c>
      <c r="F17" s="33">
        <v>527729</v>
      </c>
      <c r="G17" s="34">
        <f t="shared" si="1"/>
        <v>8.07</v>
      </c>
      <c r="H17" s="39">
        <v>173</v>
      </c>
      <c r="I17" s="39"/>
      <c r="J17" s="39"/>
      <c r="K17" s="39"/>
      <c r="L17" s="36">
        <f t="shared" si="2"/>
        <v>4325</v>
      </c>
      <c r="M17" s="36">
        <f t="shared" si="3"/>
        <v>0</v>
      </c>
      <c r="N17" s="36">
        <f t="shared" si="5"/>
        <v>0</v>
      </c>
      <c r="O17" s="36">
        <f t="shared" si="6"/>
        <v>4325</v>
      </c>
      <c r="P17" s="36">
        <f t="shared" si="7"/>
        <v>535.93556381660471</v>
      </c>
      <c r="Q17" s="39">
        <v>200</v>
      </c>
      <c r="R17" s="27">
        <f t="shared" si="9"/>
        <v>173</v>
      </c>
      <c r="S17" s="37">
        <f>R17-Q17</f>
        <v>-27</v>
      </c>
      <c r="T17" s="27">
        <f t="shared" si="10"/>
        <v>97</v>
      </c>
      <c r="U17" s="41" t="s">
        <v>35</v>
      </c>
      <c r="V17" s="42"/>
    </row>
    <row r="18" spans="1:22" s="21" customFormat="1" x14ac:dyDescent="0.2">
      <c r="A18" s="30">
        <v>46085</v>
      </c>
      <c r="B18" s="31">
        <v>0.6</v>
      </c>
      <c r="C18" s="31">
        <v>0.74305555555555558</v>
      </c>
      <c r="D18" s="32">
        <f t="shared" si="0"/>
        <v>1.1430555555555557</v>
      </c>
      <c r="E18" s="33">
        <f t="shared" si="4"/>
        <v>527729</v>
      </c>
      <c r="F18" s="33">
        <v>528109</v>
      </c>
      <c r="G18" s="34">
        <v>4</v>
      </c>
      <c r="H18" s="39">
        <v>84</v>
      </c>
      <c r="I18" s="39"/>
      <c r="J18" s="39"/>
      <c r="K18" s="39"/>
      <c r="L18" s="36">
        <f t="shared" si="2"/>
        <v>2100</v>
      </c>
      <c r="M18" s="36">
        <f t="shared" si="3"/>
        <v>0</v>
      </c>
      <c r="N18" s="36">
        <f t="shared" si="5"/>
        <v>0</v>
      </c>
      <c r="O18" s="36">
        <f t="shared" si="6"/>
        <v>2100</v>
      </c>
      <c r="P18" s="36">
        <f t="shared" si="7"/>
        <v>525</v>
      </c>
      <c r="Q18" s="39">
        <v>100</v>
      </c>
      <c r="R18" s="27">
        <f t="shared" si="9"/>
        <v>84</v>
      </c>
      <c r="S18" s="37">
        <f t="shared" si="8"/>
        <v>-16</v>
      </c>
      <c r="T18" s="27">
        <f t="shared" si="10"/>
        <v>113</v>
      </c>
      <c r="U18" s="17" t="s">
        <v>40</v>
      </c>
      <c r="V18" s="42"/>
    </row>
    <row r="19" spans="1:22" s="21" customFormat="1" x14ac:dyDescent="0.2">
      <c r="A19" s="30">
        <v>46085</v>
      </c>
      <c r="B19" s="31">
        <v>0.7680555555555556</v>
      </c>
      <c r="C19" s="31">
        <v>0.90694444444444444</v>
      </c>
      <c r="D19" s="32">
        <f t="shared" si="0"/>
        <v>1.1388888888888888</v>
      </c>
      <c r="E19" s="33">
        <f t="shared" si="4"/>
        <v>528109</v>
      </c>
      <c r="F19" s="33">
        <v>528508</v>
      </c>
      <c r="G19" s="34">
        <f t="shared" si="1"/>
        <v>3.99</v>
      </c>
      <c r="H19" s="39">
        <v>83</v>
      </c>
      <c r="I19" s="39"/>
      <c r="J19" s="39"/>
      <c r="K19" s="39"/>
      <c r="L19" s="36">
        <f t="shared" si="2"/>
        <v>2075</v>
      </c>
      <c r="M19" s="36">
        <f t="shared" si="3"/>
        <v>0</v>
      </c>
      <c r="N19" s="36">
        <f t="shared" si="5"/>
        <v>0</v>
      </c>
      <c r="O19" s="36">
        <f t="shared" si="6"/>
        <v>2075</v>
      </c>
      <c r="P19" s="36">
        <f t="shared" si="7"/>
        <v>520.05012531328316</v>
      </c>
      <c r="Q19" s="39">
        <v>50</v>
      </c>
      <c r="R19" s="27">
        <f t="shared" si="9"/>
        <v>83</v>
      </c>
      <c r="S19" s="37">
        <f t="shared" si="8"/>
        <v>33</v>
      </c>
      <c r="T19" s="27">
        <f t="shared" si="10"/>
        <v>80</v>
      </c>
      <c r="U19" s="41" t="s">
        <v>41</v>
      </c>
      <c r="V19" s="42"/>
    </row>
    <row r="20" spans="1:22" s="21" customFormat="1" x14ac:dyDescent="0.2">
      <c r="A20" s="30">
        <v>46085</v>
      </c>
      <c r="B20" s="31">
        <v>0.94861111111111107</v>
      </c>
      <c r="C20" s="31">
        <v>0.23958333333333334</v>
      </c>
      <c r="D20" s="32">
        <f t="shared" si="0"/>
        <v>0.29097222222222219</v>
      </c>
      <c r="E20" s="33">
        <f t="shared" si="4"/>
        <v>528508</v>
      </c>
      <c r="F20" s="33">
        <v>529267</v>
      </c>
      <c r="G20" s="34">
        <f t="shared" si="1"/>
        <v>7.59</v>
      </c>
      <c r="H20" s="39">
        <v>163</v>
      </c>
      <c r="I20" s="39"/>
      <c r="J20" s="39"/>
      <c r="K20" s="39"/>
      <c r="L20" s="36">
        <f t="shared" si="2"/>
        <v>4075</v>
      </c>
      <c r="M20" s="36">
        <f t="shared" si="3"/>
        <v>0</v>
      </c>
      <c r="N20" s="36">
        <f t="shared" si="5"/>
        <v>0</v>
      </c>
      <c r="O20" s="36">
        <f t="shared" si="6"/>
        <v>4075</v>
      </c>
      <c r="P20" s="36">
        <f t="shared" si="7"/>
        <v>536.89064558629775</v>
      </c>
      <c r="Q20" s="39">
        <v>100</v>
      </c>
      <c r="R20" s="27">
        <f t="shared" si="9"/>
        <v>163</v>
      </c>
      <c r="S20" s="37">
        <f t="shared" si="8"/>
        <v>63</v>
      </c>
      <c r="T20" s="27">
        <f t="shared" si="10"/>
        <v>17</v>
      </c>
      <c r="U20" s="17" t="s">
        <v>39</v>
      </c>
      <c r="V20" s="42" t="s">
        <v>42</v>
      </c>
    </row>
    <row r="21" spans="1:22" s="21" customFormat="1" ht="14.25" customHeight="1" x14ac:dyDescent="0.2">
      <c r="A21" s="30">
        <v>46086</v>
      </c>
      <c r="B21" s="31">
        <v>0.26944444444444443</v>
      </c>
      <c r="C21" s="31">
        <v>0.5708333333333333</v>
      </c>
      <c r="D21" s="32">
        <f t="shared" si="0"/>
        <v>1.3013888888888889</v>
      </c>
      <c r="E21" s="33">
        <f t="shared" si="4"/>
        <v>529267</v>
      </c>
      <c r="F21" s="33">
        <v>530062</v>
      </c>
      <c r="G21" s="34">
        <f t="shared" si="1"/>
        <v>7.95</v>
      </c>
      <c r="H21" s="39">
        <v>160</v>
      </c>
      <c r="I21" s="39"/>
      <c r="J21" s="39"/>
      <c r="K21" s="39"/>
      <c r="L21" s="36">
        <f t="shared" si="2"/>
        <v>4000</v>
      </c>
      <c r="M21" s="36">
        <f t="shared" si="3"/>
        <v>0</v>
      </c>
      <c r="N21" s="36">
        <f t="shared" si="5"/>
        <v>0</v>
      </c>
      <c r="O21" s="36">
        <f t="shared" si="6"/>
        <v>4000</v>
      </c>
      <c r="P21" s="36">
        <f t="shared" si="7"/>
        <v>503.14465408805029</v>
      </c>
      <c r="Q21" s="39">
        <v>150</v>
      </c>
      <c r="R21" s="27">
        <f t="shared" si="9"/>
        <v>160</v>
      </c>
      <c r="S21" s="37">
        <f t="shared" si="8"/>
        <v>10</v>
      </c>
      <c r="T21" s="27">
        <f t="shared" si="10"/>
        <v>7</v>
      </c>
      <c r="U21" s="17" t="s">
        <v>35</v>
      </c>
      <c r="V21" s="42"/>
    </row>
    <row r="22" spans="1:22" s="21" customFormat="1" x14ac:dyDescent="0.2">
      <c r="A22" s="30">
        <v>46086</v>
      </c>
      <c r="B22" s="31">
        <v>0.58750000000000002</v>
      </c>
      <c r="C22" s="31">
        <v>0.74097222222222225</v>
      </c>
      <c r="D22" s="32">
        <f t="shared" si="0"/>
        <v>1.1534722222222222</v>
      </c>
      <c r="E22" s="33">
        <f t="shared" si="4"/>
        <v>530062</v>
      </c>
      <c r="F22" s="33">
        <v>530443</v>
      </c>
      <c r="G22" s="34">
        <f t="shared" si="1"/>
        <v>3.81</v>
      </c>
      <c r="H22" s="39">
        <v>69</v>
      </c>
      <c r="I22" s="39"/>
      <c r="J22" s="39"/>
      <c r="K22" s="39">
        <v>35</v>
      </c>
      <c r="L22" s="36">
        <f t="shared" si="2"/>
        <v>1725</v>
      </c>
      <c r="M22" s="36">
        <f t="shared" si="3"/>
        <v>0</v>
      </c>
      <c r="N22" s="36">
        <f t="shared" si="5"/>
        <v>525</v>
      </c>
      <c r="O22" s="36">
        <f t="shared" si="6"/>
        <v>2250</v>
      </c>
      <c r="P22" s="36">
        <f t="shared" si="7"/>
        <v>590.55118110236219</v>
      </c>
      <c r="Q22" s="39">
        <v>100</v>
      </c>
      <c r="R22" s="27">
        <f t="shared" si="9"/>
        <v>69</v>
      </c>
      <c r="S22" s="37">
        <f t="shared" si="8"/>
        <v>-31</v>
      </c>
      <c r="T22" s="27">
        <f t="shared" si="10"/>
        <v>38</v>
      </c>
      <c r="U22" s="17" t="s">
        <v>43</v>
      </c>
      <c r="V22" s="42"/>
    </row>
    <row r="23" spans="1:22" s="21" customFormat="1" ht="14.25" customHeight="1" x14ac:dyDescent="0.2">
      <c r="A23" s="30">
        <v>46086</v>
      </c>
      <c r="B23" s="31">
        <v>0.75624999999999998</v>
      </c>
      <c r="C23" s="31">
        <v>0.90694444444444444</v>
      </c>
      <c r="D23" s="32">
        <f>1+C23-B23</f>
        <v>1.1506944444444445</v>
      </c>
      <c r="E23" s="33">
        <f t="shared" si="4"/>
        <v>530443</v>
      </c>
      <c r="F23" s="33">
        <v>530855</v>
      </c>
      <c r="G23" s="34">
        <f t="shared" si="1"/>
        <v>4.12</v>
      </c>
      <c r="H23" s="39">
        <v>81</v>
      </c>
      <c r="I23" s="39"/>
      <c r="J23" s="39"/>
      <c r="K23" s="39"/>
      <c r="L23" s="36">
        <f>+H23*$H$6</f>
        <v>2025</v>
      </c>
      <c r="M23" s="36">
        <f>+$I$6*I23</f>
        <v>0</v>
      </c>
      <c r="N23" s="36">
        <f>+J23*$J$6+(K23*15)</f>
        <v>0</v>
      </c>
      <c r="O23" s="36">
        <f>+L23+M23+N23</f>
        <v>2025</v>
      </c>
      <c r="P23" s="36">
        <f>(O23/G23)</f>
        <v>491.504854368932</v>
      </c>
      <c r="Q23" s="39">
        <v>100</v>
      </c>
      <c r="R23" s="27">
        <f>H23+I23</f>
        <v>81</v>
      </c>
      <c r="S23" s="37">
        <f t="shared" si="8"/>
        <v>-19</v>
      </c>
      <c r="T23" s="27">
        <f t="shared" si="10"/>
        <v>57</v>
      </c>
      <c r="U23" s="17" t="s">
        <v>41</v>
      </c>
      <c r="V23" s="42"/>
    </row>
    <row r="24" spans="1:22" s="21" customFormat="1" x14ac:dyDescent="0.2">
      <c r="A24" s="30">
        <v>46086</v>
      </c>
      <c r="B24" s="31">
        <v>0.92222222222222228</v>
      </c>
      <c r="C24" s="31">
        <v>0.24027777777777778</v>
      </c>
      <c r="D24" s="32">
        <f>1+C24-B24</f>
        <v>0.31805555555555554</v>
      </c>
      <c r="E24" s="33">
        <f t="shared" si="4"/>
        <v>530855</v>
      </c>
      <c r="F24" s="33">
        <v>531649</v>
      </c>
      <c r="G24" s="34">
        <f t="shared" si="1"/>
        <v>7.94</v>
      </c>
      <c r="H24" s="39">
        <v>182</v>
      </c>
      <c r="I24" s="39"/>
      <c r="J24" s="39"/>
      <c r="K24" s="39"/>
      <c r="L24" s="36">
        <f>+H24*$H$6</f>
        <v>4550</v>
      </c>
      <c r="M24" s="36">
        <f>+$I$6*I24</f>
        <v>0</v>
      </c>
      <c r="N24" s="36">
        <f>+J24*$J$6+(K24*15)</f>
        <v>0</v>
      </c>
      <c r="O24" s="36">
        <f>+L24+M24+N24</f>
        <v>4550</v>
      </c>
      <c r="P24" s="36">
        <f>(O24/G24)</f>
        <v>573.04785894206543</v>
      </c>
      <c r="Q24" s="39">
        <v>200</v>
      </c>
      <c r="R24" s="27">
        <f>H24+I24</f>
        <v>182</v>
      </c>
      <c r="S24" s="37">
        <f t="shared" si="8"/>
        <v>-18</v>
      </c>
      <c r="T24" s="27">
        <f t="shared" si="10"/>
        <v>75</v>
      </c>
      <c r="U24" s="17" t="s">
        <v>39</v>
      </c>
      <c r="V24" s="42"/>
    </row>
    <row r="25" spans="1:22" s="21" customFormat="1" x14ac:dyDescent="0.2">
      <c r="A25" s="30">
        <v>46087</v>
      </c>
      <c r="B25" s="31">
        <v>0.25486111111111109</v>
      </c>
      <c r="C25" s="31">
        <v>0.57499999999999996</v>
      </c>
      <c r="D25" s="32">
        <f t="shared" si="0"/>
        <v>1.3201388888888888</v>
      </c>
      <c r="E25" s="33">
        <f t="shared" si="4"/>
        <v>531649</v>
      </c>
      <c r="F25" s="27">
        <v>532454</v>
      </c>
      <c r="G25" s="34">
        <f t="shared" si="1"/>
        <v>8.0500000000000007</v>
      </c>
      <c r="H25" s="35">
        <v>170</v>
      </c>
      <c r="I25" s="39"/>
      <c r="J25" s="39"/>
      <c r="K25" s="39"/>
      <c r="L25" s="36">
        <f t="shared" si="2"/>
        <v>4250</v>
      </c>
      <c r="M25" s="36">
        <f t="shared" si="3"/>
        <v>0</v>
      </c>
      <c r="N25" s="36">
        <f t="shared" si="5"/>
        <v>0</v>
      </c>
      <c r="O25" s="36">
        <f t="shared" si="6"/>
        <v>4250</v>
      </c>
      <c r="P25" s="36">
        <f t="shared" si="7"/>
        <v>527.9503105590062</v>
      </c>
      <c r="Q25" s="39">
        <v>200</v>
      </c>
      <c r="R25" s="27">
        <f t="shared" si="9"/>
        <v>170</v>
      </c>
      <c r="S25" s="37">
        <f t="shared" si="8"/>
        <v>-30</v>
      </c>
      <c r="T25" s="27">
        <f t="shared" si="10"/>
        <v>105</v>
      </c>
      <c r="U25" s="41" t="s">
        <v>35</v>
      </c>
      <c r="V25" s="42"/>
    </row>
    <row r="26" spans="1:22" s="21" customFormat="1" x14ac:dyDescent="0.2">
      <c r="A26" s="30">
        <v>46087</v>
      </c>
      <c r="B26" s="31">
        <v>0.59236111111111112</v>
      </c>
      <c r="C26" s="31">
        <v>0.74930555555555556</v>
      </c>
      <c r="D26" s="32">
        <f t="shared" si="0"/>
        <v>1.1569444444444443</v>
      </c>
      <c r="E26" s="33">
        <f t="shared" si="4"/>
        <v>532454</v>
      </c>
      <c r="F26" s="33">
        <v>532864</v>
      </c>
      <c r="G26" s="34">
        <f t="shared" si="1"/>
        <v>4.0999999999999996</v>
      </c>
      <c r="H26" s="39">
        <v>89</v>
      </c>
      <c r="I26" s="39"/>
      <c r="J26" s="39"/>
      <c r="K26" s="39"/>
      <c r="L26" s="36">
        <f t="shared" si="2"/>
        <v>2225</v>
      </c>
      <c r="M26" s="36">
        <f t="shared" si="3"/>
        <v>0</v>
      </c>
      <c r="N26" s="36">
        <f t="shared" si="5"/>
        <v>0</v>
      </c>
      <c r="O26" s="36">
        <f t="shared" si="6"/>
        <v>2225</v>
      </c>
      <c r="P26" s="36">
        <f t="shared" si="7"/>
        <v>542.68292682926835</v>
      </c>
      <c r="Q26" s="39">
        <v>100</v>
      </c>
      <c r="R26" s="27">
        <f t="shared" si="9"/>
        <v>89</v>
      </c>
      <c r="S26" s="37">
        <f t="shared" si="8"/>
        <v>-11</v>
      </c>
      <c r="T26" s="27">
        <f t="shared" si="10"/>
        <v>116</v>
      </c>
      <c r="U26" s="17" t="s">
        <v>43</v>
      </c>
      <c r="V26" s="42"/>
    </row>
    <row r="27" spans="1:22" s="21" customFormat="1" x14ac:dyDescent="0.2">
      <c r="A27" s="30">
        <v>46087</v>
      </c>
      <c r="B27" s="31">
        <v>0.76527777777777772</v>
      </c>
      <c r="C27" s="31">
        <v>0.90972222222222221</v>
      </c>
      <c r="D27" s="32">
        <f t="shared" si="0"/>
        <v>1.1444444444444446</v>
      </c>
      <c r="E27" s="33">
        <f t="shared" si="4"/>
        <v>532864</v>
      </c>
      <c r="F27" s="33">
        <v>533246</v>
      </c>
      <c r="G27" s="34">
        <f t="shared" si="1"/>
        <v>3.82</v>
      </c>
      <c r="H27" s="39">
        <v>83</v>
      </c>
      <c r="I27" s="39"/>
      <c r="J27" s="39"/>
      <c r="K27" s="39"/>
      <c r="L27" s="36">
        <f t="shared" si="2"/>
        <v>2075</v>
      </c>
      <c r="M27" s="36">
        <f t="shared" si="3"/>
        <v>0</v>
      </c>
      <c r="N27" s="36">
        <f t="shared" si="5"/>
        <v>0</v>
      </c>
      <c r="O27" s="36">
        <f t="shared" si="6"/>
        <v>2075</v>
      </c>
      <c r="P27" s="36">
        <f t="shared" si="7"/>
        <v>543.19371727748694</v>
      </c>
      <c r="Q27" s="39">
        <v>100</v>
      </c>
      <c r="R27" s="27">
        <f t="shared" si="9"/>
        <v>83</v>
      </c>
      <c r="S27" s="37">
        <f t="shared" si="8"/>
        <v>-17</v>
      </c>
      <c r="T27" s="27">
        <f t="shared" si="10"/>
        <v>133</v>
      </c>
      <c r="U27" s="17" t="s">
        <v>38</v>
      </c>
      <c r="V27" s="42"/>
    </row>
    <row r="28" spans="1:22" s="21" customFormat="1" x14ac:dyDescent="0.2">
      <c r="A28" s="30">
        <v>46087</v>
      </c>
      <c r="B28" s="31">
        <v>0.92708333333333337</v>
      </c>
      <c r="C28" s="31">
        <v>0.24305555555555555</v>
      </c>
      <c r="D28" s="32">
        <f t="shared" si="0"/>
        <v>0.31597222222222221</v>
      </c>
      <c r="E28" s="33">
        <f t="shared" si="4"/>
        <v>533246</v>
      </c>
      <c r="F28" s="33">
        <v>534066</v>
      </c>
      <c r="G28" s="34">
        <f t="shared" si="1"/>
        <v>8.1999999999999993</v>
      </c>
      <c r="H28" s="39">
        <f>132+28</f>
        <v>160</v>
      </c>
      <c r="I28" s="39"/>
      <c r="J28" s="39"/>
      <c r="K28" s="39"/>
      <c r="L28" s="36">
        <f t="shared" si="2"/>
        <v>4000</v>
      </c>
      <c r="M28" s="36">
        <f t="shared" si="3"/>
        <v>0</v>
      </c>
      <c r="N28" s="36">
        <f t="shared" si="5"/>
        <v>0</v>
      </c>
      <c r="O28" s="36">
        <f t="shared" si="6"/>
        <v>4000</v>
      </c>
      <c r="P28" s="36">
        <f t="shared" si="7"/>
        <v>487.80487804878055</v>
      </c>
      <c r="Q28" s="39">
        <v>100</v>
      </c>
      <c r="R28" s="27">
        <f t="shared" si="9"/>
        <v>160</v>
      </c>
      <c r="S28" s="37">
        <f t="shared" si="8"/>
        <v>60</v>
      </c>
      <c r="T28" s="27">
        <f t="shared" si="10"/>
        <v>73</v>
      </c>
      <c r="U28" s="41" t="s">
        <v>39</v>
      </c>
      <c r="V28" s="42"/>
    </row>
    <row r="29" spans="1:22" s="21" customFormat="1" x14ac:dyDescent="0.2">
      <c r="A29" s="30">
        <v>46088</v>
      </c>
      <c r="B29" s="31">
        <v>0.2673611111111111</v>
      </c>
      <c r="C29" s="31">
        <v>0.57916666666666672</v>
      </c>
      <c r="D29" s="32">
        <f t="shared" si="0"/>
        <v>1.3118055555555554</v>
      </c>
      <c r="E29" s="33">
        <f t="shared" si="4"/>
        <v>534066</v>
      </c>
      <c r="F29" s="33">
        <v>534869</v>
      </c>
      <c r="G29" s="34">
        <v>8</v>
      </c>
      <c r="H29" s="39">
        <v>171</v>
      </c>
      <c r="I29" s="39"/>
      <c r="J29" s="39"/>
      <c r="K29" s="39"/>
      <c r="L29" s="36">
        <f t="shared" si="2"/>
        <v>4275</v>
      </c>
      <c r="M29" s="36">
        <f t="shared" si="3"/>
        <v>0</v>
      </c>
      <c r="N29" s="36">
        <f t="shared" si="5"/>
        <v>0</v>
      </c>
      <c r="O29" s="36">
        <f t="shared" si="6"/>
        <v>4275</v>
      </c>
      <c r="P29" s="36">
        <f t="shared" si="7"/>
        <v>534.375</v>
      </c>
      <c r="Q29" s="39">
        <v>200</v>
      </c>
      <c r="R29" s="27">
        <f t="shared" si="9"/>
        <v>171</v>
      </c>
      <c r="S29" s="37">
        <f t="shared" si="8"/>
        <v>-29</v>
      </c>
      <c r="T29" s="27">
        <f t="shared" si="10"/>
        <v>102</v>
      </c>
      <c r="U29" s="41" t="s">
        <v>35</v>
      </c>
      <c r="V29" s="42"/>
    </row>
    <row r="30" spans="1:22" s="21" customFormat="1" x14ac:dyDescent="0.2">
      <c r="A30" s="30">
        <v>46088</v>
      </c>
      <c r="B30" s="31">
        <v>0.59444444444444444</v>
      </c>
      <c r="C30" s="31">
        <v>0.74930555555555556</v>
      </c>
      <c r="D30" s="32">
        <f t="shared" si="0"/>
        <v>1.1548611111111109</v>
      </c>
      <c r="E30" s="33">
        <f t="shared" si="4"/>
        <v>534869</v>
      </c>
      <c r="F30" s="33">
        <v>535268</v>
      </c>
      <c r="G30" s="34">
        <v>8</v>
      </c>
      <c r="H30" s="39">
        <v>87</v>
      </c>
      <c r="I30" s="39"/>
      <c r="J30" s="39"/>
      <c r="K30" s="39"/>
      <c r="L30" s="36">
        <f t="shared" si="2"/>
        <v>2175</v>
      </c>
      <c r="M30" s="36">
        <f t="shared" si="3"/>
        <v>0</v>
      </c>
      <c r="N30" s="36">
        <f t="shared" si="5"/>
        <v>0</v>
      </c>
      <c r="O30" s="36">
        <f t="shared" si="6"/>
        <v>2175</v>
      </c>
      <c r="P30" s="36">
        <f t="shared" si="7"/>
        <v>271.875</v>
      </c>
      <c r="Q30" s="39">
        <v>100</v>
      </c>
      <c r="R30" s="27">
        <f t="shared" si="9"/>
        <v>87</v>
      </c>
      <c r="S30" s="37">
        <f t="shared" si="8"/>
        <v>-13</v>
      </c>
      <c r="T30" s="27">
        <f t="shared" si="10"/>
        <v>115</v>
      </c>
      <c r="U30" s="41" t="s">
        <v>44</v>
      </c>
      <c r="V30" s="42"/>
    </row>
    <row r="31" spans="1:22" s="21" customFormat="1" x14ac:dyDescent="0.2">
      <c r="A31" s="30">
        <v>46088</v>
      </c>
      <c r="B31" s="31">
        <v>0.7631944444444444</v>
      </c>
      <c r="C31" s="31">
        <v>0.90763888888888888</v>
      </c>
      <c r="D31" s="32">
        <f t="shared" si="0"/>
        <v>1.1444444444444444</v>
      </c>
      <c r="E31" s="33">
        <f t="shared" si="4"/>
        <v>535268</v>
      </c>
      <c r="F31" s="33">
        <v>535662</v>
      </c>
      <c r="G31" s="34">
        <f t="shared" si="1"/>
        <v>3.94</v>
      </c>
      <c r="H31" s="39">
        <v>80</v>
      </c>
      <c r="I31" s="39"/>
      <c r="J31" s="39"/>
      <c r="K31" s="39"/>
      <c r="L31" s="36">
        <f t="shared" si="2"/>
        <v>2000</v>
      </c>
      <c r="M31" s="36">
        <f t="shared" si="3"/>
        <v>0</v>
      </c>
      <c r="N31" s="36">
        <f t="shared" si="5"/>
        <v>0</v>
      </c>
      <c r="O31" s="36">
        <f t="shared" si="6"/>
        <v>2000</v>
      </c>
      <c r="P31" s="36">
        <f t="shared" si="7"/>
        <v>507.61421319796955</v>
      </c>
      <c r="Q31" s="39">
        <v>100</v>
      </c>
      <c r="R31" s="27">
        <f t="shared" si="9"/>
        <v>80</v>
      </c>
      <c r="S31" s="37">
        <f t="shared" si="8"/>
        <v>-20</v>
      </c>
      <c r="T31" s="27">
        <f t="shared" si="10"/>
        <v>135</v>
      </c>
      <c r="U31" s="41" t="s">
        <v>44</v>
      </c>
      <c r="V31" s="42"/>
    </row>
    <row r="32" spans="1:22" s="21" customFormat="1" x14ac:dyDescent="0.2">
      <c r="A32" s="30">
        <v>46088</v>
      </c>
      <c r="B32" s="31">
        <v>0.92361111111111116</v>
      </c>
      <c r="C32" s="31">
        <v>0.24305555555555555</v>
      </c>
      <c r="D32" s="32">
        <f t="shared" si="0"/>
        <v>0.31944444444444442</v>
      </c>
      <c r="E32" s="33">
        <f t="shared" si="4"/>
        <v>535662</v>
      </c>
      <c r="F32" s="33">
        <v>536448</v>
      </c>
      <c r="G32" s="34">
        <f t="shared" si="1"/>
        <v>7.86</v>
      </c>
      <c r="H32" s="39">
        <v>171</v>
      </c>
      <c r="I32" s="39"/>
      <c r="J32" s="39"/>
      <c r="K32" s="39"/>
      <c r="L32" s="36">
        <f t="shared" si="2"/>
        <v>4275</v>
      </c>
      <c r="M32" s="36">
        <f t="shared" si="3"/>
        <v>0</v>
      </c>
      <c r="N32" s="36">
        <f t="shared" si="5"/>
        <v>0</v>
      </c>
      <c r="O32" s="36">
        <f t="shared" si="6"/>
        <v>4275</v>
      </c>
      <c r="P32" s="36">
        <f t="shared" si="7"/>
        <v>543.89312977099235</v>
      </c>
      <c r="Q32" s="39">
        <v>200</v>
      </c>
      <c r="R32" s="27">
        <f t="shared" si="9"/>
        <v>171</v>
      </c>
      <c r="S32" s="37">
        <f t="shared" si="8"/>
        <v>-29</v>
      </c>
      <c r="T32" s="27">
        <f t="shared" si="10"/>
        <v>164</v>
      </c>
      <c r="U32" s="41" t="s">
        <v>39</v>
      </c>
      <c r="V32" s="42"/>
    </row>
    <row r="33" spans="1:216" s="21" customFormat="1" x14ac:dyDescent="0.2">
      <c r="A33" s="30">
        <v>46089</v>
      </c>
      <c r="B33" s="31">
        <v>0.25416666666666665</v>
      </c>
      <c r="C33" s="31">
        <v>0.65902777777777777</v>
      </c>
      <c r="D33" s="32">
        <f t="shared" si="0"/>
        <v>1.4048611111111111</v>
      </c>
      <c r="E33" s="33">
        <v>472837</v>
      </c>
      <c r="F33" s="33">
        <v>537423</v>
      </c>
      <c r="G33" s="34">
        <v>8</v>
      </c>
      <c r="H33" s="39">
        <v>200</v>
      </c>
      <c r="I33" s="39"/>
      <c r="J33" s="39"/>
      <c r="K33" s="39"/>
      <c r="L33" s="36">
        <f t="shared" si="2"/>
        <v>5000</v>
      </c>
      <c r="M33" s="36">
        <f t="shared" si="3"/>
        <v>0</v>
      </c>
      <c r="N33" s="36">
        <f t="shared" si="5"/>
        <v>0</v>
      </c>
      <c r="O33" s="36">
        <f t="shared" si="6"/>
        <v>5000</v>
      </c>
      <c r="P33" s="36">
        <f t="shared" si="7"/>
        <v>625</v>
      </c>
      <c r="Q33" s="39">
        <v>200</v>
      </c>
      <c r="R33" s="27">
        <f t="shared" si="9"/>
        <v>200</v>
      </c>
      <c r="S33" s="37">
        <f t="shared" si="8"/>
        <v>0</v>
      </c>
      <c r="T33" s="27">
        <f t="shared" si="10"/>
        <v>164</v>
      </c>
      <c r="U33" s="41" t="s">
        <v>45</v>
      </c>
      <c r="V33" s="42"/>
    </row>
    <row r="34" spans="1:216" s="21" customFormat="1" x14ac:dyDescent="0.2">
      <c r="A34" s="30">
        <v>46089</v>
      </c>
      <c r="B34" s="31">
        <v>0.54722222222222228</v>
      </c>
      <c r="C34" s="31">
        <v>0.74097222222222225</v>
      </c>
      <c r="D34" s="32">
        <f t="shared" si="0"/>
        <v>1.1937499999999999</v>
      </c>
      <c r="E34" s="33">
        <f t="shared" si="4"/>
        <v>537423</v>
      </c>
      <c r="F34" s="33">
        <v>538029</v>
      </c>
      <c r="G34" s="34">
        <v>3</v>
      </c>
      <c r="H34" s="39">
        <v>103</v>
      </c>
      <c r="I34" s="39"/>
      <c r="J34" s="39"/>
      <c r="K34" s="39"/>
      <c r="L34" s="36">
        <f t="shared" si="2"/>
        <v>2575</v>
      </c>
      <c r="M34" s="36">
        <f t="shared" si="3"/>
        <v>0</v>
      </c>
      <c r="N34" s="36">
        <f t="shared" si="5"/>
        <v>0</v>
      </c>
      <c r="O34" s="36">
        <f t="shared" si="6"/>
        <v>2575</v>
      </c>
      <c r="P34" s="36">
        <f t="shared" si="7"/>
        <v>858.33333333333337</v>
      </c>
      <c r="Q34" s="39">
        <v>150</v>
      </c>
      <c r="R34" s="27">
        <f t="shared" si="9"/>
        <v>103</v>
      </c>
      <c r="S34" s="37">
        <f t="shared" si="8"/>
        <v>-47</v>
      </c>
      <c r="T34" s="27">
        <f t="shared" si="10"/>
        <v>211</v>
      </c>
      <c r="U34" s="41" t="s">
        <v>41</v>
      </c>
      <c r="V34" s="42"/>
    </row>
    <row r="35" spans="1:216" s="21" customFormat="1" x14ac:dyDescent="0.2">
      <c r="A35" s="30">
        <v>46090</v>
      </c>
      <c r="B35" s="31">
        <v>0.25347222222222221</v>
      </c>
      <c r="C35" s="31">
        <v>0.57638888888888884</v>
      </c>
      <c r="D35" s="32">
        <f t="shared" si="0"/>
        <v>1.3229166666666665</v>
      </c>
      <c r="E35" s="33">
        <v>538043</v>
      </c>
      <c r="F35" s="33">
        <v>538804</v>
      </c>
      <c r="G35" s="34">
        <v>8</v>
      </c>
      <c r="H35" s="39">
        <v>184</v>
      </c>
      <c r="I35" s="39"/>
      <c r="J35" s="39"/>
      <c r="K35" s="39"/>
      <c r="L35" s="36">
        <f t="shared" si="2"/>
        <v>4600</v>
      </c>
      <c r="M35" s="36">
        <f t="shared" si="3"/>
        <v>0</v>
      </c>
      <c r="N35" s="36">
        <f t="shared" si="5"/>
        <v>0</v>
      </c>
      <c r="O35" s="36">
        <f t="shared" si="6"/>
        <v>4600</v>
      </c>
      <c r="P35" s="36">
        <f t="shared" si="7"/>
        <v>575</v>
      </c>
      <c r="Q35" s="39">
        <v>200</v>
      </c>
      <c r="R35" s="27">
        <f t="shared" si="9"/>
        <v>184</v>
      </c>
      <c r="S35" s="37">
        <f t="shared" si="8"/>
        <v>-16</v>
      </c>
      <c r="T35" s="27">
        <f t="shared" si="10"/>
        <v>227</v>
      </c>
      <c r="U35" s="41" t="s">
        <v>46</v>
      </c>
      <c r="V35" s="42"/>
    </row>
    <row r="36" spans="1:216" s="21" customFormat="1" x14ac:dyDescent="0.2">
      <c r="A36" s="30">
        <v>46090</v>
      </c>
      <c r="B36" s="31">
        <v>0.58958333333333335</v>
      </c>
      <c r="C36" s="31">
        <v>0.74652777777777779</v>
      </c>
      <c r="D36" s="32">
        <f t="shared" si="0"/>
        <v>1.1569444444444443</v>
      </c>
      <c r="E36" s="33">
        <f t="shared" si="4"/>
        <v>538804</v>
      </c>
      <c r="F36" s="33">
        <v>539197</v>
      </c>
      <c r="G36" s="34">
        <f t="shared" si="1"/>
        <v>3.93</v>
      </c>
      <c r="H36" s="39">
        <v>86</v>
      </c>
      <c r="I36" s="39"/>
      <c r="J36" s="39"/>
      <c r="K36" s="39"/>
      <c r="L36" s="36">
        <f t="shared" si="2"/>
        <v>2150</v>
      </c>
      <c r="M36" s="36">
        <f t="shared" si="3"/>
        <v>0</v>
      </c>
      <c r="N36" s="36">
        <f t="shared" si="5"/>
        <v>0</v>
      </c>
      <c r="O36" s="36">
        <f t="shared" si="6"/>
        <v>2150</v>
      </c>
      <c r="P36" s="36">
        <f t="shared" si="7"/>
        <v>547.07379134860048</v>
      </c>
      <c r="Q36" s="39">
        <v>100</v>
      </c>
      <c r="R36" s="27">
        <f t="shared" si="9"/>
        <v>86</v>
      </c>
      <c r="S36" s="37">
        <f t="shared" si="8"/>
        <v>-14</v>
      </c>
      <c r="T36" s="27">
        <f t="shared" si="10"/>
        <v>241</v>
      </c>
      <c r="U36" s="41" t="s">
        <v>36</v>
      </c>
      <c r="V36" s="42"/>
    </row>
    <row r="37" spans="1:216" s="21" customFormat="1" x14ac:dyDescent="0.2">
      <c r="A37" s="30">
        <v>46090</v>
      </c>
      <c r="B37" s="31">
        <v>0.77638888888888891</v>
      </c>
      <c r="C37" s="31">
        <v>0.90277777777777779</v>
      </c>
      <c r="D37" s="32">
        <f t="shared" si="0"/>
        <v>1.1263888888888887</v>
      </c>
      <c r="E37" s="33">
        <f t="shared" si="4"/>
        <v>539197</v>
      </c>
      <c r="F37" s="33">
        <v>539568</v>
      </c>
      <c r="G37" s="34">
        <f t="shared" si="1"/>
        <v>3.71</v>
      </c>
      <c r="H37" s="39">
        <v>74</v>
      </c>
      <c r="I37" s="39"/>
      <c r="J37" s="39"/>
      <c r="K37" s="39"/>
      <c r="L37" s="36">
        <f t="shared" si="2"/>
        <v>1850</v>
      </c>
      <c r="M37" s="36">
        <f>+$I$6*I37</f>
        <v>0</v>
      </c>
      <c r="N37" s="36">
        <f t="shared" si="5"/>
        <v>0</v>
      </c>
      <c r="O37" s="36">
        <f t="shared" si="6"/>
        <v>1850</v>
      </c>
      <c r="P37" s="36">
        <f t="shared" si="7"/>
        <v>498.65229110512132</v>
      </c>
      <c r="Q37" s="39">
        <v>50</v>
      </c>
      <c r="R37" s="27">
        <f t="shared" si="9"/>
        <v>74</v>
      </c>
      <c r="S37" s="37">
        <f t="shared" si="8"/>
        <v>24</v>
      </c>
      <c r="T37" s="27">
        <f t="shared" si="10"/>
        <v>217</v>
      </c>
      <c r="U37" s="41" t="s">
        <v>45</v>
      </c>
      <c r="V37" s="42"/>
      <c r="X37" s="21">
        <v>1</v>
      </c>
    </row>
    <row r="38" spans="1:216" s="21" customFormat="1" x14ac:dyDescent="0.2">
      <c r="A38" s="30">
        <v>46090</v>
      </c>
      <c r="B38" s="31">
        <v>0.93402777777777779</v>
      </c>
      <c r="C38" s="31">
        <v>0.24166666666666667</v>
      </c>
      <c r="D38" s="32">
        <f t="shared" si="0"/>
        <v>0.30763888888888891</v>
      </c>
      <c r="E38" s="33">
        <f t="shared" si="4"/>
        <v>539568</v>
      </c>
      <c r="F38" s="33">
        <v>540367</v>
      </c>
      <c r="G38" s="34">
        <f t="shared" si="1"/>
        <v>7.99</v>
      </c>
      <c r="H38" s="39">
        <v>170</v>
      </c>
      <c r="I38" s="39"/>
      <c r="J38" s="39"/>
      <c r="K38" s="39"/>
      <c r="L38" s="36">
        <f t="shared" si="2"/>
        <v>4250</v>
      </c>
      <c r="M38" s="36">
        <f>+$I$6*I38</f>
        <v>0</v>
      </c>
      <c r="N38" s="36">
        <f t="shared" si="5"/>
        <v>0</v>
      </c>
      <c r="O38" s="36">
        <f t="shared" si="6"/>
        <v>4250</v>
      </c>
      <c r="P38" s="36">
        <f t="shared" si="7"/>
        <v>531.91489361702122</v>
      </c>
      <c r="Q38" s="39">
        <v>150</v>
      </c>
      <c r="R38" s="27">
        <f t="shared" si="9"/>
        <v>170</v>
      </c>
      <c r="S38" s="37">
        <f t="shared" si="8"/>
        <v>20</v>
      </c>
      <c r="T38" s="27">
        <f t="shared" si="10"/>
        <v>197</v>
      </c>
      <c r="U38" s="41" t="s">
        <v>41</v>
      </c>
      <c r="V38" s="42"/>
    </row>
    <row r="39" spans="1:216" s="21" customFormat="1" x14ac:dyDescent="0.2">
      <c r="A39" s="30">
        <v>46091</v>
      </c>
      <c r="B39" s="31">
        <v>0.25347222222222221</v>
      </c>
      <c r="C39" s="31">
        <v>0.57986111111111116</v>
      </c>
      <c r="D39" s="32">
        <f t="shared" si="0"/>
        <v>1.3263888888888888</v>
      </c>
      <c r="E39" s="33">
        <f t="shared" si="4"/>
        <v>540367</v>
      </c>
      <c r="F39" s="33">
        <v>540964</v>
      </c>
      <c r="G39" s="34">
        <v>8</v>
      </c>
      <c r="H39" s="39">
        <v>145</v>
      </c>
      <c r="I39" s="39"/>
      <c r="J39" s="39"/>
      <c r="K39" s="39">
        <v>50</v>
      </c>
      <c r="L39" s="36">
        <f t="shared" si="2"/>
        <v>3625</v>
      </c>
      <c r="M39" s="36">
        <f>+$I$6*I39</f>
        <v>0</v>
      </c>
      <c r="N39" s="36">
        <f t="shared" si="5"/>
        <v>750</v>
      </c>
      <c r="O39" s="36">
        <f t="shared" si="6"/>
        <v>4375</v>
      </c>
      <c r="P39" s="36">
        <f t="shared" si="7"/>
        <v>546.875</v>
      </c>
      <c r="Q39" s="39">
        <v>150</v>
      </c>
      <c r="R39" s="27">
        <f t="shared" si="9"/>
        <v>145</v>
      </c>
      <c r="S39" s="37">
        <f t="shared" si="8"/>
        <v>-5</v>
      </c>
      <c r="T39" s="27">
        <f t="shared" si="10"/>
        <v>202</v>
      </c>
      <c r="U39" s="41" t="s">
        <v>46</v>
      </c>
      <c r="V39" s="42"/>
    </row>
    <row r="40" spans="1:216" s="21" customFormat="1" x14ac:dyDescent="0.2">
      <c r="A40" s="30">
        <v>46091</v>
      </c>
      <c r="B40" s="31">
        <v>0.59305555555555556</v>
      </c>
      <c r="C40" s="31">
        <v>0.76736111111111116</v>
      </c>
      <c r="D40" s="32">
        <f t="shared" si="0"/>
        <v>1.1743055555555557</v>
      </c>
      <c r="E40" s="33">
        <f t="shared" si="4"/>
        <v>540964</v>
      </c>
      <c r="F40" s="33">
        <v>541609</v>
      </c>
      <c r="G40" s="34">
        <f t="shared" ref="G40:G49" si="11">(F40-E40)/100</f>
        <v>6.45</v>
      </c>
      <c r="H40" s="39">
        <v>94</v>
      </c>
      <c r="I40" s="39"/>
      <c r="J40" s="39"/>
      <c r="K40" s="39"/>
      <c r="L40" s="36">
        <f t="shared" si="2"/>
        <v>2350</v>
      </c>
      <c r="M40" s="36">
        <f t="shared" ref="M40:M103" si="12">+$I$6*I40</f>
        <v>0</v>
      </c>
      <c r="N40" s="36">
        <f t="shared" si="5"/>
        <v>0</v>
      </c>
      <c r="O40" s="36">
        <f t="shared" si="6"/>
        <v>2350</v>
      </c>
      <c r="P40" s="36">
        <f t="shared" si="7"/>
        <v>364.34108527131781</v>
      </c>
      <c r="Q40" s="39">
        <v>100</v>
      </c>
      <c r="R40" s="27">
        <f t="shared" si="9"/>
        <v>94</v>
      </c>
      <c r="S40" s="37">
        <f t="shared" si="8"/>
        <v>-6</v>
      </c>
      <c r="T40" s="27">
        <f t="shared" si="10"/>
        <v>208</v>
      </c>
      <c r="U40" s="41" t="s">
        <v>35</v>
      </c>
      <c r="V40" s="42"/>
    </row>
    <row r="41" spans="1:216" s="21" customFormat="1" x14ac:dyDescent="0.2">
      <c r="A41" s="30">
        <v>46091</v>
      </c>
      <c r="B41" s="31">
        <v>0.79097222222222219</v>
      </c>
      <c r="C41" s="31">
        <v>0.90625</v>
      </c>
      <c r="D41" s="32">
        <f t="shared" si="0"/>
        <v>1.1152777777777778</v>
      </c>
      <c r="E41" s="33">
        <f t="shared" si="4"/>
        <v>541609</v>
      </c>
      <c r="F41" s="33">
        <v>541955</v>
      </c>
      <c r="G41" s="34">
        <f t="shared" si="11"/>
        <v>3.46</v>
      </c>
      <c r="H41" s="39">
        <v>76</v>
      </c>
      <c r="I41" s="39"/>
      <c r="J41" s="39"/>
      <c r="K41" s="39"/>
      <c r="L41" s="36">
        <f t="shared" si="2"/>
        <v>1900</v>
      </c>
      <c r="M41" s="36">
        <f t="shared" si="12"/>
        <v>0</v>
      </c>
      <c r="N41" s="36">
        <f t="shared" si="5"/>
        <v>0</v>
      </c>
      <c r="O41" s="36">
        <f t="shared" si="6"/>
        <v>1900</v>
      </c>
      <c r="P41" s="36">
        <f t="shared" si="7"/>
        <v>549.13294797687865</v>
      </c>
      <c r="Q41" s="39">
        <v>100</v>
      </c>
      <c r="R41" s="27">
        <f t="shared" si="9"/>
        <v>76</v>
      </c>
      <c r="S41" s="37">
        <f t="shared" si="8"/>
        <v>-24</v>
      </c>
      <c r="T41" s="27">
        <f t="shared" si="10"/>
        <v>232</v>
      </c>
      <c r="U41" s="41" t="s">
        <v>35</v>
      </c>
      <c r="V41" s="42"/>
      <c r="X41" s="21">
        <v>1</v>
      </c>
    </row>
    <row r="42" spans="1:216" s="21" customFormat="1" x14ac:dyDescent="0.2">
      <c r="A42" s="30">
        <v>46091</v>
      </c>
      <c r="B42" s="31">
        <v>0.9194444444444444</v>
      </c>
      <c r="C42" s="31">
        <v>0.24305555555555555</v>
      </c>
      <c r="D42" s="32">
        <f t="shared" si="0"/>
        <v>0.32361111111111118</v>
      </c>
      <c r="E42" s="33">
        <f t="shared" si="4"/>
        <v>541955</v>
      </c>
      <c r="F42" s="33">
        <v>542763</v>
      </c>
      <c r="G42" s="34">
        <f t="shared" si="11"/>
        <v>8.08</v>
      </c>
      <c r="H42" s="39">
        <v>174</v>
      </c>
      <c r="I42" s="39"/>
      <c r="J42" s="39"/>
      <c r="K42" s="39"/>
      <c r="L42" s="36">
        <f t="shared" si="2"/>
        <v>4350</v>
      </c>
      <c r="M42" s="36">
        <f t="shared" si="12"/>
        <v>0</v>
      </c>
      <c r="N42" s="36">
        <f t="shared" si="5"/>
        <v>0</v>
      </c>
      <c r="O42" s="36">
        <f t="shared" si="6"/>
        <v>4350</v>
      </c>
      <c r="P42" s="36">
        <f t="shared" si="7"/>
        <v>538.36633663366331</v>
      </c>
      <c r="Q42" s="39">
        <v>150</v>
      </c>
      <c r="R42" s="27">
        <f t="shared" si="9"/>
        <v>174</v>
      </c>
      <c r="S42" s="37">
        <f t="shared" si="8"/>
        <v>24</v>
      </c>
      <c r="T42" s="27">
        <f t="shared" si="10"/>
        <v>208</v>
      </c>
      <c r="U42" s="41" t="s">
        <v>41</v>
      </c>
      <c r="V42" s="42"/>
    </row>
    <row r="43" spans="1:216" s="21" customFormat="1" x14ac:dyDescent="0.2">
      <c r="A43" s="30">
        <v>46092</v>
      </c>
      <c r="B43" s="31">
        <v>0.25555555555555554</v>
      </c>
      <c r="C43" s="31">
        <v>0.56111111111111112</v>
      </c>
      <c r="D43" s="32">
        <f t="shared" si="0"/>
        <v>1.3055555555555556</v>
      </c>
      <c r="E43" s="33">
        <f t="shared" si="4"/>
        <v>542763</v>
      </c>
      <c r="F43" s="33">
        <v>543599</v>
      </c>
      <c r="G43" s="34">
        <f t="shared" si="11"/>
        <v>8.36</v>
      </c>
      <c r="H43" s="39">
        <v>160</v>
      </c>
      <c r="I43" s="39"/>
      <c r="J43" s="39"/>
      <c r="K43" s="39"/>
      <c r="L43" s="36">
        <f t="shared" si="2"/>
        <v>4000</v>
      </c>
      <c r="M43" s="36">
        <f t="shared" si="12"/>
        <v>0</v>
      </c>
      <c r="N43" s="36">
        <f t="shared" si="5"/>
        <v>0</v>
      </c>
      <c r="O43" s="36">
        <f t="shared" si="6"/>
        <v>4000</v>
      </c>
      <c r="P43" s="36">
        <f t="shared" si="7"/>
        <v>478.46889952153111</v>
      </c>
      <c r="Q43" s="39">
        <v>200</v>
      </c>
      <c r="R43" s="27">
        <f t="shared" si="9"/>
        <v>160</v>
      </c>
      <c r="S43" s="37">
        <f t="shared" si="8"/>
        <v>-40</v>
      </c>
      <c r="T43" s="27">
        <f t="shared" si="10"/>
        <v>248</v>
      </c>
      <c r="U43" s="41" t="s">
        <v>47</v>
      </c>
      <c r="V43" s="42"/>
    </row>
    <row r="44" spans="1:216" s="21" customFormat="1" x14ac:dyDescent="0.2">
      <c r="A44" s="30">
        <v>46092</v>
      </c>
      <c r="B44" s="31">
        <v>0.62986111111111109</v>
      </c>
      <c r="C44" s="31">
        <v>0.75763888888888886</v>
      </c>
      <c r="D44" s="32">
        <f t="shared" si="0"/>
        <v>1.1277777777777778</v>
      </c>
      <c r="E44" s="33">
        <f t="shared" si="4"/>
        <v>543599</v>
      </c>
      <c r="F44" s="33">
        <v>543843</v>
      </c>
      <c r="G44" s="34">
        <f t="shared" si="11"/>
        <v>2.44</v>
      </c>
      <c r="H44" s="39">
        <v>72</v>
      </c>
      <c r="I44" s="39"/>
      <c r="J44" s="39"/>
      <c r="K44" s="39"/>
      <c r="L44" s="36">
        <f t="shared" si="2"/>
        <v>1800</v>
      </c>
      <c r="M44" s="36">
        <f t="shared" si="12"/>
        <v>0</v>
      </c>
      <c r="N44" s="36">
        <f t="shared" si="5"/>
        <v>0</v>
      </c>
      <c r="O44" s="36">
        <f t="shared" si="6"/>
        <v>1800</v>
      </c>
      <c r="P44" s="36">
        <f t="shared" si="7"/>
        <v>737.70491803278685</v>
      </c>
      <c r="Q44" s="39">
        <v>50</v>
      </c>
      <c r="R44" s="27">
        <f t="shared" si="9"/>
        <v>72</v>
      </c>
      <c r="S44" s="37">
        <f t="shared" si="8"/>
        <v>22</v>
      </c>
      <c r="T44" s="27">
        <f t="shared" si="10"/>
        <v>226</v>
      </c>
      <c r="U44" s="17" t="s">
        <v>44</v>
      </c>
      <c r="V44" s="42"/>
    </row>
    <row r="45" spans="1:216" s="21" customFormat="1" x14ac:dyDescent="0.2">
      <c r="A45" s="30">
        <v>46092</v>
      </c>
      <c r="B45" s="31">
        <v>0.7944444444444444</v>
      </c>
      <c r="C45" s="31">
        <v>0.90763888888888888</v>
      </c>
      <c r="D45" s="32">
        <f t="shared" si="0"/>
        <v>1.1131944444444444</v>
      </c>
      <c r="E45" s="33">
        <f t="shared" si="4"/>
        <v>543843</v>
      </c>
      <c r="F45" s="33">
        <v>544226</v>
      </c>
      <c r="G45" s="34">
        <f t="shared" si="11"/>
        <v>3.83</v>
      </c>
      <c r="H45" s="39">
        <v>81</v>
      </c>
      <c r="I45" s="39"/>
      <c r="J45" s="39"/>
      <c r="K45" s="39"/>
      <c r="L45" s="36">
        <f t="shared" si="2"/>
        <v>2025</v>
      </c>
      <c r="M45" s="36">
        <f t="shared" si="12"/>
        <v>0</v>
      </c>
      <c r="N45" s="36">
        <f t="shared" si="5"/>
        <v>0</v>
      </c>
      <c r="O45" s="36">
        <f t="shared" si="6"/>
        <v>2025</v>
      </c>
      <c r="P45" s="36">
        <f t="shared" si="7"/>
        <v>528.72062663185375</v>
      </c>
      <c r="Q45" s="39">
        <v>100</v>
      </c>
      <c r="R45" s="27">
        <f t="shared" si="9"/>
        <v>81</v>
      </c>
      <c r="S45" s="37">
        <f t="shared" si="8"/>
        <v>-19</v>
      </c>
      <c r="T45" s="27">
        <f t="shared" si="10"/>
        <v>245</v>
      </c>
      <c r="U45" s="17" t="s">
        <v>35</v>
      </c>
      <c r="V45" s="42"/>
    </row>
    <row r="46" spans="1:216" s="46" customFormat="1" x14ac:dyDescent="0.2">
      <c r="A46" s="30">
        <v>46092</v>
      </c>
      <c r="B46" s="31">
        <v>0.93958333333333333</v>
      </c>
      <c r="C46" s="31">
        <v>0.23958333333333334</v>
      </c>
      <c r="D46" s="32">
        <f t="shared" si="0"/>
        <v>0.29999999999999993</v>
      </c>
      <c r="E46" s="33">
        <f t="shared" si="4"/>
        <v>544226</v>
      </c>
      <c r="F46" s="43">
        <v>545014</v>
      </c>
      <c r="G46" s="34">
        <f t="shared" si="11"/>
        <v>7.88</v>
      </c>
      <c r="H46" s="44">
        <v>167</v>
      </c>
      <c r="I46" s="44"/>
      <c r="J46" s="44"/>
      <c r="K46" s="44"/>
      <c r="L46" s="36">
        <f t="shared" si="2"/>
        <v>4175</v>
      </c>
      <c r="M46" s="36">
        <f t="shared" si="12"/>
        <v>0</v>
      </c>
      <c r="N46" s="36">
        <f t="shared" si="5"/>
        <v>0</v>
      </c>
      <c r="O46" s="36">
        <f t="shared" si="6"/>
        <v>4175</v>
      </c>
      <c r="P46" s="36">
        <f t="shared" si="7"/>
        <v>529.82233502538077</v>
      </c>
      <c r="Q46" s="44">
        <v>200</v>
      </c>
      <c r="R46" s="27">
        <f t="shared" si="9"/>
        <v>167</v>
      </c>
      <c r="S46" s="37">
        <f t="shared" si="8"/>
        <v>-33</v>
      </c>
      <c r="T46" s="27">
        <f t="shared" si="10"/>
        <v>278</v>
      </c>
      <c r="U46" s="41" t="s">
        <v>41</v>
      </c>
      <c r="V46" s="42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  <c r="GL46" s="45"/>
      <c r="GM46" s="45"/>
      <c r="GN46" s="45"/>
      <c r="GO46" s="45"/>
      <c r="GP46" s="45"/>
      <c r="GQ46" s="45"/>
      <c r="GR46" s="45"/>
      <c r="GS46" s="45"/>
      <c r="GT46" s="45"/>
      <c r="GU46" s="45"/>
      <c r="GV46" s="45"/>
      <c r="GW46" s="45"/>
      <c r="GX46" s="45"/>
      <c r="GY46" s="45"/>
      <c r="GZ46" s="45"/>
      <c r="HA46" s="45"/>
      <c r="HB46" s="45"/>
      <c r="HC46" s="45"/>
      <c r="HD46" s="45"/>
      <c r="HE46" s="45"/>
      <c r="HF46" s="45"/>
      <c r="HG46" s="45"/>
      <c r="HH46" s="45"/>
    </row>
    <row r="47" spans="1:216" s="21" customFormat="1" x14ac:dyDescent="0.2">
      <c r="A47" s="30">
        <v>46093</v>
      </c>
      <c r="B47" s="31">
        <v>0.25694444444444442</v>
      </c>
      <c r="C47" s="31">
        <v>0.5805555555555556</v>
      </c>
      <c r="D47" s="32">
        <f t="shared" si="0"/>
        <v>1.3236111111111113</v>
      </c>
      <c r="E47" s="33">
        <f t="shared" si="4"/>
        <v>545014</v>
      </c>
      <c r="F47" s="27">
        <v>545562</v>
      </c>
      <c r="G47" s="34">
        <f t="shared" si="11"/>
        <v>5.48</v>
      </c>
      <c r="H47" s="39">
        <v>114</v>
      </c>
      <c r="I47" s="39"/>
      <c r="J47" s="39"/>
      <c r="K47" s="39"/>
      <c r="L47" s="36">
        <f t="shared" si="2"/>
        <v>2850</v>
      </c>
      <c r="M47" s="36">
        <f t="shared" si="12"/>
        <v>0</v>
      </c>
      <c r="N47" s="36">
        <f t="shared" si="5"/>
        <v>0</v>
      </c>
      <c r="O47" s="36">
        <f t="shared" si="6"/>
        <v>2850</v>
      </c>
      <c r="P47" s="36">
        <f t="shared" si="7"/>
        <v>520.07299270072986</v>
      </c>
      <c r="Q47" s="39">
        <v>150</v>
      </c>
      <c r="R47" s="27">
        <f>H47</f>
        <v>114</v>
      </c>
      <c r="S47" s="37">
        <f t="shared" si="8"/>
        <v>-36</v>
      </c>
      <c r="T47" s="27">
        <f t="shared" si="10"/>
        <v>314</v>
      </c>
      <c r="U47" s="41" t="s">
        <v>39</v>
      </c>
      <c r="V47" s="42"/>
    </row>
    <row r="48" spans="1:216" s="21" customFormat="1" x14ac:dyDescent="0.2">
      <c r="A48" s="30">
        <v>46093</v>
      </c>
      <c r="B48" s="31">
        <v>0.59236111111111112</v>
      </c>
      <c r="C48" s="31">
        <v>0.74722222222222223</v>
      </c>
      <c r="D48" s="32">
        <f t="shared" si="0"/>
        <v>1.1548611111111111</v>
      </c>
      <c r="E48" s="33">
        <f t="shared" si="4"/>
        <v>545562</v>
      </c>
      <c r="F48" s="33">
        <v>545967</v>
      </c>
      <c r="G48" s="34">
        <f t="shared" si="11"/>
        <v>4.05</v>
      </c>
      <c r="H48" s="39">
        <v>67</v>
      </c>
      <c r="I48" s="39"/>
      <c r="J48" s="39"/>
      <c r="K48" s="39">
        <v>30</v>
      </c>
      <c r="L48" s="36">
        <f t="shared" si="2"/>
        <v>1675</v>
      </c>
      <c r="M48" s="36">
        <f t="shared" si="12"/>
        <v>0</v>
      </c>
      <c r="N48" s="36">
        <f t="shared" si="5"/>
        <v>450</v>
      </c>
      <c r="O48" s="36">
        <f t="shared" si="6"/>
        <v>2125</v>
      </c>
      <c r="P48" s="36">
        <f t="shared" si="7"/>
        <v>524.69135802469134</v>
      </c>
      <c r="Q48" s="39">
        <v>100</v>
      </c>
      <c r="R48" s="27">
        <f>H48</f>
        <v>67</v>
      </c>
      <c r="S48" s="37">
        <f t="shared" si="8"/>
        <v>-33</v>
      </c>
      <c r="T48" s="27">
        <f t="shared" si="10"/>
        <v>347</v>
      </c>
      <c r="U48" s="41" t="s">
        <v>44</v>
      </c>
      <c r="V48" s="42"/>
    </row>
    <row r="49" spans="1:22" s="21" customFormat="1" x14ac:dyDescent="0.2">
      <c r="A49" s="30">
        <v>46093</v>
      </c>
      <c r="B49" s="31">
        <v>0.76249999999999996</v>
      </c>
      <c r="C49" s="31">
        <v>0.90416666666666667</v>
      </c>
      <c r="D49" s="32">
        <f t="shared" si="0"/>
        <v>1.1416666666666668</v>
      </c>
      <c r="E49" s="33">
        <f t="shared" si="4"/>
        <v>545967</v>
      </c>
      <c r="F49" s="33">
        <v>546365</v>
      </c>
      <c r="G49" s="34">
        <f t="shared" si="11"/>
        <v>3.98</v>
      </c>
      <c r="H49" s="39">
        <v>81</v>
      </c>
      <c r="I49" s="39"/>
      <c r="J49" s="39"/>
      <c r="K49" s="39"/>
      <c r="L49" s="36">
        <f t="shared" si="2"/>
        <v>2025</v>
      </c>
      <c r="M49" s="36">
        <f t="shared" si="12"/>
        <v>0</v>
      </c>
      <c r="N49" s="36">
        <f t="shared" si="5"/>
        <v>0</v>
      </c>
      <c r="O49" s="36">
        <f t="shared" si="6"/>
        <v>2025</v>
      </c>
      <c r="P49" s="36">
        <f t="shared" si="7"/>
        <v>508.79396984924625</v>
      </c>
      <c r="Q49" s="39">
        <v>100</v>
      </c>
      <c r="R49" s="27">
        <f>H49</f>
        <v>81</v>
      </c>
      <c r="S49" s="37">
        <f t="shared" si="8"/>
        <v>-19</v>
      </c>
      <c r="T49" s="27">
        <f t="shared" si="10"/>
        <v>366</v>
      </c>
      <c r="U49" s="41" t="s">
        <v>44</v>
      </c>
      <c r="V49" s="42"/>
    </row>
    <row r="50" spans="1:22" s="21" customFormat="1" x14ac:dyDescent="0.2">
      <c r="A50" s="30">
        <v>46093</v>
      </c>
      <c r="B50" s="31">
        <v>0.93194444444444446</v>
      </c>
      <c r="C50" s="31">
        <v>0.24305555555555555</v>
      </c>
      <c r="D50" s="32">
        <f t="shared" si="0"/>
        <v>0.31111111111111112</v>
      </c>
      <c r="E50" s="33">
        <f t="shared" si="4"/>
        <v>546365</v>
      </c>
      <c r="F50" s="33">
        <v>547159</v>
      </c>
      <c r="G50" s="34">
        <f t="shared" si="1"/>
        <v>7.94</v>
      </c>
      <c r="H50" s="39">
        <v>174</v>
      </c>
      <c r="I50" s="39"/>
      <c r="J50" s="39"/>
      <c r="K50" s="39"/>
      <c r="L50" s="36">
        <f t="shared" si="2"/>
        <v>4350</v>
      </c>
      <c r="M50" s="36">
        <f t="shared" si="12"/>
        <v>0</v>
      </c>
      <c r="N50" s="36">
        <f t="shared" si="5"/>
        <v>0</v>
      </c>
      <c r="O50" s="36">
        <f t="shared" si="6"/>
        <v>4350</v>
      </c>
      <c r="P50" s="36">
        <f t="shared" si="7"/>
        <v>547.85894206549119</v>
      </c>
      <c r="Q50" s="39">
        <v>319</v>
      </c>
      <c r="R50" s="27">
        <f t="shared" ref="R50:R56" si="13">H50</f>
        <v>174</v>
      </c>
      <c r="S50" s="37">
        <f t="shared" si="8"/>
        <v>-145</v>
      </c>
      <c r="T50" s="27">
        <f t="shared" si="10"/>
        <v>511</v>
      </c>
      <c r="U50" s="41" t="s">
        <v>41</v>
      </c>
      <c r="V50" s="42"/>
    </row>
    <row r="51" spans="1:22" s="45" customFormat="1" x14ac:dyDescent="0.2">
      <c r="A51" s="30">
        <v>46094</v>
      </c>
      <c r="B51" s="31">
        <v>0.25347222222222221</v>
      </c>
      <c r="C51" s="31">
        <v>0.57986111111111116</v>
      </c>
      <c r="D51" s="32">
        <f t="shared" si="0"/>
        <v>1.3263888888888888</v>
      </c>
      <c r="E51" s="33">
        <f t="shared" si="4"/>
        <v>547159</v>
      </c>
      <c r="F51" s="43">
        <v>547967</v>
      </c>
      <c r="G51" s="34">
        <f t="shared" si="1"/>
        <v>8.08</v>
      </c>
      <c r="H51" s="44">
        <v>177</v>
      </c>
      <c r="I51" s="44"/>
      <c r="J51" s="44"/>
      <c r="K51" s="44"/>
      <c r="L51" s="44">
        <f t="shared" si="2"/>
        <v>4425</v>
      </c>
      <c r="M51" s="44">
        <f t="shared" si="12"/>
        <v>0</v>
      </c>
      <c r="N51" s="44">
        <f t="shared" si="5"/>
        <v>0</v>
      </c>
      <c r="O51" s="44">
        <f t="shared" si="6"/>
        <v>4425</v>
      </c>
      <c r="P51" s="44">
        <f t="shared" si="7"/>
        <v>547.64851485148517</v>
      </c>
      <c r="Q51" s="44">
        <v>200</v>
      </c>
      <c r="R51" s="35">
        <f t="shared" si="13"/>
        <v>177</v>
      </c>
      <c r="S51" s="37">
        <f t="shared" si="8"/>
        <v>-23</v>
      </c>
      <c r="T51" s="27">
        <f t="shared" si="10"/>
        <v>534</v>
      </c>
      <c r="U51" s="41" t="s">
        <v>48</v>
      </c>
      <c r="V51" s="42"/>
    </row>
    <row r="52" spans="1:22" s="21" customFormat="1" x14ac:dyDescent="0.2">
      <c r="A52" s="30">
        <v>46094</v>
      </c>
      <c r="B52" s="31">
        <v>0.59375</v>
      </c>
      <c r="C52" s="31">
        <v>0.74791666666666667</v>
      </c>
      <c r="D52" s="32">
        <f t="shared" si="0"/>
        <v>1.1541666666666668</v>
      </c>
      <c r="E52" s="33">
        <f t="shared" si="4"/>
        <v>547967</v>
      </c>
      <c r="F52" s="33">
        <v>548374</v>
      </c>
      <c r="G52" s="34">
        <f t="shared" si="1"/>
        <v>4.07</v>
      </c>
      <c r="H52" s="39">
        <v>73</v>
      </c>
      <c r="I52" s="39"/>
      <c r="J52" s="39"/>
      <c r="K52" s="39"/>
      <c r="L52" s="36">
        <f t="shared" si="2"/>
        <v>1825</v>
      </c>
      <c r="M52" s="36">
        <f t="shared" si="12"/>
        <v>0</v>
      </c>
      <c r="N52" s="36">
        <f t="shared" si="5"/>
        <v>0</v>
      </c>
      <c r="O52" s="36">
        <f t="shared" si="6"/>
        <v>1825</v>
      </c>
      <c r="P52" s="36">
        <f t="shared" si="7"/>
        <v>448.40294840294837</v>
      </c>
      <c r="Q52" s="39">
        <v>100</v>
      </c>
      <c r="R52" s="27">
        <f t="shared" si="13"/>
        <v>73</v>
      </c>
      <c r="S52" s="37">
        <f t="shared" si="8"/>
        <v>-27</v>
      </c>
      <c r="T52" s="27">
        <f t="shared" si="10"/>
        <v>561</v>
      </c>
      <c r="U52" s="41" t="s">
        <v>45</v>
      </c>
      <c r="V52" s="42"/>
    </row>
    <row r="53" spans="1:22" s="21" customFormat="1" x14ac:dyDescent="0.2">
      <c r="A53" s="30">
        <v>46094</v>
      </c>
      <c r="B53" s="31">
        <v>0.76249999999999996</v>
      </c>
      <c r="C53" s="31">
        <v>0.90277777777777779</v>
      </c>
      <c r="D53" s="32">
        <f t="shared" si="0"/>
        <v>1.1402777777777777</v>
      </c>
      <c r="E53" s="33">
        <f t="shared" si="4"/>
        <v>548374</v>
      </c>
      <c r="F53" s="33">
        <v>548702</v>
      </c>
      <c r="G53" s="34">
        <v>4</v>
      </c>
      <c r="H53" s="39">
        <v>38</v>
      </c>
      <c r="I53" s="39"/>
      <c r="J53" s="39"/>
      <c r="K53" s="39">
        <v>46</v>
      </c>
      <c r="L53" s="36">
        <f t="shared" si="2"/>
        <v>950</v>
      </c>
      <c r="M53" s="36">
        <f t="shared" si="12"/>
        <v>0</v>
      </c>
      <c r="N53" s="36">
        <f t="shared" si="5"/>
        <v>690</v>
      </c>
      <c r="O53" s="36">
        <f t="shared" si="6"/>
        <v>1640</v>
      </c>
      <c r="P53" s="36">
        <f t="shared" si="7"/>
        <v>410</v>
      </c>
      <c r="Q53" s="39">
        <v>50</v>
      </c>
      <c r="R53" s="27">
        <f t="shared" si="13"/>
        <v>38</v>
      </c>
      <c r="S53" s="37">
        <f t="shared" si="8"/>
        <v>-12</v>
      </c>
      <c r="T53" s="27">
        <f t="shared" si="10"/>
        <v>573</v>
      </c>
      <c r="U53" s="41" t="s">
        <v>45</v>
      </c>
      <c r="V53" s="42" t="s">
        <v>49</v>
      </c>
    </row>
    <row r="54" spans="1:22" s="21" customFormat="1" x14ac:dyDescent="0.2">
      <c r="A54" s="30">
        <v>46094</v>
      </c>
      <c r="B54" s="23">
        <v>0.93333333333333335</v>
      </c>
      <c r="C54" s="23">
        <v>0.23958333333333334</v>
      </c>
      <c r="D54" s="32">
        <v>0.91249999999999998</v>
      </c>
      <c r="E54" s="33">
        <f t="shared" si="4"/>
        <v>548702</v>
      </c>
      <c r="F54" s="33">
        <v>549506</v>
      </c>
      <c r="G54" s="34">
        <v>8</v>
      </c>
      <c r="H54" s="39">
        <v>169</v>
      </c>
      <c r="I54" s="39"/>
      <c r="J54" s="39"/>
      <c r="K54" s="39"/>
      <c r="L54" s="36">
        <f t="shared" si="2"/>
        <v>4225</v>
      </c>
      <c r="M54" s="36">
        <f t="shared" si="12"/>
        <v>0</v>
      </c>
      <c r="N54" s="36">
        <f t="shared" si="5"/>
        <v>0</v>
      </c>
      <c r="O54" s="36">
        <f t="shared" si="6"/>
        <v>4225</v>
      </c>
      <c r="P54" s="36">
        <f t="shared" si="7"/>
        <v>528.125</v>
      </c>
      <c r="Q54" s="39">
        <v>180</v>
      </c>
      <c r="R54" s="27">
        <f t="shared" si="13"/>
        <v>169</v>
      </c>
      <c r="S54" s="37">
        <f t="shared" si="8"/>
        <v>-11</v>
      </c>
      <c r="T54" s="27">
        <f t="shared" si="10"/>
        <v>584</v>
      </c>
      <c r="U54" s="41" t="s">
        <v>41</v>
      </c>
      <c r="V54" s="42"/>
    </row>
    <row r="55" spans="1:22" s="21" customFormat="1" x14ac:dyDescent="0.2">
      <c r="A55" s="30">
        <v>46095</v>
      </c>
      <c r="B55" s="31">
        <v>0.26041666666666669</v>
      </c>
      <c r="C55" s="31">
        <v>0.5708333333333333</v>
      </c>
      <c r="D55" s="32">
        <f t="shared" si="0"/>
        <v>1.3104166666666666</v>
      </c>
      <c r="E55" s="33">
        <f t="shared" si="4"/>
        <v>549506</v>
      </c>
      <c r="F55" s="33">
        <v>550162</v>
      </c>
      <c r="G55" s="34">
        <f t="shared" si="1"/>
        <v>6.56</v>
      </c>
      <c r="H55" s="39">
        <v>170</v>
      </c>
      <c r="I55" s="39"/>
      <c r="J55" s="39"/>
      <c r="K55" s="39"/>
      <c r="L55" s="36">
        <f t="shared" si="2"/>
        <v>4250</v>
      </c>
      <c r="M55" s="36">
        <f t="shared" si="12"/>
        <v>0</v>
      </c>
      <c r="N55" s="36">
        <f t="shared" si="5"/>
        <v>0</v>
      </c>
      <c r="O55" s="36">
        <f t="shared" si="6"/>
        <v>4250</v>
      </c>
      <c r="P55" s="36">
        <f t="shared" si="7"/>
        <v>647.86585365853659</v>
      </c>
      <c r="Q55" s="39">
        <v>200</v>
      </c>
      <c r="R55" s="27">
        <f t="shared" si="13"/>
        <v>170</v>
      </c>
      <c r="S55" s="37">
        <f t="shared" si="8"/>
        <v>-30</v>
      </c>
      <c r="T55" s="27">
        <f t="shared" si="10"/>
        <v>614</v>
      </c>
      <c r="U55" s="41" t="s">
        <v>47</v>
      </c>
      <c r="V55" s="42"/>
    </row>
    <row r="56" spans="1:22" s="21" customFormat="1" x14ac:dyDescent="0.2">
      <c r="A56" s="30">
        <v>46095</v>
      </c>
      <c r="B56" s="31">
        <v>0.59375</v>
      </c>
      <c r="C56" s="31">
        <v>0.74861111111111112</v>
      </c>
      <c r="D56" s="32">
        <f t="shared" si="0"/>
        <v>1.1548611111111111</v>
      </c>
      <c r="E56" s="33">
        <f t="shared" si="4"/>
        <v>550162</v>
      </c>
      <c r="F56" s="33">
        <v>550730</v>
      </c>
      <c r="G56" s="34">
        <f t="shared" si="1"/>
        <v>5.68</v>
      </c>
      <c r="H56" s="39">
        <v>90</v>
      </c>
      <c r="I56" s="39"/>
      <c r="J56" s="39"/>
      <c r="K56" s="39"/>
      <c r="L56" s="36">
        <f t="shared" si="2"/>
        <v>2250</v>
      </c>
      <c r="M56" s="36">
        <f t="shared" si="12"/>
        <v>0</v>
      </c>
      <c r="N56" s="36">
        <f t="shared" si="5"/>
        <v>0</v>
      </c>
      <c r="O56" s="36">
        <f t="shared" si="6"/>
        <v>2250</v>
      </c>
      <c r="P56" s="36">
        <f t="shared" si="7"/>
        <v>396.12676056338029</v>
      </c>
      <c r="Q56" s="39">
        <v>100</v>
      </c>
      <c r="R56" s="27">
        <f t="shared" si="13"/>
        <v>90</v>
      </c>
      <c r="S56" s="37">
        <f t="shared" si="8"/>
        <v>-10</v>
      </c>
      <c r="T56" s="27">
        <f t="shared" si="10"/>
        <v>624</v>
      </c>
      <c r="U56" s="41" t="s">
        <v>35</v>
      </c>
      <c r="V56" s="42"/>
    </row>
    <row r="57" spans="1:22" ht="15.75" x14ac:dyDescent="0.25">
      <c r="A57" s="30">
        <v>46095</v>
      </c>
      <c r="B57" s="31">
        <v>0.76388888888888884</v>
      </c>
      <c r="C57" s="31">
        <v>0.91041666666666665</v>
      </c>
      <c r="D57" s="32">
        <f>1+C57-B57</f>
        <v>1.1465277777777778</v>
      </c>
      <c r="E57" s="33">
        <f t="shared" si="4"/>
        <v>550730</v>
      </c>
      <c r="F57" s="27">
        <v>551096</v>
      </c>
      <c r="G57" s="34">
        <f t="shared" si="1"/>
        <v>3.66</v>
      </c>
      <c r="H57" s="35">
        <v>74</v>
      </c>
      <c r="I57" s="35"/>
      <c r="J57" s="35"/>
      <c r="K57" s="35"/>
      <c r="L57" s="36">
        <f>+H57*$H$6</f>
        <v>1850</v>
      </c>
      <c r="M57" s="36">
        <f t="shared" si="12"/>
        <v>0</v>
      </c>
      <c r="N57" s="36">
        <f>+J57*$J$6+(K57*15)</f>
        <v>0</v>
      </c>
      <c r="O57" s="36">
        <f t="shared" si="6"/>
        <v>1850</v>
      </c>
      <c r="P57" s="36">
        <f t="shared" si="7"/>
        <v>505.46448087431691</v>
      </c>
      <c r="Q57" s="27">
        <v>100</v>
      </c>
      <c r="R57" s="27">
        <f>H57</f>
        <v>74</v>
      </c>
      <c r="S57" s="37">
        <f t="shared" si="8"/>
        <v>-26</v>
      </c>
      <c r="T57" s="27">
        <f t="shared" si="10"/>
        <v>650</v>
      </c>
      <c r="U57" s="41" t="s">
        <v>36</v>
      </c>
      <c r="V57" s="38"/>
    </row>
    <row r="58" spans="1:22" s="21" customFormat="1" x14ac:dyDescent="0.2">
      <c r="A58" s="30">
        <v>46095</v>
      </c>
      <c r="B58" s="31">
        <v>0.9604166666666667</v>
      </c>
      <c r="C58" s="31">
        <v>0.24097222222222223</v>
      </c>
      <c r="D58" s="32">
        <f>1+C58-B58</f>
        <v>0.28055555555555545</v>
      </c>
      <c r="E58" s="33">
        <f t="shared" si="4"/>
        <v>551096</v>
      </c>
      <c r="F58" s="33">
        <v>551903</v>
      </c>
      <c r="G58" s="34">
        <f t="shared" si="1"/>
        <v>8.07</v>
      </c>
      <c r="H58" s="39">
        <v>162</v>
      </c>
      <c r="I58" s="39"/>
      <c r="J58" s="39"/>
      <c r="K58" s="39"/>
      <c r="L58" s="36">
        <f>+H58*$H$6</f>
        <v>4050</v>
      </c>
      <c r="M58" s="36">
        <f t="shared" si="12"/>
        <v>0</v>
      </c>
      <c r="N58" s="36">
        <f t="shared" ref="N58:N74" si="14">+J58*$J$6+(K58*15)</f>
        <v>0</v>
      </c>
      <c r="O58" s="36">
        <f t="shared" si="6"/>
        <v>4050</v>
      </c>
      <c r="P58" s="36">
        <f t="shared" si="7"/>
        <v>501.85873605947955</v>
      </c>
      <c r="Q58" s="39">
        <v>150</v>
      </c>
      <c r="R58" s="27">
        <f>H58</f>
        <v>162</v>
      </c>
      <c r="S58" s="37">
        <f t="shared" si="8"/>
        <v>12</v>
      </c>
      <c r="T58" s="27">
        <f t="shared" si="10"/>
        <v>638</v>
      </c>
      <c r="U58" s="41" t="s">
        <v>50</v>
      </c>
      <c r="V58" s="42"/>
    </row>
    <row r="59" spans="1:22" s="21" customFormat="1" x14ac:dyDescent="0.2">
      <c r="A59" s="30"/>
      <c r="B59" s="23"/>
      <c r="C59" s="23"/>
      <c r="D59" s="32">
        <f>1+C59-B59</f>
        <v>1</v>
      </c>
      <c r="E59" s="33">
        <f t="shared" si="4"/>
        <v>551903</v>
      </c>
      <c r="F59" s="27"/>
      <c r="G59" s="34">
        <f t="shared" si="1"/>
        <v>-5519.03</v>
      </c>
      <c r="H59" s="39"/>
      <c r="I59" s="39"/>
      <c r="J59" s="39"/>
      <c r="K59" s="39"/>
      <c r="L59" s="36">
        <f>+H59*$H$6</f>
        <v>0</v>
      </c>
      <c r="M59" s="36">
        <f t="shared" si="12"/>
        <v>0</v>
      </c>
      <c r="N59" s="36">
        <f t="shared" si="14"/>
        <v>0</v>
      </c>
      <c r="O59" s="36">
        <f t="shared" si="6"/>
        <v>0</v>
      </c>
      <c r="P59" s="36">
        <f t="shared" si="7"/>
        <v>0</v>
      </c>
      <c r="Q59" s="39">
        <v>250</v>
      </c>
      <c r="R59" s="27">
        <f>H59</f>
        <v>0</v>
      </c>
      <c r="S59" s="37">
        <f t="shared" si="8"/>
        <v>-250</v>
      </c>
      <c r="T59" s="27">
        <f t="shared" si="10"/>
        <v>888</v>
      </c>
      <c r="U59" s="41" t="s">
        <v>36</v>
      </c>
      <c r="V59" s="42"/>
    </row>
    <row r="60" spans="1:22" s="21" customFormat="1" x14ac:dyDescent="0.2">
      <c r="A60" s="30"/>
      <c r="B60" s="31"/>
      <c r="C60" s="31"/>
      <c r="D60" s="32">
        <f>1+C60-B60</f>
        <v>1</v>
      </c>
      <c r="E60" s="33">
        <f t="shared" si="4"/>
        <v>0</v>
      </c>
      <c r="F60" s="27"/>
      <c r="G60" s="34">
        <f t="shared" si="1"/>
        <v>0</v>
      </c>
      <c r="H60" s="39"/>
      <c r="I60" s="39"/>
      <c r="J60" s="39"/>
      <c r="K60" s="39"/>
      <c r="L60" s="36">
        <f>+H60*$H$6</f>
        <v>0</v>
      </c>
      <c r="M60" s="36">
        <f t="shared" si="12"/>
        <v>0</v>
      </c>
      <c r="N60" s="36">
        <f t="shared" si="14"/>
        <v>0</v>
      </c>
      <c r="O60" s="36">
        <f t="shared" si="6"/>
        <v>0</v>
      </c>
      <c r="P60" s="36" t="e">
        <f t="shared" si="7"/>
        <v>#DIV/0!</v>
      </c>
      <c r="Q60" s="39">
        <v>300</v>
      </c>
      <c r="R60" s="27">
        <f t="shared" ref="R60:R72" si="15">H60</f>
        <v>0</v>
      </c>
      <c r="S60" s="37">
        <f t="shared" si="8"/>
        <v>-300</v>
      </c>
      <c r="T60" s="27">
        <f t="shared" si="10"/>
        <v>1188</v>
      </c>
      <c r="U60" s="41" t="s">
        <v>43</v>
      </c>
      <c r="V60" s="42"/>
    </row>
    <row r="61" spans="1:22" s="21" customFormat="1" x14ac:dyDescent="0.2">
      <c r="A61" s="30"/>
      <c r="B61" s="31"/>
      <c r="C61" s="31"/>
      <c r="D61" s="32">
        <f t="shared" ref="D61:D124" si="16">1+C61-B61</f>
        <v>1</v>
      </c>
      <c r="E61" s="33">
        <f t="shared" si="4"/>
        <v>0</v>
      </c>
      <c r="F61" s="33"/>
      <c r="G61" s="34">
        <f t="shared" si="1"/>
        <v>0</v>
      </c>
      <c r="H61" s="39"/>
      <c r="I61" s="39"/>
      <c r="J61" s="39"/>
      <c r="K61" s="39"/>
      <c r="L61" s="36">
        <f t="shared" ref="L61:L74" si="17">+H61*$H$6</f>
        <v>0</v>
      </c>
      <c r="M61" s="36">
        <f t="shared" si="12"/>
        <v>0</v>
      </c>
      <c r="N61" s="36">
        <f t="shared" si="14"/>
        <v>0</v>
      </c>
      <c r="O61" s="36">
        <f t="shared" si="6"/>
        <v>0</v>
      </c>
      <c r="P61" s="36" t="e">
        <f t="shared" si="7"/>
        <v>#DIV/0!</v>
      </c>
      <c r="Q61" s="39">
        <v>200</v>
      </c>
      <c r="R61" s="27">
        <f t="shared" si="15"/>
        <v>0</v>
      </c>
      <c r="S61" s="37">
        <f t="shared" si="8"/>
        <v>-200</v>
      </c>
      <c r="T61" s="27">
        <f t="shared" si="10"/>
        <v>1388</v>
      </c>
      <c r="U61" s="41" t="s">
        <v>33</v>
      </c>
      <c r="V61" s="42"/>
    </row>
    <row r="62" spans="1:22" s="21" customFormat="1" x14ac:dyDescent="0.2">
      <c r="A62" s="30"/>
      <c r="B62" s="31"/>
      <c r="C62" s="31"/>
      <c r="D62" s="32">
        <f t="shared" si="16"/>
        <v>1</v>
      </c>
      <c r="E62" s="33">
        <f t="shared" si="4"/>
        <v>0</v>
      </c>
      <c r="F62" s="33"/>
      <c r="G62" s="34">
        <f t="shared" si="1"/>
        <v>0</v>
      </c>
      <c r="H62" s="39"/>
      <c r="I62" s="39"/>
      <c r="J62" s="39"/>
      <c r="K62" s="39"/>
      <c r="L62" s="36">
        <f t="shared" si="17"/>
        <v>0</v>
      </c>
      <c r="M62" s="36">
        <f t="shared" si="12"/>
        <v>0</v>
      </c>
      <c r="N62" s="36">
        <f t="shared" si="14"/>
        <v>0</v>
      </c>
      <c r="O62" s="36">
        <f t="shared" si="6"/>
        <v>0</v>
      </c>
      <c r="P62" s="36" t="e">
        <f t="shared" si="7"/>
        <v>#DIV/0!</v>
      </c>
      <c r="Q62" s="39">
        <v>100</v>
      </c>
      <c r="R62" s="27">
        <f t="shared" si="15"/>
        <v>0</v>
      </c>
      <c r="S62" s="37">
        <f t="shared" si="8"/>
        <v>-100</v>
      </c>
      <c r="T62" s="27">
        <f t="shared" si="10"/>
        <v>1488</v>
      </c>
      <c r="U62" s="41" t="s">
        <v>46</v>
      </c>
      <c r="V62" s="42"/>
    </row>
    <row r="63" spans="1:22" s="21" customFormat="1" x14ac:dyDescent="0.2">
      <c r="A63" s="30"/>
      <c r="B63" s="31"/>
      <c r="C63" s="31"/>
      <c r="D63" s="32">
        <f t="shared" si="16"/>
        <v>1</v>
      </c>
      <c r="E63" s="33">
        <f t="shared" si="4"/>
        <v>0</v>
      </c>
      <c r="F63" s="33"/>
      <c r="G63" s="34">
        <f t="shared" si="1"/>
        <v>0</v>
      </c>
      <c r="H63" s="39"/>
      <c r="I63" s="39"/>
      <c r="J63" s="39"/>
      <c r="K63" s="39"/>
      <c r="L63" s="36">
        <f t="shared" si="17"/>
        <v>0</v>
      </c>
      <c r="M63" s="36">
        <f t="shared" si="12"/>
        <v>0</v>
      </c>
      <c r="N63" s="36">
        <f t="shared" si="14"/>
        <v>0</v>
      </c>
      <c r="O63" s="36">
        <f t="shared" si="6"/>
        <v>0</v>
      </c>
      <c r="P63" s="36" t="e">
        <f t="shared" si="7"/>
        <v>#DIV/0!</v>
      </c>
      <c r="Q63" s="39">
        <v>100</v>
      </c>
      <c r="R63" s="27">
        <f t="shared" si="15"/>
        <v>0</v>
      </c>
      <c r="S63" s="37">
        <f t="shared" si="8"/>
        <v>-100</v>
      </c>
      <c r="T63" s="27">
        <f t="shared" si="10"/>
        <v>1588</v>
      </c>
      <c r="U63" s="41" t="s">
        <v>46</v>
      </c>
      <c r="V63" s="42"/>
    </row>
    <row r="64" spans="1:22" s="45" customFormat="1" x14ac:dyDescent="0.2">
      <c r="A64" s="30"/>
      <c r="B64" s="23"/>
      <c r="C64" s="23"/>
      <c r="D64" s="32">
        <f t="shared" si="16"/>
        <v>1</v>
      </c>
      <c r="E64" s="33">
        <f t="shared" si="4"/>
        <v>0</v>
      </c>
      <c r="F64" s="43"/>
      <c r="G64" s="34">
        <f t="shared" si="1"/>
        <v>0</v>
      </c>
      <c r="H64" s="44"/>
      <c r="I64" s="44"/>
      <c r="J64" s="44"/>
      <c r="K64" s="44"/>
      <c r="L64" s="36">
        <f t="shared" si="17"/>
        <v>0</v>
      </c>
      <c r="M64" s="36">
        <f t="shared" si="12"/>
        <v>0</v>
      </c>
      <c r="N64" s="36">
        <f t="shared" si="14"/>
        <v>0</v>
      </c>
      <c r="O64" s="36">
        <f t="shared" si="6"/>
        <v>0</v>
      </c>
      <c r="P64" s="36" t="e">
        <f t="shared" si="7"/>
        <v>#DIV/0!</v>
      </c>
      <c r="Q64" s="44">
        <v>200</v>
      </c>
      <c r="R64" s="27">
        <f t="shared" si="15"/>
        <v>0</v>
      </c>
      <c r="S64" s="37">
        <f t="shared" si="8"/>
        <v>-200</v>
      </c>
      <c r="T64" s="27">
        <f t="shared" si="10"/>
        <v>1788</v>
      </c>
      <c r="U64" s="41" t="s">
        <v>41</v>
      </c>
      <c r="V64" s="42"/>
    </row>
    <row r="65" spans="1:129" s="21" customFormat="1" x14ac:dyDescent="0.2">
      <c r="A65" s="30"/>
      <c r="B65" s="31"/>
      <c r="C65" s="31"/>
      <c r="D65" s="32">
        <f t="shared" si="16"/>
        <v>1</v>
      </c>
      <c r="E65" s="33">
        <f t="shared" si="4"/>
        <v>0</v>
      </c>
      <c r="F65" s="33"/>
      <c r="G65" s="34">
        <f t="shared" si="1"/>
        <v>0</v>
      </c>
      <c r="H65" s="39"/>
      <c r="I65" s="39"/>
      <c r="J65" s="39"/>
      <c r="K65" s="39"/>
      <c r="L65" s="36">
        <f t="shared" si="17"/>
        <v>0</v>
      </c>
      <c r="M65" s="36">
        <f t="shared" si="12"/>
        <v>0</v>
      </c>
      <c r="N65" s="36">
        <f t="shared" si="14"/>
        <v>0</v>
      </c>
      <c r="O65" s="36">
        <f t="shared" si="6"/>
        <v>0</v>
      </c>
      <c r="P65" s="36" t="e">
        <f t="shared" si="7"/>
        <v>#DIV/0!</v>
      </c>
      <c r="Q65" s="39">
        <v>200</v>
      </c>
      <c r="R65" s="27">
        <f t="shared" si="15"/>
        <v>0</v>
      </c>
      <c r="S65" s="37">
        <f t="shared" si="8"/>
        <v>-200</v>
      </c>
      <c r="T65" s="27">
        <f t="shared" si="10"/>
        <v>1988</v>
      </c>
      <c r="U65" s="41" t="s">
        <v>35</v>
      </c>
      <c r="V65" s="42"/>
    </row>
    <row r="66" spans="1:129" s="21" customFormat="1" x14ac:dyDescent="0.2">
      <c r="A66" s="30"/>
      <c r="B66" s="31"/>
      <c r="C66" s="31"/>
      <c r="D66" s="32">
        <f t="shared" si="16"/>
        <v>1</v>
      </c>
      <c r="E66" s="33">
        <f t="shared" si="4"/>
        <v>0</v>
      </c>
      <c r="F66" s="33"/>
      <c r="G66" s="34">
        <f t="shared" si="1"/>
        <v>0</v>
      </c>
      <c r="H66" s="39"/>
      <c r="I66" s="39"/>
      <c r="J66" s="39"/>
      <c r="K66" s="39"/>
      <c r="L66" s="36">
        <f t="shared" si="17"/>
        <v>0</v>
      </c>
      <c r="M66" s="36">
        <f t="shared" si="12"/>
        <v>0</v>
      </c>
      <c r="N66" s="36">
        <f t="shared" si="14"/>
        <v>0</v>
      </c>
      <c r="O66" s="36">
        <f t="shared" si="6"/>
        <v>0</v>
      </c>
      <c r="P66" s="36" t="e">
        <f t="shared" si="7"/>
        <v>#DIV/0!</v>
      </c>
      <c r="Q66" s="39">
        <v>100</v>
      </c>
      <c r="R66" s="27">
        <f t="shared" si="15"/>
        <v>0</v>
      </c>
      <c r="S66" s="37">
        <f t="shared" si="8"/>
        <v>-100</v>
      </c>
      <c r="T66" s="27">
        <f t="shared" si="10"/>
        <v>2088</v>
      </c>
      <c r="U66" s="41" t="s">
        <v>46</v>
      </c>
      <c r="V66" s="42"/>
    </row>
    <row r="67" spans="1:129" s="21" customFormat="1" x14ac:dyDescent="0.2">
      <c r="A67" s="30"/>
      <c r="B67" s="31"/>
      <c r="C67" s="31"/>
      <c r="D67" s="32">
        <f t="shared" si="16"/>
        <v>1</v>
      </c>
      <c r="E67" s="33">
        <f t="shared" si="4"/>
        <v>0</v>
      </c>
      <c r="F67" s="33"/>
      <c r="G67" s="34">
        <f t="shared" si="1"/>
        <v>0</v>
      </c>
      <c r="H67" s="39"/>
      <c r="I67" s="39"/>
      <c r="J67" s="39"/>
      <c r="K67" s="39"/>
      <c r="L67" s="36">
        <f t="shared" si="17"/>
        <v>0</v>
      </c>
      <c r="M67" s="36">
        <f t="shared" si="12"/>
        <v>0</v>
      </c>
      <c r="N67" s="36">
        <f t="shared" si="14"/>
        <v>0</v>
      </c>
      <c r="O67" s="36">
        <f t="shared" si="6"/>
        <v>0</v>
      </c>
      <c r="P67" s="36" t="e">
        <f t="shared" si="7"/>
        <v>#DIV/0!</v>
      </c>
      <c r="Q67" s="39">
        <v>100</v>
      </c>
      <c r="R67" s="27">
        <f t="shared" si="15"/>
        <v>0</v>
      </c>
      <c r="S67" s="37">
        <f t="shared" si="8"/>
        <v>-100</v>
      </c>
      <c r="T67" s="27">
        <f t="shared" si="10"/>
        <v>2188</v>
      </c>
      <c r="U67" s="41" t="s">
        <v>39</v>
      </c>
      <c r="V67" s="42"/>
    </row>
    <row r="68" spans="1:129" s="21" customFormat="1" x14ac:dyDescent="0.2">
      <c r="A68" s="30"/>
      <c r="B68" s="31"/>
      <c r="C68" s="31"/>
      <c r="D68" s="32">
        <f t="shared" si="16"/>
        <v>1</v>
      </c>
      <c r="E68" s="33">
        <f t="shared" si="4"/>
        <v>0</v>
      </c>
      <c r="F68" s="33"/>
      <c r="G68" s="34">
        <f t="shared" si="1"/>
        <v>0</v>
      </c>
      <c r="H68" s="39"/>
      <c r="I68" s="39"/>
      <c r="J68" s="39"/>
      <c r="K68" s="39"/>
      <c r="L68" s="36">
        <f t="shared" si="17"/>
        <v>0</v>
      </c>
      <c r="M68" s="36">
        <f t="shared" si="12"/>
        <v>0</v>
      </c>
      <c r="N68" s="36">
        <f t="shared" si="14"/>
        <v>0</v>
      </c>
      <c r="O68" s="36">
        <f t="shared" si="6"/>
        <v>0</v>
      </c>
      <c r="P68" s="36" t="e">
        <f t="shared" si="7"/>
        <v>#DIV/0!</v>
      </c>
      <c r="Q68" s="39">
        <v>150</v>
      </c>
      <c r="R68" s="27">
        <f t="shared" si="15"/>
        <v>0</v>
      </c>
      <c r="S68" s="37">
        <f t="shared" si="8"/>
        <v>-150</v>
      </c>
      <c r="T68" s="27">
        <f t="shared" si="10"/>
        <v>2338</v>
      </c>
      <c r="U68" s="41" t="s">
        <v>50</v>
      </c>
      <c r="V68" s="42"/>
    </row>
    <row r="69" spans="1:129" s="21" customFormat="1" x14ac:dyDescent="0.2">
      <c r="A69" s="30"/>
      <c r="B69" s="31"/>
      <c r="C69" s="31"/>
      <c r="D69" s="32">
        <f t="shared" si="16"/>
        <v>1</v>
      </c>
      <c r="E69" s="33">
        <f t="shared" si="4"/>
        <v>0</v>
      </c>
      <c r="F69" s="33"/>
      <c r="G69" s="34">
        <f t="shared" si="1"/>
        <v>0</v>
      </c>
      <c r="H69" s="39"/>
      <c r="I69" s="39"/>
      <c r="J69" s="39"/>
      <c r="K69" s="39"/>
      <c r="L69" s="36">
        <f t="shared" si="17"/>
        <v>0</v>
      </c>
      <c r="M69" s="36">
        <f t="shared" si="12"/>
        <v>0</v>
      </c>
      <c r="N69" s="36">
        <f t="shared" si="14"/>
        <v>0</v>
      </c>
      <c r="O69" s="36">
        <f t="shared" si="6"/>
        <v>0</v>
      </c>
      <c r="P69" s="36" t="e">
        <f t="shared" si="7"/>
        <v>#DIV/0!</v>
      </c>
      <c r="Q69" s="39">
        <v>100</v>
      </c>
      <c r="R69" s="27">
        <f t="shared" si="15"/>
        <v>0</v>
      </c>
      <c r="S69" s="37">
        <f t="shared" si="8"/>
        <v>-100</v>
      </c>
      <c r="T69" s="27">
        <f t="shared" si="10"/>
        <v>2438</v>
      </c>
      <c r="U69" s="41" t="s">
        <v>44</v>
      </c>
      <c r="V69" s="42"/>
    </row>
    <row r="70" spans="1:129" s="21" customFormat="1" x14ac:dyDescent="0.2">
      <c r="A70" s="30"/>
      <c r="B70" s="31"/>
      <c r="C70" s="31"/>
      <c r="D70" s="32">
        <f t="shared" si="16"/>
        <v>1</v>
      </c>
      <c r="E70" s="33">
        <f t="shared" si="4"/>
        <v>0</v>
      </c>
      <c r="F70" s="33"/>
      <c r="G70" s="34">
        <f t="shared" si="1"/>
        <v>0</v>
      </c>
      <c r="H70" s="39"/>
      <c r="I70" s="39"/>
      <c r="J70" s="39"/>
      <c r="K70" s="39"/>
      <c r="L70" s="36">
        <f t="shared" si="17"/>
        <v>0</v>
      </c>
      <c r="M70" s="36">
        <f t="shared" si="12"/>
        <v>0</v>
      </c>
      <c r="N70" s="36">
        <f t="shared" si="14"/>
        <v>0</v>
      </c>
      <c r="O70" s="36">
        <f t="shared" si="6"/>
        <v>0</v>
      </c>
      <c r="P70" s="36" t="e">
        <f t="shared" si="7"/>
        <v>#DIV/0!</v>
      </c>
      <c r="Q70" s="39">
        <v>50</v>
      </c>
      <c r="R70" s="27">
        <f t="shared" si="15"/>
        <v>0</v>
      </c>
      <c r="S70" s="37">
        <f t="shared" si="8"/>
        <v>-50</v>
      </c>
      <c r="T70" s="27">
        <f t="shared" si="10"/>
        <v>2488</v>
      </c>
      <c r="U70" s="41" t="s">
        <v>46</v>
      </c>
      <c r="V70" s="42"/>
    </row>
    <row r="71" spans="1:129" s="21" customFormat="1" x14ac:dyDescent="0.2">
      <c r="A71" s="30"/>
      <c r="B71" s="31"/>
      <c r="C71" s="31"/>
      <c r="D71" s="32">
        <f t="shared" si="16"/>
        <v>1</v>
      </c>
      <c r="E71" s="33">
        <f t="shared" si="4"/>
        <v>0</v>
      </c>
      <c r="F71" s="33"/>
      <c r="G71" s="34">
        <f t="shared" si="1"/>
        <v>0</v>
      </c>
      <c r="H71" s="39"/>
      <c r="I71" s="39"/>
      <c r="J71" s="39"/>
      <c r="K71" s="39"/>
      <c r="L71" s="36">
        <f t="shared" si="17"/>
        <v>0</v>
      </c>
      <c r="M71" s="36">
        <f t="shared" si="12"/>
        <v>0</v>
      </c>
      <c r="N71" s="36">
        <f t="shared" si="14"/>
        <v>0</v>
      </c>
      <c r="O71" s="36">
        <f t="shared" si="6"/>
        <v>0</v>
      </c>
      <c r="P71" s="36" t="e">
        <f t="shared" si="7"/>
        <v>#DIV/0!</v>
      </c>
      <c r="Q71" s="39">
        <v>100</v>
      </c>
      <c r="R71" s="27">
        <f t="shared" si="15"/>
        <v>0</v>
      </c>
      <c r="S71" s="37">
        <f t="shared" si="8"/>
        <v>-100</v>
      </c>
      <c r="T71" s="27">
        <f t="shared" si="10"/>
        <v>2588</v>
      </c>
      <c r="U71" s="41" t="s">
        <v>36</v>
      </c>
      <c r="V71" s="42"/>
    </row>
    <row r="72" spans="1:129" s="21" customFormat="1" x14ac:dyDescent="0.2">
      <c r="A72" s="30"/>
      <c r="B72" s="31"/>
      <c r="C72" s="31"/>
      <c r="D72" s="32">
        <f t="shared" si="16"/>
        <v>1</v>
      </c>
      <c r="E72" s="33">
        <f t="shared" ref="E72:E135" si="18">F71</f>
        <v>0</v>
      </c>
      <c r="F72" s="33"/>
      <c r="G72" s="34">
        <f t="shared" ref="G72:G103" si="19">(F72-E72)/100</f>
        <v>0</v>
      </c>
      <c r="H72" s="39"/>
      <c r="I72" s="39"/>
      <c r="J72" s="39"/>
      <c r="K72" s="39"/>
      <c r="L72" s="36">
        <f t="shared" si="17"/>
        <v>0</v>
      </c>
      <c r="M72" s="36">
        <f t="shared" si="12"/>
        <v>0</v>
      </c>
      <c r="N72" s="36">
        <f t="shared" si="14"/>
        <v>0</v>
      </c>
      <c r="O72" s="36">
        <f t="shared" ref="O72:O94" si="20">+L72+M72+N72</f>
        <v>0</v>
      </c>
      <c r="P72" s="36" t="e">
        <f t="shared" ref="P72:P112" si="21">(O72/G72)</f>
        <v>#DIV/0!</v>
      </c>
      <c r="Q72" s="39">
        <v>150</v>
      </c>
      <c r="R72" s="27">
        <f t="shared" si="15"/>
        <v>0</v>
      </c>
      <c r="S72" s="37">
        <f t="shared" ref="S72:S135" si="22">R72-Q72</f>
        <v>-150</v>
      </c>
      <c r="T72" s="27">
        <f t="shared" si="10"/>
        <v>2738</v>
      </c>
      <c r="U72" s="41" t="s">
        <v>50</v>
      </c>
      <c r="V72" s="42"/>
    </row>
    <row r="73" spans="1:129" s="21" customFormat="1" x14ac:dyDescent="0.2">
      <c r="A73" s="30"/>
      <c r="B73" s="31"/>
      <c r="C73" s="31"/>
      <c r="D73" s="32">
        <f t="shared" si="16"/>
        <v>1</v>
      </c>
      <c r="E73" s="33">
        <f t="shared" si="18"/>
        <v>0</v>
      </c>
      <c r="F73" s="33"/>
      <c r="G73" s="34">
        <f t="shared" si="19"/>
        <v>0</v>
      </c>
      <c r="H73" s="39"/>
      <c r="I73" s="39"/>
      <c r="J73" s="39"/>
      <c r="K73" s="39"/>
      <c r="L73" s="36">
        <f t="shared" si="17"/>
        <v>0</v>
      </c>
      <c r="M73" s="36">
        <f t="shared" si="12"/>
        <v>0</v>
      </c>
      <c r="N73" s="36">
        <f t="shared" si="14"/>
        <v>0</v>
      </c>
      <c r="O73" s="36">
        <f t="shared" si="20"/>
        <v>0</v>
      </c>
      <c r="P73" s="36" t="e">
        <f t="shared" si="21"/>
        <v>#DIV/0!</v>
      </c>
      <c r="Q73" s="39">
        <v>150</v>
      </c>
      <c r="R73" s="27">
        <f>H73</f>
        <v>0</v>
      </c>
      <c r="S73" s="37">
        <f t="shared" si="22"/>
        <v>-150</v>
      </c>
      <c r="T73" s="27">
        <f t="shared" si="10"/>
        <v>2888</v>
      </c>
      <c r="U73" s="41" t="s">
        <v>35</v>
      </c>
      <c r="V73" s="42"/>
    </row>
    <row r="74" spans="1:129" s="21" customFormat="1" x14ac:dyDescent="0.2">
      <c r="A74" s="30"/>
      <c r="B74" s="31"/>
      <c r="C74" s="31"/>
      <c r="D74" s="32">
        <f t="shared" si="16"/>
        <v>1</v>
      </c>
      <c r="E74" s="33">
        <f t="shared" si="18"/>
        <v>0</v>
      </c>
      <c r="F74" s="27"/>
      <c r="G74" s="34">
        <f t="shared" si="19"/>
        <v>0</v>
      </c>
      <c r="H74" s="35"/>
      <c r="I74" s="39"/>
      <c r="J74" s="39"/>
      <c r="K74" s="39"/>
      <c r="L74" s="36">
        <f t="shared" si="17"/>
        <v>0</v>
      </c>
      <c r="M74" s="36">
        <f t="shared" si="12"/>
        <v>0</v>
      </c>
      <c r="N74" s="36">
        <f t="shared" si="14"/>
        <v>0</v>
      </c>
      <c r="O74" s="36">
        <f t="shared" si="20"/>
        <v>0</v>
      </c>
      <c r="P74" s="36" t="e">
        <f t="shared" si="21"/>
        <v>#DIV/0!</v>
      </c>
      <c r="Q74" s="39">
        <v>100</v>
      </c>
      <c r="R74" s="27">
        <f t="shared" ref="R74:R106" si="23">H74</f>
        <v>0</v>
      </c>
      <c r="S74" s="37">
        <f t="shared" si="22"/>
        <v>-100</v>
      </c>
      <c r="T74" s="27">
        <f t="shared" si="10"/>
        <v>2988</v>
      </c>
      <c r="U74" s="41" t="s">
        <v>34</v>
      </c>
      <c r="V74" s="42"/>
    </row>
    <row r="75" spans="1:129" ht="15.75" x14ac:dyDescent="0.25">
      <c r="A75" s="30"/>
      <c r="B75" s="31"/>
      <c r="C75" s="31"/>
      <c r="D75" s="32">
        <f t="shared" si="16"/>
        <v>1</v>
      </c>
      <c r="E75" s="33">
        <f t="shared" si="18"/>
        <v>0</v>
      </c>
      <c r="F75" s="27"/>
      <c r="G75" s="34">
        <f t="shared" si="19"/>
        <v>0</v>
      </c>
      <c r="H75" s="35"/>
      <c r="I75" s="35"/>
      <c r="J75" s="35"/>
      <c r="K75" s="35"/>
      <c r="L75" s="36">
        <f>+H75*$H$6</f>
        <v>0</v>
      </c>
      <c r="M75" s="36">
        <f t="shared" si="12"/>
        <v>0</v>
      </c>
      <c r="N75" s="36">
        <f>+J75*$J$6+(K75*15)</f>
        <v>0</v>
      </c>
      <c r="O75" s="36">
        <f t="shared" si="20"/>
        <v>0</v>
      </c>
      <c r="P75" s="36" t="e">
        <f t="shared" si="21"/>
        <v>#DIV/0!</v>
      </c>
      <c r="Q75" s="27">
        <v>100</v>
      </c>
      <c r="R75" s="27">
        <f t="shared" si="23"/>
        <v>0</v>
      </c>
      <c r="S75" s="37">
        <f t="shared" si="22"/>
        <v>-100</v>
      </c>
      <c r="T75" s="27">
        <f t="shared" ref="T75:T138" si="24">T74-(S75)</f>
        <v>3088</v>
      </c>
      <c r="U75" s="41" t="s">
        <v>36</v>
      </c>
      <c r="V75" s="42"/>
    </row>
    <row r="76" spans="1:129" s="21" customFormat="1" x14ac:dyDescent="0.2">
      <c r="A76" s="30"/>
      <c r="B76" s="31"/>
      <c r="C76" s="31"/>
      <c r="D76" s="32">
        <f t="shared" si="16"/>
        <v>1</v>
      </c>
      <c r="E76" s="33">
        <f t="shared" si="18"/>
        <v>0</v>
      </c>
      <c r="F76" s="27"/>
      <c r="G76" s="34">
        <f t="shared" si="19"/>
        <v>0</v>
      </c>
      <c r="H76" s="39"/>
      <c r="I76" s="39"/>
      <c r="J76" s="39"/>
      <c r="K76" s="39"/>
      <c r="L76" s="36">
        <f>+H76*$H$6</f>
        <v>0</v>
      </c>
      <c r="M76" s="36">
        <f t="shared" si="12"/>
        <v>0</v>
      </c>
      <c r="N76" s="36">
        <f t="shared" ref="N76:N139" si="25">+J76*$J$6+(K76*15)</f>
        <v>0</v>
      </c>
      <c r="O76" s="36">
        <f t="shared" si="20"/>
        <v>0</v>
      </c>
      <c r="P76" s="36" t="e">
        <f t="shared" si="21"/>
        <v>#DIV/0!</v>
      </c>
      <c r="Q76" s="39">
        <v>150</v>
      </c>
      <c r="R76" s="27">
        <f t="shared" si="23"/>
        <v>0</v>
      </c>
      <c r="S76" s="37">
        <f t="shared" si="22"/>
        <v>-150</v>
      </c>
      <c r="T76" s="27">
        <f t="shared" si="24"/>
        <v>3238</v>
      </c>
      <c r="U76" s="41" t="s">
        <v>50</v>
      </c>
      <c r="V76" s="42"/>
    </row>
    <row r="77" spans="1:129" s="47" customFormat="1" x14ac:dyDescent="0.2">
      <c r="A77" s="30"/>
      <c r="B77" s="31"/>
      <c r="C77" s="31"/>
      <c r="D77" s="32">
        <f t="shared" si="16"/>
        <v>1</v>
      </c>
      <c r="E77" s="33">
        <f t="shared" si="18"/>
        <v>0</v>
      </c>
      <c r="F77" s="27"/>
      <c r="G77" s="34">
        <f t="shared" si="19"/>
        <v>0</v>
      </c>
      <c r="H77" s="44"/>
      <c r="I77" s="44"/>
      <c r="J77" s="44"/>
      <c r="K77" s="44"/>
      <c r="L77" s="44">
        <f>+H77*$H$6</f>
        <v>0</v>
      </c>
      <c r="M77" s="44">
        <f t="shared" si="12"/>
        <v>0</v>
      </c>
      <c r="N77" s="44">
        <f t="shared" si="25"/>
        <v>0</v>
      </c>
      <c r="O77" s="44">
        <f t="shared" si="20"/>
        <v>0</v>
      </c>
      <c r="P77" s="44" t="e">
        <f t="shared" si="21"/>
        <v>#DIV/0!</v>
      </c>
      <c r="Q77" s="44">
        <v>200</v>
      </c>
      <c r="R77" s="35">
        <f t="shared" si="23"/>
        <v>0</v>
      </c>
      <c r="S77" s="37">
        <f t="shared" si="22"/>
        <v>-200</v>
      </c>
      <c r="T77" s="27">
        <f t="shared" si="24"/>
        <v>3438</v>
      </c>
      <c r="U77" s="41" t="s">
        <v>35</v>
      </c>
      <c r="V77" s="42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</row>
    <row r="78" spans="1:129" s="21" customFormat="1" x14ac:dyDescent="0.2">
      <c r="A78" s="30"/>
      <c r="B78" s="31"/>
      <c r="C78" s="31"/>
      <c r="D78" s="32">
        <f t="shared" si="16"/>
        <v>1</v>
      </c>
      <c r="E78" s="33">
        <f t="shared" si="18"/>
        <v>0</v>
      </c>
      <c r="F78" s="27"/>
      <c r="G78" s="34">
        <f t="shared" si="19"/>
        <v>0</v>
      </c>
      <c r="H78" s="39"/>
      <c r="I78" s="39"/>
      <c r="J78" s="39"/>
      <c r="K78" s="39"/>
      <c r="L78" s="36">
        <f>+H78*$H$6</f>
        <v>0</v>
      </c>
      <c r="M78" s="36">
        <f t="shared" si="12"/>
        <v>0</v>
      </c>
      <c r="N78" s="36">
        <f t="shared" si="25"/>
        <v>0</v>
      </c>
      <c r="O78" s="36">
        <f t="shared" si="20"/>
        <v>0</v>
      </c>
      <c r="P78" s="36" t="e">
        <f t="shared" si="21"/>
        <v>#DIV/0!</v>
      </c>
      <c r="Q78" s="39">
        <v>100</v>
      </c>
      <c r="R78" s="27">
        <f t="shared" si="23"/>
        <v>0</v>
      </c>
      <c r="S78" s="37">
        <f t="shared" si="22"/>
        <v>-100</v>
      </c>
      <c r="T78" s="27">
        <f t="shared" si="24"/>
        <v>3538</v>
      </c>
      <c r="U78" s="41" t="s">
        <v>46</v>
      </c>
      <c r="V78" s="42"/>
    </row>
    <row r="79" spans="1:129" s="21" customFormat="1" x14ac:dyDescent="0.2">
      <c r="A79" s="30"/>
      <c r="B79" s="31"/>
      <c r="C79" s="31"/>
      <c r="D79" s="32">
        <f t="shared" si="16"/>
        <v>1</v>
      </c>
      <c r="E79" s="33">
        <f t="shared" si="18"/>
        <v>0</v>
      </c>
      <c r="F79" s="27"/>
      <c r="G79" s="34">
        <f t="shared" si="19"/>
        <v>0</v>
      </c>
      <c r="H79" s="39"/>
      <c r="I79" s="39"/>
      <c r="J79" s="39"/>
      <c r="K79" s="39"/>
      <c r="L79" s="36">
        <f t="shared" ref="L79:L116" si="26">+H79*$H$6</f>
        <v>0</v>
      </c>
      <c r="M79" s="36">
        <f t="shared" si="12"/>
        <v>0</v>
      </c>
      <c r="N79" s="36">
        <f t="shared" si="25"/>
        <v>0</v>
      </c>
      <c r="O79" s="36">
        <f t="shared" si="20"/>
        <v>0</v>
      </c>
      <c r="P79" s="36" t="e">
        <f t="shared" si="21"/>
        <v>#DIV/0!</v>
      </c>
      <c r="Q79" s="39">
        <v>100</v>
      </c>
      <c r="R79" s="27">
        <f t="shared" si="23"/>
        <v>0</v>
      </c>
      <c r="S79" s="37">
        <f t="shared" si="22"/>
        <v>-100</v>
      </c>
      <c r="T79" s="27">
        <f t="shared" si="24"/>
        <v>3638</v>
      </c>
      <c r="U79" s="41" t="s">
        <v>46</v>
      </c>
      <c r="V79" s="42"/>
    </row>
    <row r="80" spans="1:129" s="21" customFormat="1" x14ac:dyDescent="0.2">
      <c r="A80" s="30"/>
      <c r="B80" s="31"/>
      <c r="C80" s="31"/>
      <c r="D80" s="32">
        <f t="shared" si="16"/>
        <v>1</v>
      </c>
      <c r="E80" s="33">
        <f t="shared" si="18"/>
        <v>0</v>
      </c>
      <c r="F80" s="33"/>
      <c r="G80" s="34">
        <f t="shared" si="19"/>
        <v>0</v>
      </c>
      <c r="H80" s="39"/>
      <c r="I80" s="39"/>
      <c r="J80" s="39"/>
      <c r="K80" s="39"/>
      <c r="L80" s="36">
        <f t="shared" si="26"/>
        <v>0</v>
      </c>
      <c r="M80" s="36">
        <f t="shared" si="12"/>
        <v>0</v>
      </c>
      <c r="N80" s="36">
        <f t="shared" si="25"/>
        <v>0</v>
      </c>
      <c r="O80" s="36">
        <f t="shared" si="20"/>
        <v>0</v>
      </c>
      <c r="P80" s="36" t="e">
        <f t="shared" si="21"/>
        <v>#DIV/0!</v>
      </c>
      <c r="Q80" s="39">
        <v>150</v>
      </c>
      <c r="R80" s="27">
        <f t="shared" si="23"/>
        <v>0</v>
      </c>
      <c r="S80" s="37">
        <f t="shared" si="22"/>
        <v>-150</v>
      </c>
      <c r="T80" s="27">
        <f t="shared" si="24"/>
        <v>3788</v>
      </c>
      <c r="U80" s="41" t="s">
        <v>50</v>
      </c>
      <c r="V80" s="42"/>
    </row>
    <row r="81" spans="1:216" s="21" customFormat="1" x14ac:dyDescent="0.2">
      <c r="A81" s="30"/>
      <c r="B81" s="31"/>
      <c r="C81" s="31"/>
      <c r="D81" s="32">
        <f t="shared" si="16"/>
        <v>1</v>
      </c>
      <c r="E81" s="33">
        <f t="shared" si="18"/>
        <v>0</v>
      </c>
      <c r="F81" s="33"/>
      <c r="G81" s="34">
        <f t="shared" si="19"/>
        <v>0</v>
      </c>
      <c r="H81" s="39"/>
      <c r="I81" s="39"/>
      <c r="J81" s="39"/>
      <c r="K81" s="39"/>
      <c r="L81" s="36">
        <f t="shared" si="26"/>
        <v>0</v>
      </c>
      <c r="M81" s="36">
        <f t="shared" si="12"/>
        <v>0</v>
      </c>
      <c r="N81" s="36">
        <f t="shared" si="25"/>
        <v>0</v>
      </c>
      <c r="O81" s="36">
        <f t="shared" si="20"/>
        <v>0</v>
      </c>
      <c r="P81" s="36" t="e">
        <f t="shared" si="21"/>
        <v>#DIV/0!</v>
      </c>
      <c r="Q81" s="39">
        <v>200</v>
      </c>
      <c r="R81" s="27">
        <f t="shared" si="23"/>
        <v>0</v>
      </c>
      <c r="S81" s="37">
        <f t="shared" si="22"/>
        <v>-200</v>
      </c>
      <c r="T81" s="27">
        <f t="shared" si="24"/>
        <v>3988</v>
      </c>
      <c r="U81" s="41" t="s">
        <v>35</v>
      </c>
      <c r="V81" s="42"/>
    </row>
    <row r="82" spans="1:216" s="21" customFormat="1" x14ac:dyDescent="0.2">
      <c r="A82" s="30"/>
      <c r="B82" s="31"/>
      <c r="C82" s="31"/>
      <c r="D82" s="32">
        <f t="shared" si="16"/>
        <v>1</v>
      </c>
      <c r="E82" s="33">
        <f t="shared" si="18"/>
        <v>0</v>
      </c>
      <c r="F82" s="33"/>
      <c r="G82" s="34">
        <f t="shared" si="19"/>
        <v>0</v>
      </c>
      <c r="H82" s="39"/>
      <c r="I82" s="39"/>
      <c r="J82" s="39"/>
      <c r="K82" s="39"/>
      <c r="L82" s="36">
        <f t="shared" si="26"/>
        <v>0</v>
      </c>
      <c r="M82" s="36">
        <f t="shared" si="12"/>
        <v>0</v>
      </c>
      <c r="N82" s="36">
        <f t="shared" si="25"/>
        <v>0</v>
      </c>
      <c r="O82" s="36">
        <f t="shared" si="20"/>
        <v>0</v>
      </c>
      <c r="P82" s="36" t="e">
        <f t="shared" si="21"/>
        <v>#DIV/0!</v>
      </c>
      <c r="Q82" s="39">
        <v>100</v>
      </c>
      <c r="R82" s="27">
        <f t="shared" si="23"/>
        <v>0</v>
      </c>
      <c r="S82" s="37">
        <f t="shared" si="22"/>
        <v>-100</v>
      </c>
      <c r="T82" s="27">
        <f t="shared" si="24"/>
        <v>4088</v>
      </c>
      <c r="U82" s="41" t="s">
        <v>44</v>
      </c>
      <c r="V82" s="42"/>
    </row>
    <row r="83" spans="1:216" s="21" customFormat="1" x14ac:dyDescent="0.2">
      <c r="A83" s="30"/>
      <c r="B83" s="31"/>
      <c r="C83" s="31"/>
      <c r="D83" s="32">
        <f t="shared" si="16"/>
        <v>1</v>
      </c>
      <c r="E83" s="33">
        <f t="shared" si="18"/>
        <v>0</v>
      </c>
      <c r="F83" s="33"/>
      <c r="G83" s="34">
        <f t="shared" si="19"/>
        <v>0</v>
      </c>
      <c r="H83" s="39"/>
      <c r="I83" s="39"/>
      <c r="J83" s="39"/>
      <c r="K83" s="39"/>
      <c r="L83" s="36">
        <f t="shared" si="26"/>
        <v>0</v>
      </c>
      <c r="M83" s="36">
        <f t="shared" si="12"/>
        <v>0</v>
      </c>
      <c r="N83" s="36">
        <f t="shared" si="25"/>
        <v>0</v>
      </c>
      <c r="O83" s="36">
        <f>+L83+M83+N83</f>
        <v>0</v>
      </c>
      <c r="P83" s="36" t="e">
        <f t="shared" si="21"/>
        <v>#DIV/0!</v>
      </c>
      <c r="Q83" s="39">
        <v>100</v>
      </c>
      <c r="R83" s="27">
        <f t="shared" si="23"/>
        <v>0</v>
      </c>
      <c r="S83" s="37">
        <f t="shared" si="22"/>
        <v>-100</v>
      </c>
      <c r="T83" s="27">
        <f t="shared" si="24"/>
        <v>4188</v>
      </c>
      <c r="U83" s="41" t="s">
        <v>44</v>
      </c>
      <c r="V83" s="42"/>
    </row>
    <row r="84" spans="1:216" s="21" customFormat="1" x14ac:dyDescent="0.2">
      <c r="A84" s="30"/>
      <c r="B84" s="31"/>
      <c r="C84" s="31"/>
      <c r="D84" s="32">
        <f t="shared" si="16"/>
        <v>1</v>
      </c>
      <c r="E84" s="33">
        <f t="shared" si="18"/>
        <v>0</v>
      </c>
      <c r="F84" s="33"/>
      <c r="G84" s="34">
        <f t="shared" si="19"/>
        <v>0</v>
      </c>
      <c r="H84" s="39"/>
      <c r="I84" s="39"/>
      <c r="J84" s="39"/>
      <c r="K84" s="39"/>
      <c r="L84" s="36">
        <f t="shared" si="26"/>
        <v>0</v>
      </c>
      <c r="M84" s="36">
        <f t="shared" si="12"/>
        <v>0</v>
      </c>
      <c r="N84" s="36">
        <f t="shared" si="25"/>
        <v>0</v>
      </c>
      <c r="O84" s="36">
        <f t="shared" ref="O84:O145" si="27">+L84+M84+N84</f>
        <v>0</v>
      </c>
      <c r="P84" s="36" t="e">
        <f t="shared" si="21"/>
        <v>#DIV/0!</v>
      </c>
      <c r="Q84" s="39">
        <v>150</v>
      </c>
      <c r="R84" s="27">
        <f t="shared" si="23"/>
        <v>0</v>
      </c>
      <c r="S84" s="37">
        <f t="shared" si="22"/>
        <v>-150</v>
      </c>
      <c r="T84" s="27">
        <f t="shared" si="24"/>
        <v>4338</v>
      </c>
      <c r="U84" s="41" t="s">
        <v>41</v>
      </c>
      <c r="V84" s="42"/>
    </row>
    <row r="85" spans="1:216" s="21" customFormat="1" x14ac:dyDescent="0.2">
      <c r="A85" s="30"/>
      <c r="B85" s="31"/>
      <c r="C85" s="31"/>
      <c r="D85" s="32">
        <f t="shared" si="16"/>
        <v>1</v>
      </c>
      <c r="E85" s="33">
        <f t="shared" si="18"/>
        <v>0</v>
      </c>
      <c r="F85" s="33"/>
      <c r="G85" s="34">
        <v>12</v>
      </c>
      <c r="H85" s="39"/>
      <c r="I85" s="39"/>
      <c r="J85" s="39"/>
      <c r="K85" s="39"/>
      <c r="L85" s="36">
        <f t="shared" si="26"/>
        <v>0</v>
      </c>
      <c r="M85" s="36">
        <f t="shared" si="12"/>
        <v>0</v>
      </c>
      <c r="N85" s="36">
        <f t="shared" si="25"/>
        <v>0</v>
      </c>
      <c r="O85" s="36">
        <f t="shared" si="27"/>
        <v>0</v>
      </c>
      <c r="P85" s="36">
        <f t="shared" si="21"/>
        <v>0</v>
      </c>
      <c r="Q85" s="39">
        <v>300</v>
      </c>
      <c r="R85" s="27">
        <f t="shared" si="23"/>
        <v>0</v>
      </c>
      <c r="S85" s="37">
        <f t="shared" si="22"/>
        <v>-300</v>
      </c>
      <c r="T85" s="27">
        <f t="shared" si="24"/>
        <v>4638</v>
      </c>
      <c r="U85" s="41" t="s">
        <v>35</v>
      </c>
      <c r="V85" s="42"/>
    </row>
    <row r="86" spans="1:216" s="21" customFormat="1" x14ac:dyDescent="0.2">
      <c r="A86" s="30"/>
      <c r="B86" s="31"/>
      <c r="C86" s="31"/>
      <c r="D86" s="32">
        <f t="shared" si="16"/>
        <v>1</v>
      </c>
      <c r="E86" s="33">
        <f t="shared" si="18"/>
        <v>0</v>
      </c>
      <c r="F86" s="33"/>
      <c r="G86" s="34">
        <f t="shared" si="19"/>
        <v>0</v>
      </c>
      <c r="H86" s="39"/>
      <c r="I86" s="39"/>
      <c r="J86" s="39"/>
      <c r="K86" s="39"/>
      <c r="L86" s="36">
        <f t="shared" si="26"/>
        <v>0</v>
      </c>
      <c r="M86" s="36">
        <f t="shared" si="12"/>
        <v>0</v>
      </c>
      <c r="N86" s="36">
        <f t="shared" si="25"/>
        <v>0</v>
      </c>
      <c r="O86" s="36">
        <f t="shared" si="27"/>
        <v>0</v>
      </c>
      <c r="P86" s="36" t="e">
        <f t="shared" si="21"/>
        <v>#DIV/0!</v>
      </c>
      <c r="Q86" s="39">
        <v>250</v>
      </c>
      <c r="R86" s="27">
        <f t="shared" si="23"/>
        <v>0</v>
      </c>
      <c r="S86" s="37">
        <f t="shared" si="22"/>
        <v>-250</v>
      </c>
      <c r="T86" s="27">
        <f t="shared" si="24"/>
        <v>4888</v>
      </c>
      <c r="U86" s="41" t="s">
        <v>36</v>
      </c>
      <c r="V86" s="42"/>
    </row>
    <row r="87" spans="1:216" s="21" customFormat="1" x14ac:dyDescent="0.2">
      <c r="A87" s="30"/>
      <c r="B87" s="31"/>
      <c r="C87" s="31"/>
      <c r="D87" s="32">
        <f t="shared" si="16"/>
        <v>1</v>
      </c>
      <c r="E87" s="33">
        <f t="shared" si="18"/>
        <v>0</v>
      </c>
      <c r="F87" s="33"/>
      <c r="G87" s="34">
        <f t="shared" si="19"/>
        <v>0</v>
      </c>
      <c r="H87" s="39"/>
      <c r="I87" s="39"/>
      <c r="J87" s="39"/>
      <c r="K87" s="39"/>
      <c r="L87" s="36">
        <f t="shared" si="26"/>
        <v>0</v>
      </c>
      <c r="M87" s="36">
        <f t="shared" si="12"/>
        <v>0</v>
      </c>
      <c r="N87" s="36">
        <f>+J87*$J$6+(K87*15)</f>
        <v>0</v>
      </c>
      <c r="O87" s="36">
        <f t="shared" si="27"/>
        <v>0</v>
      </c>
      <c r="P87" s="36" t="e">
        <f t="shared" si="21"/>
        <v>#DIV/0!</v>
      </c>
      <c r="Q87" s="39">
        <v>100</v>
      </c>
      <c r="R87" s="27">
        <f t="shared" si="23"/>
        <v>0</v>
      </c>
      <c r="S87" s="37">
        <f t="shared" si="22"/>
        <v>-100</v>
      </c>
      <c r="T87" s="27">
        <f t="shared" si="24"/>
        <v>4988</v>
      </c>
      <c r="U87" s="41" t="s">
        <v>45</v>
      </c>
      <c r="V87" s="42"/>
    </row>
    <row r="88" spans="1:216" s="21" customFormat="1" x14ac:dyDescent="0.2">
      <c r="A88" s="30"/>
      <c r="B88" s="31"/>
      <c r="C88" s="31"/>
      <c r="D88" s="32">
        <f t="shared" si="16"/>
        <v>1</v>
      </c>
      <c r="E88" s="33">
        <f t="shared" si="18"/>
        <v>0</v>
      </c>
      <c r="F88" s="33"/>
      <c r="G88" s="34">
        <f t="shared" si="19"/>
        <v>0</v>
      </c>
      <c r="H88" s="39"/>
      <c r="I88" s="39"/>
      <c r="J88" s="39"/>
      <c r="K88" s="39"/>
      <c r="L88" s="36">
        <f t="shared" si="26"/>
        <v>0</v>
      </c>
      <c r="M88" s="36">
        <f t="shared" si="12"/>
        <v>0</v>
      </c>
      <c r="N88" s="36">
        <f t="shared" si="25"/>
        <v>0</v>
      </c>
      <c r="O88" s="36">
        <f t="shared" si="27"/>
        <v>0</v>
      </c>
      <c r="P88" s="36" t="e">
        <f t="shared" si="21"/>
        <v>#DIV/0!</v>
      </c>
      <c r="Q88" s="39">
        <v>100</v>
      </c>
      <c r="R88" s="27">
        <f t="shared" si="23"/>
        <v>0</v>
      </c>
      <c r="S88" s="37">
        <f t="shared" si="22"/>
        <v>-100</v>
      </c>
      <c r="T88" s="27">
        <f t="shared" si="24"/>
        <v>5088</v>
      </c>
      <c r="U88" s="41" t="s">
        <v>35</v>
      </c>
      <c r="V88" s="42"/>
    </row>
    <row r="89" spans="1:216" s="48" customFormat="1" x14ac:dyDescent="0.2">
      <c r="A89" s="30"/>
      <c r="B89" s="31"/>
      <c r="C89" s="31"/>
      <c r="D89" s="32">
        <f t="shared" si="16"/>
        <v>1</v>
      </c>
      <c r="E89" s="33">
        <f t="shared" si="18"/>
        <v>0</v>
      </c>
      <c r="F89" s="43"/>
      <c r="G89" s="34">
        <f t="shared" si="19"/>
        <v>0</v>
      </c>
      <c r="H89" s="44"/>
      <c r="I89" s="44"/>
      <c r="J89" s="44"/>
      <c r="K89" s="44"/>
      <c r="L89" s="36">
        <f t="shared" si="26"/>
        <v>0</v>
      </c>
      <c r="M89" s="36">
        <f t="shared" si="12"/>
        <v>0</v>
      </c>
      <c r="N89" s="36">
        <f t="shared" si="25"/>
        <v>0</v>
      </c>
      <c r="O89" s="36">
        <f t="shared" si="27"/>
        <v>0</v>
      </c>
      <c r="P89" s="36" t="e">
        <f t="shared" si="21"/>
        <v>#DIV/0!</v>
      </c>
      <c r="Q89" s="44">
        <v>50</v>
      </c>
      <c r="R89" s="35">
        <f t="shared" si="23"/>
        <v>0</v>
      </c>
      <c r="S89" s="37">
        <f t="shared" si="22"/>
        <v>-50</v>
      </c>
      <c r="T89" s="27">
        <f t="shared" si="24"/>
        <v>5138</v>
      </c>
      <c r="U89" s="41" t="s">
        <v>35</v>
      </c>
      <c r="V89" s="42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  <c r="GL89" s="45"/>
      <c r="GM89" s="45"/>
      <c r="GN89" s="45"/>
      <c r="GO89" s="45"/>
      <c r="GP89" s="45"/>
      <c r="GQ89" s="45"/>
      <c r="GR89" s="45"/>
      <c r="GS89" s="45"/>
      <c r="GT89" s="45"/>
      <c r="GU89" s="45"/>
      <c r="GV89" s="45"/>
      <c r="GW89" s="45"/>
      <c r="GX89" s="45"/>
      <c r="GY89" s="45"/>
      <c r="GZ89" s="45"/>
      <c r="HA89" s="45"/>
      <c r="HB89" s="45"/>
      <c r="HC89" s="45"/>
      <c r="HD89" s="45"/>
      <c r="HE89" s="45"/>
      <c r="HF89" s="45"/>
      <c r="HG89" s="45"/>
      <c r="HH89" s="45"/>
    </row>
    <row r="90" spans="1:216" s="46" customFormat="1" x14ac:dyDescent="0.2">
      <c r="A90" s="30"/>
      <c r="B90" s="31"/>
      <c r="C90" s="31"/>
      <c r="D90" s="32">
        <f t="shared" si="16"/>
        <v>1</v>
      </c>
      <c r="E90" s="33">
        <f t="shared" si="18"/>
        <v>0</v>
      </c>
      <c r="F90" s="43"/>
      <c r="G90" s="34">
        <f t="shared" si="19"/>
        <v>0</v>
      </c>
      <c r="H90" s="44"/>
      <c r="I90" s="44"/>
      <c r="J90" s="44"/>
      <c r="K90" s="44"/>
      <c r="L90" s="36">
        <f t="shared" si="26"/>
        <v>0</v>
      </c>
      <c r="M90" s="36">
        <f t="shared" si="12"/>
        <v>0</v>
      </c>
      <c r="N90" s="36">
        <f t="shared" si="25"/>
        <v>0</v>
      </c>
      <c r="O90" s="36">
        <f t="shared" si="27"/>
        <v>0</v>
      </c>
      <c r="P90" s="36" t="e">
        <f t="shared" si="21"/>
        <v>#DIV/0!</v>
      </c>
      <c r="Q90" s="44">
        <v>100</v>
      </c>
      <c r="R90" s="35">
        <f t="shared" si="23"/>
        <v>0</v>
      </c>
      <c r="S90" s="37">
        <f t="shared" si="22"/>
        <v>-100</v>
      </c>
      <c r="T90" s="27">
        <f t="shared" si="24"/>
        <v>5238</v>
      </c>
      <c r="U90" s="41" t="s">
        <v>36</v>
      </c>
      <c r="V90" s="42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  <c r="GL90" s="45"/>
      <c r="GM90" s="45"/>
      <c r="GN90" s="45"/>
      <c r="GO90" s="45"/>
      <c r="GP90" s="45"/>
      <c r="GQ90" s="45"/>
      <c r="GR90" s="45"/>
      <c r="GS90" s="45"/>
      <c r="GT90" s="45"/>
      <c r="GU90" s="45"/>
      <c r="GV90" s="45"/>
      <c r="GW90" s="45"/>
      <c r="GX90" s="45"/>
      <c r="GY90" s="45"/>
      <c r="GZ90" s="45"/>
      <c r="HA90" s="45"/>
      <c r="HB90" s="45"/>
      <c r="HC90" s="45"/>
      <c r="HD90" s="45"/>
      <c r="HE90" s="45"/>
      <c r="HF90" s="45"/>
      <c r="HG90" s="45"/>
      <c r="HH90" s="45"/>
    </row>
    <row r="91" spans="1:216" s="21" customFormat="1" x14ac:dyDescent="0.2">
      <c r="A91" s="30"/>
      <c r="B91" s="31"/>
      <c r="C91" s="31"/>
      <c r="D91" s="32">
        <f t="shared" si="16"/>
        <v>1</v>
      </c>
      <c r="E91" s="33">
        <f t="shared" si="18"/>
        <v>0</v>
      </c>
      <c r="F91" s="27"/>
      <c r="G91" s="34">
        <f t="shared" si="19"/>
        <v>0</v>
      </c>
      <c r="H91" s="39"/>
      <c r="I91" s="39"/>
      <c r="J91" s="39"/>
      <c r="K91" s="39"/>
      <c r="L91" s="36">
        <f t="shared" si="26"/>
        <v>0</v>
      </c>
      <c r="M91" s="36">
        <f t="shared" si="12"/>
        <v>0</v>
      </c>
      <c r="N91" s="36">
        <f t="shared" si="25"/>
        <v>0</v>
      </c>
      <c r="O91" s="36">
        <f t="shared" si="27"/>
        <v>0</v>
      </c>
      <c r="P91" s="36" t="e">
        <f t="shared" si="21"/>
        <v>#DIV/0!</v>
      </c>
      <c r="Q91" s="39">
        <v>250</v>
      </c>
      <c r="R91" s="27">
        <f t="shared" si="23"/>
        <v>0</v>
      </c>
      <c r="S91" s="37">
        <f t="shared" si="22"/>
        <v>-250</v>
      </c>
      <c r="T91" s="27">
        <f t="shared" si="24"/>
        <v>5488</v>
      </c>
      <c r="U91" s="41" t="s">
        <v>34</v>
      </c>
      <c r="V91" s="42"/>
    </row>
    <row r="92" spans="1:216" s="21" customFormat="1" x14ac:dyDescent="0.2">
      <c r="A92" s="30"/>
      <c r="B92" s="31"/>
      <c r="C92" s="31"/>
      <c r="D92" s="32">
        <f t="shared" si="16"/>
        <v>1</v>
      </c>
      <c r="E92" s="33">
        <f t="shared" si="18"/>
        <v>0</v>
      </c>
      <c r="F92" s="33"/>
      <c r="G92" s="34">
        <f t="shared" si="19"/>
        <v>0</v>
      </c>
      <c r="H92" s="39"/>
      <c r="I92" s="39"/>
      <c r="J92" s="39"/>
      <c r="K92" s="39"/>
      <c r="L92" s="36">
        <f t="shared" si="26"/>
        <v>0</v>
      </c>
      <c r="M92" s="36">
        <f t="shared" si="12"/>
        <v>0</v>
      </c>
      <c r="N92" s="36">
        <f t="shared" si="25"/>
        <v>0</v>
      </c>
      <c r="O92" s="36">
        <f t="shared" si="27"/>
        <v>0</v>
      </c>
      <c r="P92" s="36" t="e">
        <f t="shared" si="21"/>
        <v>#DIV/0!</v>
      </c>
      <c r="Q92" s="39">
        <v>100</v>
      </c>
      <c r="R92" s="27">
        <f t="shared" si="23"/>
        <v>0</v>
      </c>
      <c r="S92" s="37">
        <f t="shared" si="22"/>
        <v>-100</v>
      </c>
      <c r="T92" s="27">
        <f t="shared" si="24"/>
        <v>5588</v>
      </c>
      <c r="U92" s="41" t="s">
        <v>41</v>
      </c>
      <c r="V92" s="42"/>
    </row>
    <row r="93" spans="1:216" s="21" customFormat="1" x14ac:dyDescent="0.2">
      <c r="A93" s="30"/>
      <c r="B93" s="31"/>
      <c r="C93" s="31"/>
      <c r="D93" s="32">
        <f t="shared" si="16"/>
        <v>1</v>
      </c>
      <c r="E93" s="33">
        <f t="shared" si="18"/>
        <v>0</v>
      </c>
      <c r="F93" s="33"/>
      <c r="G93" s="34">
        <f t="shared" si="19"/>
        <v>0</v>
      </c>
      <c r="H93" s="39"/>
      <c r="I93" s="39"/>
      <c r="J93" s="39"/>
      <c r="K93" s="39"/>
      <c r="L93" s="36">
        <f t="shared" si="26"/>
        <v>0</v>
      </c>
      <c r="M93" s="36">
        <f t="shared" si="12"/>
        <v>0</v>
      </c>
      <c r="N93" s="36">
        <f t="shared" si="25"/>
        <v>0</v>
      </c>
      <c r="O93" s="36">
        <f t="shared" si="27"/>
        <v>0</v>
      </c>
      <c r="P93" s="36" t="e">
        <f t="shared" si="21"/>
        <v>#DIV/0!</v>
      </c>
      <c r="Q93" s="39">
        <v>200</v>
      </c>
      <c r="R93" s="27">
        <f t="shared" si="23"/>
        <v>0</v>
      </c>
      <c r="S93" s="37">
        <f t="shared" si="22"/>
        <v>-200</v>
      </c>
      <c r="T93" s="27">
        <f t="shared" si="24"/>
        <v>5788</v>
      </c>
      <c r="U93" s="41" t="s">
        <v>36</v>
      </c>
      <c r="V93" s="42"/>
    </row>
    <row r="94" spans="1:216" s="21" customFormat="1" x14ac:dyDescent="0.2">
      <c r="A94" s="30"/>
      <c r="B94" s="31"/>
      <c r="C94" s="31"/>
      <c r="D94" s="32">
        <f t="shared" si="16"/>
        <v>1</v>
      </c>
      <c r="E94" s="33">
        <f t="shared" si="18"/>
        <v>0</v>
      </c>
      <c r="F94" s="33"/>
      <c r="G94" s="34">
        <f t="shared" si="19"/>
        <v>0</v>
      </c>
      <c r="H94" s="39"/>
      <c r="I94" s="39"/>
      <c r="J94" s="39"/>
      <c r="K94" s="39"/>
      <c r="L94" s="36">
        <f t="shared" si="26"/>
        <v>0</v>
      </c>
      <c r="M94" s="36">
        <f t="shared" si="12"/>
        <v>0</v>
      </c>
      <c r="N94" s="36">
        <f t="shared" si="25"/>
        <v>0</v>
      </c>
      <c r="O94" s="36">
        <f t="shared" si="27"/>
        <v>0</v>
      </c>
      <c r="P94" s="36" t="e">
        <f t="shared" si="21"/>
        <v>#DIV/0!</v>
      </c>
      <c r="Q94" s="39">
        <v>200</v>
      </c>
      <c r="R94" s="27">
        <f t="shared" si="23"/>
        <v>0</v>
      </c>
      <c r="S94" s="37">
        <f t="shared" si="22"/>
        <v>-200</v>
      </c>
      <c r="T94" s="27">
        <f t="shared" si="24"/>
        <v>5988</v>
      </c>
      <c r="U94" s="41" t="s">
        <v>41</v>
      </c>
      <c r="V94" s="42"/>
    </row>
    <row r="95" spans="1:216" s="21" customFormat="1" x14ac:dyDescent="0.2">
      <c r="A95" s="30"/>
      <c r="B95" s="31"/>
      <c r="C95" s="31"/>
      <c r="D95" s="32">
        <f t="shared" si="16"/>
        <v>1</v>
      </c>
      <c r="E95" s="33">
        <f t="shared" si="18"/>
        <v>0</v>
      </c>
      <c r="F95" s="33"/>
      <c r="G95" s="34">
        <f t="shared" si="19"/>
        <v>0</v>
      </c>
      <c r="H95" s="39"/>
      <c r="I95" s="39"/>
      <c r="J95" s="39"/>
      <c r="K95" s="39"/>
      <c r="L95" s="36">
        <f t="shared" si="26"/>
        <v>0</v>
      </c>
      <c r="M95" s="36">
        <f t="shared" si="12"/>
        <v>0</v>
      </c>
      <c r="N95" s="36">
        <f t="shared" si="25"/>
        <v>0</v>
      </c>
      <c r="O95" s="36">
        <f t="shared" si="27"/>
        <v>0</v>
      </c>
      <c r="P95" s="36" t="e">
        <f t="shared" si="21"/>
        <v>#DIV/0!</v>
      </c>
      <c r="Q95" s="39">
        <v>50</v>
      </c>
      <c r="R95" s="27">
        <f t="shared" si="23"/>
        <v>0</v>
      </c>
      <c r="S95" s="37">
        <f t="shared" si="22"/>
        <v>-50</v>
      </c>
      <c r="T95" s="27">
        <f t="shared" si="24"/>
        <v>6038</v>
      </c>
      <c r="U95" s="41" t="s">
        <v>35</v>
      </c>
      <c r="V95" s="42"/>
    </row>
    <row r="96" spans="1:216" s="21" customFormat="1" x14ac:dyDescent="0.2">
      <c r="A96" s="30"/>
      <c r="B96" s="31"/>
      <c r="C96" s="31"/>
      <c r="D96" s="32">
        <f t="shared" si="16"/>
        <v>1</v>
      </c>
      <c r="E96" s="33">
        <f t="shared" si="18"/>
        <v>0</v>
      </c>
      <c r="F96" s="33"/>
      <c r="G96" s="34">
        <f t="shared" si="19"/>
        <v>0</v>
      </c>
      <c r="H96" s="39"/>
      <c r="I96" s="39"/>
      <c r="J96" s="39"/>
      <c r="K96" s="39"/>
      <c r="L96" s="36">
        <f t="shared" si="26"/>
        <v>0</v>
      </c>
      <c r="M96" s="36">
        <f t="shared" si="12"/>
        <v>0</v>
      </c>
      <c r="N96" s="36">
        <f t="shared" si="25"/>
        <v>0</v>
      </c>
      <c r="O96" s="36">
        <f t="shared" si="27"/>
        <v>0</v>
      </c>
      <c r="P96" s="36" t="e">
        <f t="shared" si="21"/>
        <v>#DIV/0!</v>
      </c>
      <c r="Q96" s="39">
        <v>100</v>
      </c>
      <c r="R96" s="27">
        <f t="shared" si="23"/>
        <v>0</v>
      </c>
      <c r="S96" s="37">
        <f t="shared" si="22"/>
        <v>-100</v>
      </c>
      <c r="T96" s="27">
        <f t="shared" si="24"/>
        <v>6138</v>
      </c>
      <c r="U96" s="41" t="s">
        <v>39</v>
      </c>
      <c r="V96" s="42"/>
    </row>
    <row r="97" spans="1:22" s="21" customFormat="1" x14ac:dyDescent="0.2">
      <c r="A97" s="30"/>
      <c r="B97" s="31"/>
      <c r="C97" s="31"/>
      <c r="D97" s="32">
        <f t="shared" si="16"/>
        <v>1</v>
      </c>
      <c r="E97" s="33">
        <f t="shared" si="18"/>
        <v>0</v>
      </c>
      <c r="F97" s="33"/>
      <c r="G97" s="34">
        <f t="shared" si="19"/>
        <v>0</v>
      </c>
      <c r="H97" s="39"/>
      <c r="I97" s="39"/>
      <c r="J97" s="39"/>
      <c r="K97" s="39"/>
      <c r="L97" s="36">
        <f t="shared" si="26"/>
        <v>0</v>
      </c>
      <c r="M97" s="36">
        <f t="shared" si="12"/>
        <v>0</v>
      </c>
      <c r="N97" s="36">
        <f t="shared" si="25"/>
        <v>0</v>
      </c>
      <c r="O97" s="36">
        <f t="shared" si="27"/>
        <v>0</v>
      </c>
      <c r="P97" s="36" t="e">
        <f t="shared" si="21"/>
        <v>#DIV/0!</v>
      </c>
      <c r="Q97" s="39">
        <v>200</v>
      </c>
      <c r="R97" s="27">
        <f t="shared" si="23"/>
        <v>0</v>
      </c>
      <c r="S97" s="37">
        <f t="shared" si="22"/>
        <v>-200</v>
      </c>
      <c r="T97" s="27">
        <f t="shared" si="24"/>
        <v>6338</v>
      </c>
      <c r="U97" s="41" t="s">
        <v>36</v>
      </c>
      <c r="V97" s="42"/>
    </row>
    <row r="98" spans="1:22" s="21" customFormat="1" x14ac:dyDescent="0.2">
      <c r="A98" s="30"/>
      <c r="B98" s="31"/>
      <c r="C98" s="31"/>
      <c r="D98" s="32">
        <f t="shared" si="16"/>
        <v>1</v>
      </c>
      <c r="E98" s="33">
        <f t="shared" si="18"/>
        <v>0</v>
      </c>
      <c r="F98" s="33"/>
      <c r="G98" s="34">
        <v>5</v>
      </c>
      <c r="H98" s="39"/>
      <c r="I98" s="39"/>
      <c r="J98" s="39"/>
      <c r="K98" s="39"/>
      <c r="L98" s="36">
        <f t="shared" si="26"/>
        <v>0</v>
      </c>
      <c r="M98" s="36">
        <f t="shared" si="12"/>
        <v>0</v>
      </c>
      <c r="N98" s="36">
        <f t="shared" si="25"/>
        <v>0</v>
      </c>
      <c r="O98" s="36">
        <f t="shared" si="27"/>
        <v>0</v>
      </c>
      <c r="P98" s="36">
        <f t="shared" si="21"/>
        <v>0</v>
      </c>
      <c r="Q98" s="39">
        <v>50</v>
      </c>
      <c r="R98" s="27">
        <f t="shared" si="23"/>
        <v>0</v>
      </c>
      <c r="S98" s="37">
        <f t="shared" si="22"/>
        <v>-50</v>
      </c>
      <c r="T98" s="27">
        <f t="shared" si="24"/>
        <v>6388</v>
      </c>
      <c r="U98" s="41" t="s">
        <v>39</v>
      </c>
      <c r="V98" s="42"/>
    </row>
    <row r="99" spans="1:22" s="21" customFormat="1" x14ac:dyDescent="0.2">
      <c r="A99" s="30"/>
      <c r="B99" s="31"/>
      <c r="C99" s="31"/>
      <c r="D99" s="32">
        <f t="shared" si="16"/>
        <v>1</v>
      </c>
      <c r="E99" s="33">
        <f t="shared" si="18"/>
        <v>0</v>
      </c>
      <c r="F99" s="33"/>
      <c r="G99" s="34">
        <f t="shared" si="19"/>
        <v>0</v>
      </c>
      <c r="H99" s="39"/>
      <c r="I99" s="39"/>
      <c r="J99" s="39"/>
      <c r="K99" s="39"/>
      <c r="L99" s="36">
        <f t="shared" si="26"/>
        <v>0</v>
      </c>
      <c r="M99" s="36">
        <f t="shared" si="12"/>
        <v>0</v>
      </c>
      <c r="N99" s="36">
        <f t="shared" si="25"/>
        <v>0</v>
      </c>
      <c r="O99" s="36">
        <f t="shared" si="27"/>
        <v>0</v>
      </c>
      <c r="P99" s="36" t="e">
        <f t="shared" si="21"/>
        <v>#DIV/0!</v>
      </c>
      <c r="Q99" s="39">
        <v>150</v>
      </c>
      <c r="R99" s="27">
        <f t="shared" si="23"/>
        <v>0</v>
      </c>
      <c r="S99" s="37">
        <f t="shared" si="22"/>
        <v>-150</v>
      </c>
      <c r="T99" s="27">
        <f t="shared" si="24"/>
        <v>6538</v>
      </c>
      <c r="U99" s="41" t="s">
        <v>36</v>
      </c>
      <c r="V99" s="42"/>
    </row>
    <row r="100" spans="1:22" s="21" customFormat="1" x14ac:dyDescent="0.2">
      <c r="A100" s="30"/>
      <c r="B100" s="31"/>
      <c r="C100" s="31"/>
      <c r="D100" s="32">
        <f t="shared" si="16"/>
        <v>1</v>
      </c>
      <c r="E100" s="33">
        <v>515530</v>
      </c>
      <c r="F100" s="33"/>
      <c r="G100" s="34">
        <f t="shared" si="19"/>
        <v>-5155.3</v>
      </c>
      <c r="H100" s="39"/>
      <c r="I100" s="39"/>
      <c r="J100" s="39"/>
      <c r="K100" s="39"/>
      <c r="L100" s="36">
        <f t="shared" si="26"/>
        <v>0</v>
      </c>
      <c r="M100" s="36">
        <f t="shared" si="12"/>
        <v>0</v>
      </c>
      <c r="N100" s="36">
        <f t="shared" si="25"/>
        <v>0</v>
      </c>
      <c r="O100" s="36">
        <f t="shared" si="27"/>
        <v>0</v>
      </c>
      <c r="P100" s="36">
        <f t="shared" si="21"/>
        <v>0</v>
      </c>
      <c r="Q100" s="39">
        <v>150</v>
      </c>
      <c r="R100" s="27">
        <f t="shared" si="23"/>
        <v>0</v>
      </c>
      <c r="S100" s="37">
        <f t="shared" si="22"/>
        <v>-150</v>
      </c>
      <c r="T100" s="27">
        <f t="shared" si="24"/>
        <v>6688</v>
      </c>
      <c r="U100" s="41" t="s">
        <v>46</v>
      </c>
      <c r="V100" s="42"/>
    </row>
    <row r="101" spans="1:22" s="21" customFormat="1" x14ac:dyDescent="0.2">
      <c r="A101" s="30"/>
      <c r="B101" s="31"/>
      <c r="C101" s="31"/>
      <c r="D101" s="32">
        <f t="shared" si="16"/>
        <v>1</v>
      </c>
      <c r="E101" s="33">
        <f t="shared" si="18"/>
        <v>0</v>
      </c>
      <c r="F101" s="33"/>
      <c r="G101" s="34">
        <v>4</v>
      </c>
      <c r="H101" s="39"/>
      <c r="I101" s="39"/>
      <c r="J101" s="39"/>
      <c r="K101" s="39"/>
      <c r="L101" s="36">
        <f t="shared" si="26"/>
        <v>0</v>
      </c>
      <c r="M101" s="36">
        <f t="shared" si="12"/>
        <v>0</v>
      </c>
      <c r="N101" s="36">
        <f t="shared" si="25"/>
        <v>0</v>
      </c>
      <c r="O101" s="36">
        <f t="shared" si="27"/>
        <v>0</v>
      </c>
      <c r="P101" s="36"/>
      <c r="Q101" s="39">
        <v>50</v>
      </c>
      <c r="R101" s="27">
        <f t="shared" si="23"/>
        <v>0</v>
      </c>
      <c r="S101" s="37">
        <f t="shared" si="22"/>
        <v>-50</v>
      </c>
      <c r="T101" s="27">
        <f t="shared" si="24"/>
        <v>6738</v>
      </c>
      <c r="U101" s="41" t="s">
        <v>43</v>
      </c>
      <c r="V101" s="42"/>
    </row>
    <row r="102" spans="1:22" s="21" customFormat="1" x14ac:dyDescent="0.2">
      <c r="A102" s="30"/>
      <c r="B102" s="31"/>
      <c r="C102" s="31"/>
      <c r="D102" s="32">
        <f t="shared" si="16"/>
        <v>1</v>
      </c>
      <c r="E102" s="33">
        <f t="shared" si="18"/>
        <v>0</v>
      </c>
      <c r="F102" s="33"/>
      <c r="G102" s="34">
        <f t="shared" si="19"/>
        <v>0</v>
      </c>
      <c r="H102" s="39"/>
      <c r="I102" s="39"/>
      <c r="J102" s="39"/>
      <c r="K102" s="39"/>
      <c r="L102" s="36">
        <f t="shared" si="26"/>
        <v>0</v>
      </c>
      <c r="M102" s="36">
        <f t="shared" si="12"/>
        <v>0</v>
      </c>
      <c r="N102" s="36">
        <f t="shared" si="25"/>
        <v>0</v>
      </c>
      <c r="O102" s="36">
        <f t="shared" si="27"/>
        <v>0</v>
      </c>
      <c r="P102" s="36" t="e">
        <f t="shared" ref="P102:P121" si="28">(O102/G102)</f>
        <v>#DIV/0!</v>
      </c>
      <c r="Q102" s="39">
        <v>100</v>
      </c>
      <c r="R102" s="27">
        <f t="shared" si="23"/>
        <v>0</v>
      </c>
      <c r="S102" s="37">
        <f t="shared" si="22"/>
        <v>-100</v>
      </c>
      <c r="T102" s="27">
        <f t="shared" si="24"/>
        <v>6838</v>
      </c>
      <c r="U102" s="41" t="s">
        <v>38</v>
      </c>
      <c r="V102" s="42"/>
    </row>
    <row r="103" spans="1:22" s="21" customFormat="1" x14ac:dyDescent="0.2">
      <c r="A103" s="30"/>
      <c r="B103" s="31"/>
      <c r="C103" s="31"/>
      <c r="D103" s="32">
        <f t="shared" si="16"/>
        <v>1</v>
      </c>
      <c r="E103" s="33">
        <f t="shared" si="18"/>
        <v>0</v>
      </c>
      <c r="F103" s="33"/>
      <c r="G103" s="34">
        <f t="shared" si="19"/>
        <v>0</v>
      </c>
      <c r="H103" s="39"/>
      <c r="I103" s="39"/>
      <c r="J103" s="39"/>
      <c r="K103" s="39"/>
      <c r="L103" s="36">
        <f t="shared" si="26"/>
        <v>0</v>
      </c>
      <c r="M103" s="36">
        <f t="shared" si="12"/>
        <v>0</v>
      </c>
      <c r="N103" s="36">
        <f t="shared" si="25"/>
        <v>0</v>
      </c>
      <c r="O103" s="36">
        <f t="shared" si="27"/>
        <v>0</v>
      </c>
      <c r="P103" s="36" t="e">
        <f t="shared" si="28"/>
        <v>#DIV/0!</v>
      </c>
      <c r="Q103" s="39">
        <v>100</v>
      </c>
      <c r="R103" s="27">
        <f t="shared" si="23"/>
        <v>0</v>
      </c>
      <c r="S103" s="37">
        <f t="shared" si="22"/>
        <v>-100</v>
      </c>
      <c r="T103" s="27">
        <f t="shared" si="24"/>
        <v>6938</v>
      </c>
      <c r="U103" s="41" t="s">
        <v>36</v>
      </c>
      <c r="V103" s="42"/>
    </row>
    <row r="104" spans="1:22" s="21" customFormat="1" x14ac:dyDescent="0.2">
      <c r="A104" s="30"/>
      <c r="B104" s="31"/>
      <c r="C104" s="31"/>
      <c r="D104" s="32">
        <f t="shared" si="16"/>
        <v>1</v>
      </c>
      <c r="E104" s="33">
        <f t="shared" si="18"/>
        <v>0</v>
      </c>
      <c r="F104" s="33"/>
      <c r="G104" s="34">
        <f>(F104-E104)/100</f>
        <v>0</v>
      </c>
      <c r="H104" s="39"/>
      <c r="I104" s="39"/>
      <c r="J104" s="39"/>
      <c r="K104" s="39"/>
      <c r="L104" s="36">
        <f t="shared" si="26"/>
        <v>0</v>
      </c>
      <c r="M104" s="36">
        <f t="shared" ref="M104:M167" si="29">+$I$6*I104</f>
        <v>0</v>
      </c>
      <c r="N104" s="36">
        <f t="shared" si="25"/>
        <v>0</v>
      </c>
      <c r="O104" s="36">
        <f t="shared" si="27"/>
        <v>0</v>
      </c>
      <c r="P104" s="36" t="e">
        <f t="shared" si="28"/>
        <v>#DIV/0!</v>
      </c>
      <c r="Q104" s="39">
        <v>50</v>
      </c>
      <c r="R104" s="27">
        <f t="shared" si="23"/>
        <v>0</v>
      </c>
      <c r="S104" s="37">
        <f t="shared" si="22"/>
        <v>-50</v>
      </c>
      <c r="T104" s="27">
        <f t="shared" si="24"/>
        <v>6988</v>
      </c>
      <c r="U104" s="41" t="s">
        <v>45</v>
      </c>
      <c r="V104" s="42"/>
    </row>
    <row r="105" spans="1:22" s="21" customFormat="1" x14ac:dyDescent="0.2">
      <c r="A105" s="30"/>
      <c r="B105" s="31"/>
      <c r="C105" s="31"/>
      <c r="D105" s="32">
        <f t="shared" si="16"/>
        <v>1</v>
      </c>
      <c r="E105" s="33">
        <f t="shared" si="18"/>
        <v>0</v>
      </c>
      <c r="F105" s="33"/>
      <c r="G105" s="34">
        <f>(F105-E105)/100</f>
        <v>0</v>
      </c>
      <c r="H105" s="39"/>
      <c r="I105" s="39"/>
      <c r="J105" s="39"/>
      <c r="K105" s="39"/>
      <c r="L105" s="36">
        <f t="shared" si="26"/>
        <v>0</v>
      </c>
      <c r="M105" s="36">
        <f t="shared" si="29"/>
        <v>0</v>
      </c>
      <c r="N105" s="36">
        <f t="shared" si="25"/>
        <v>0</v>
      </c>
      <c r="O105" s="36">
        <f t="shared" si="27"/>
        <v>0</v>
      </c>
      <c r="P105" s="36" t="e">
        <f t="shared" si="28"/>
        <v>#DIV/0!</v>
      </c>
      <c r="Q105" s="39">
        <v>100</v>
      </c>
      <c r="R105" s="27">
        <f t="shared" si="23"/>
        <v>0</v>
      </c>
      <c r="S105" s="37">
        <f t="shared" si="22"/>
        <v>-100</v>
      </c>
      <c r="T105" s="27">
        <f t="shared" si="24"/>
        <v>7088</v>
      </c>
      <c r="U105" s="41" t="s">
        <v>51</v>
      </c>
      <c r="V105" s="42"/>
    </row>
    <row r="106" spans="1:22" s="21" customFormat="1" x14ac:dyDescent="0.2">
      <c r="A106" s="30"/>
      <c r="B106" s="31"/>
      <c r="C106" s="31"/>
      <c r="D106" s="32">
        <f t="shared" si="16"/>
        <v>1</v>
      </c>
      <c r="E106" s="33">
        <f t="shared" si="18"/>
        <v>0</v>
      </c>
      <c r="F106" s="33"/>
      <c r="G106" s="34">
        <f t="shared" ref="G106:G150" si="30">(F106-E106)/100</f>
        <v>0</v>
      </c>
      <c r="H106" s="39"/>
      <c r="I106" s="39"/>
      <c r="J106" s="39"/>
      <c r="K106" s="39"/>
      <c r="L106" s="36">
        <f t="shared" si="26"/>
        <v>0</v>
      </c>
      <c r="M106" s="36">
        <f t="shared" si="29"/>
        <v>0</v>
      </c>
      <c r="N106" s="36">
        <f t="shared" si="25"/>
        <v>0</v>
      </c>
      <c r="O106" s="36">
        <f t="shared" si="27"/>
        <v>0</v>
      </c>
      <c r="P106" s="36" t="e">
        <f t="shared" si="28"/>
        <v>#DIV/0!</v>
      </c>
      <c r="Q106" s="39">
        <v>100</v>
      </c>
      <c r="R106" s="27">
        <f t="shared" si="23"/>
        <v>0</v>
      </c>
      <c r="S106" s="37">
        <f t="shared" si="22"/>
        <v>-100</v>
      </c>
      <c r="T106" s="27">
        <f t="shared" si="24"/>
        <v>7188</v>
      </c>
      <c r="U106" s="41" t="s">
        <v>38</v>
      </c>
      <c r="V106" s="42"/>
    </row>
    <row r="107" spans="1:22" s="21" customFormat="1" x14ac:dyDescent="0.2">
      <c r="A107" s="30"/>
      <c r="B107" s="31"/>
      <c r="C107" s="31"/>
      <c r="D107" s="32">
        <f t="shared" si="16"/>
        <v>1</v>
      </c>
      <c r="E107" s="33">
        <f t="shared" si="18"/>
        <v>0</v>
      </c>
      <c r="F107" s="33"/>
      <c r="G107" s="34">
        <f t="shared" si="30"/>
        <v>0</v>
      </c>
      <c r="H107" s="39"/>
      <c r="I107" s="39"/>
      <c r="J107" s="39"/>
      <c r="K107" s="39"/>
      <c r="L107" s="36">
        <f t="shared" si="26"/>
        <v>0</v>
      </c>
      <c r="M107" s="36">
        <f t="shared" si="29"/>
        <v>0</v>
      </c>
      <c r="N107" s="36">
        <f t="shared" si="25"/>
        <v>0</v>
      </c>
      <c r="O107" s="36">
        <f t="shared" si="27"/>
        <v>0</v>
      </c>
      <c r="P107" s="36" t="e">
        <f t="shared" si="28"/>
        <v>#DIV/0!</v>
      </c>
      <c r="Q107" s="39">
        <v>150</v>
      </c>
      <c r="R107" s="27">
        <v>81</v>
      </c>
      <c r="S107" s="37">
        <f t="shared" si="22"/>
        <v>-69</v>
      </c>
      <c r="T107" s="27">
        <f t="shared" si="24"/>
        <v>7257</v>
      </c>
      <c r="U107" s="41" t="s">
        <v>36</v>
      </c>
      <c r="V107" s="42"/>
    </row>
    <row r="108" spans="1:22" s="21" customFormat="1" x14ac:dyDescent="0.2">
      <c r="A108" s="30"/>
      <c r="B108" s="31"/>
      <c r="C108" s="31"/>
      <c r="D108" s="32">
        <f t="shared" si="16"/>
        <v>1</v>
      </c>
      <c r="E108" s="33">
        <f t="shared" si="18"/>
        <v>0</v>
      </c>
      <c r="F108" s="33"/>
      <c r="G108" s="34">
        <f t="shared" si="30"/>
        <v>0</v>
      </c>
      <c r="H108" s="39"/>
      <c r="I108" s="39"/>
      <c r="J108" s="39"/>
      <c r="K108" s="39"/>
      <c r="L108" s="36">
        <f t="shared" si="26"/>
        <v>0</v>
      </c>
      <c r="M108" s="36">
        <f t="shared" si="29"/>
        <v>0</v>
      </c>
      <c r="N108" s="36">
        <f t="shared" si="25"/>
        <v>0</v>
      </c>
      <c r="O108" s="36">
        <f t="shared" si="27"/>
        <v>0</v>
      </c>
      <c r="P108" s="36" t="e">
        <f t="shared" si="28"/>
        <v>#DIV/0!</v>
      </c>
      <c r="Q108" s="39"/>
      <c r="R108" s="27">
        <f t="shared" ref="R108:R121" si="31">H108</f>
        <v>0</v>
      </c>
      <c r="S108" s="37">
        <f t="shared" si="22"/>
        <v>0</v>
      </c>
      <c r="T108" s="27">
        <f t="shared" si="24"/>
        <v>7257</v>
      </c>
      <c r="U108" s="41"/>
      <c r="V108" s="42"/>
    </row>
    <row r="109" spans="1:22" ht="15.75" x14ac:dyDescent="0.25">
      <c r="A109" s="30"/>
      <c r="B109" s="31"/>
      <c r="C109" s="31"/>
      <c r="D109" s="32">
        <f t="shared" si="16"/>
        <v>1</v>
      </c>
      <c r="E109" s="33">
        <f t="shared" si="18"/>
        <v>0</v>
      </c>
      <c r="F109" s="33"/>
      <c r="G109" s="34">
        <f t="shared" si="30"/>
        <v>0</v>
      </c>
      <c r="H109" s="39"/>
      <c r="I109" s="39"/>
      <c r="J109" s="39"/>
      <c r="K109" s="39"/>
      <c r="L109" s="36">
        <f t="shared" si="26"/>
        <v>0</v>
      </c>
      <c r="M109" s="36">
        <f t="shared" si="29"/>
        <v>0</v>
      </c>
      <c r="N109" s="36">
        <f t="shared" si="25"/>
        <v>0</v>
      </c>
      <c r="O109" s="36">
        <f t="shared" si="27"/>
        <v>0</v>
      </c>
      <c r="P109" s="36" t="e">
        <f t="shared" si="28"/>
        <v>#DIV/0!</v>
      </c>
      <c r="Q109" s="39"/>
      <c r="R109" s="27">
        <f t="shared" si="31"/>
        <v>0</v>
      </c>
      <c r="S109" s="37">
        <f t="shared" si="22"/>
        <v>0</v>
      </c>
      <c r="T109" s="27">
        <f t="shared" si="24"/>
        <v>7257</v>
      </c>
      <c r="U109" s="49"/>
      <c r="V109" s="42"/>
    </row>
    <row r="110" spans="1:22" ht="15.75" x14ac:dyDescent="0.25">
      <c r="A110" s="30"/>
      <c r="B110" s="31"/>
      <c r="C110" s="31"/>
      <c r="D110" s="32">
        <f t="shared" si="16"/>
        <v>1</v>
      </c>
      <c r="E110" s="33">
        <f t="shared" si="18"/>
        <v>0</v>
      </c>
      <c r="F110" s="33"/>
      <c r="G110" s="34">
        <f t="shared" si="30"/>
        <v>0</v>
      </c>
      <c r="H110" s="39"/>
      <c r="I110" s="39"/>
      <c r="J110" s="39"/>
      <c r="K110" s="39"/>
      <c r="L110" s="36">
        <f t="shared" si="26"/>
        <v>0</v>
      </c>
      <c r="M110" s="36">
        <f t="shared" si="29"/>
        <v>0</v>
      </c>
      <c r="N110" s="36">
        <f t="shared" si="25"/>
        <v>0</v>
      </c>
      <c r="O110" s="36">
        <f t="shared" si="27"/>
        <v>0</v>
      </c>
      <c r="P110" s="36" t="e">
        <f t="shared" si="28"/>
        <v>#DIV/0!</v>
      </c>
      <c r="Q110" s="39"/>
      <c r="R110" s="27">
        <f t="shared" si="31"/>
        <v>0</v>
      </c>
      <c r="S110" s="37">
        <f t="shared" si="22"/>
        <v>0</v>
      </c>
      <c r="T110" s="27">
        <f t="shared" si="24"/>
        <v>7257</v>
      </c>
      <c r="U110" s="49"/>
      <c r="V110" s="42"/>
    </row>
    <row r="111" spans="1:22" ht="15.75" x14ac:dyDescent="0.25">
      <c r="A111" s="50"/>
      <c r="B111" s="31"/>
      <c r="C111" s="31"/>
      <c r="D111" s="32">
        <f t="shared" si="16"/>
        <v>1</v>
      </c>
      <c r="E111" s="33">
        <f t="shared" si="18"/>
        <v>0</v>
      </c>
      <c r="F111" s="33"/>
      <c r="G111" s="34">
        <f t="shared" si="30"/>
        <v>0</v>
      </c>
      <c r="H111" s="39"/>
      <c r="I111" s="39"/>
      <c r="J111" s="39"/>
      <c r="K111" s="39"/>
      <c r="L111" s="36">
        <f t="shared" si="26"/>
        <v>0</v>
      </c>
      <c r="M111" s="36">
        <f t="shared" si="29"/>
        <v>0</v>
      </c>
      <c r="N111" s="36">
        <f t="shared" si="25"/>
        <v>0</v>
      </c>
      <c r="O111" s="36">
        <f t="shared" si="27"/>
        <v>0</v>
      </c>
      <c r="P111" s="36" t="e">
        <f t="shared" si="28"/>
        <v>#DIV/0!</v>
      </c>
      <c r="Q111" s="39"/>
      <c r="R111" s="27">
        <f t="shared" si="31"/>
        <v>0</v>
      </c>
      <c r="S111" s="37">
        <f t="shared" si="22"/>
        <v>0</v>
      </c>
      <c r="T111" s="27">
        <f t="shared" si="24"/>
        <v>7257</v>
      </c>
      <c r="U111" s="49"/>
      <c r="V111" s="42"/>
    </row>
    <row r="112" spans="1:22" ht="15.75" x14ac:dyDescent="0.25">
      <c r="A112" s="50"/>
      <c r="B112" s="31"/>
      <c r="C112" s="31"/>
      <c r="D112" s="32">
        <f t="shared" si="16"/>
        <v>1</v>
      </c>
      <c r="E112" s="33">
        <f t="shared" si="18"/>
        <v>0</v>
      </c>
      <c r="F112" s="33"/>
      <c r="G112" s="34">
        <f t="shared" si="30"/>
        <v>0</v>
      </c>
      <c r="H112" s="39"/>
      <c r="I112" s="39"/>
      <c r="J112" s="39"/>
      <c r="K112" s="39"/>
      <c r="L112" s="36">
        <f t="shared" si="26"/>
        <v>0</v>
      </c>
      <c r="M112" s="36">
        <f t="shared" si="29"/>
        <v>0</v>
      </c>
      <c r="N112" s="36">
        <f t="shared" si="25"/>
        <v>0</v>
      </c>
      <c r="O112" s="36">
        <f t="shared" si="27"/>
        <v>0</v>
      </c>
      <c r="P112" s="36" t="e">
        <f t="shared" si="28"/>
        <v>#DIV/0!</v>
      </c>
      <c r="Q112" s="39"/>
      <c r="R112" s="27">
        <f t="shared" si="31"/>
        <v>0</v>
      </c>
      <c r="S112" s="37">
        <f t="shared" si="22"/>
        <v>0</v>
      </c>
      <c r="T112" s="27">
        <f t="shared" si="24"/>
        <v>7257</v>
      </c>
      <c r="U112" s="49"/>
      <c r="V112" s="42"/>
    </row>
    <row r="113" spans="1:121" ht="15.75" x14ac:dyDescent="0.25">
      <c r="A113" s="50"/>
      <c r="B113" s="31"/>
      <c r="C113" s="31"/>
      <c r="D113" s="32">
        <f t="shared" si="16"/>
        <v>1</v>
      </c>
      <c r="E113" s="33">
        <f t="shared" si="18"/>
        <v>0</v>
      </c>
      <c r="F113" s="33"/>
      <c r="G113" s="34">
        <f t="shared" si="30"/>
        <v>0</v>
      </c>
      <c r="H113" s="39"/>
      <c r="I113" s="39"/>
      <c r="J113" s="39"/>
      <c r="K113" s="39"/>
      <c r="L113" s="36">
        <f t="shared" si="26"/>
        <v>0</v>
      </c>
      <c r="M113" s="36">
        <f t="shared" si="29"/>
        <v>0</v>
      </c>
      <c r="N113" s="36">
        <f t="shared" si="25"/>
        <v>0</v>
      </c>
      <c r="O113" s="36">
        <f t="shared" si="27"/>
        <v>0</v>
      </c>
      <c r="P113" s="36" t="e">
        <f t="shared" si="28"/>
        <v>#DIV/0!</v>
      </c>
      <c r="Q113" s="39"/>
      <c r="R113" s="27">
        <f t="shared" si="31"/>
        <v>0</v>
      </c>
      <c r="S113" s="37">
        <f t="shared" si="22"/>
        <v>0</v>
      </c>
      <c r="T113" s="27">
        <f t="shared" si="24"/>
        <v>7257</v>
      </c>
      <c r="U113" s="41"/>
      <c r="V113" s="42"/>
    </row>
    <row r="114" spans="1:121" ht="15.75" x14ac:dyDescent="0.25">
      <c r="A114" s="50"/>
      <c r="B114" s="31"/>
      <c r="C114" s="31"/>
      <c r="D114" s="32">
        <f t="shared" si="16"/>
        <v>1</v>
      </c>
      <c r="E114" s="33">
        <f t="shared" si="18"/>
        <v>0</v>
      </c>
      <c r="F114" s="33"/>
      <c r="G114" s="34">
        <f t="shared" si="30"/>
        <v>0</v>
      </c>
      <c r="H114" s="39"/>
      <c r="I114" s="39"/>
      <c r="J114" s="39"/>
      <c r="K114" s="39"/>
      <c r="L114" s="36">
        <f t="shared" si="26"/>
        <v>0</v>
      </c>
      <c r="M114" s="36">
        <f t="shared" si="29"/>
        <v>0</v>
      </c>
      <c r="N114" s="36">
        <f t="shared" si="25"/>
        <v>0</v>
      </c>
      <c r="O114" s="36">
        <f t="shared" si="27"/>
        <v>0</v>
      </c>
      <c r="P114" s="36" t="e">
        <f t="shared" si="28"/>
        <v>#DIV/0!</v>
      </c>
      <c r="Q114" s="39"/>
      <c r="R114" s="27">
        <f t="shared" si="31"/>
        <v>0</v>
      </c>
      <c r="S114" s="37">
        <f t="shared" si="22"/>
        <v>0</v>
      </c>
      <c r="T114" s="27">
        <f t="shared" si="24"/>
        <v>7257</v>
      </c>
      <c r="U114" s="41"/>
      <c r="V114" s="42"/>
    </row>
    <row r="115" spans="1:121" ht="15.75" x14ac:dyDescent="0.25">
      <c r="A115" s="50"/>
      <c r="B115" s="31"/>
      <c r="C115" s="31"/>
      <c r="D115" s="32">
        <f t="shared" si="16"/>
        <v>1</v>
      </c>
      <c r="E115" s="33">
        <f t="shared" si="18"/>
        <v>0</v>
      </c>
      <c r="F115" s="33"/>
      <c r="G115" s="34">
        <f t="shared" si="30"/>
        <v>0</v>
      </c>
      <c r="H115" s="39"/>
      <c r="I115" s="39"/>
      <c r="J115" s="39"/>
      <c r="K115" s="39"/>
      <c r="L115" s="36">
        <f t="shared" si="26"/>
        <v>0</v>
      </c>
      <c r="M115" s="36">
        <f t="shared" si="29"/>
        <v>0</v>
      </c>
      <c r="N115" s="36">
        <f t="shared" si="25"/>
        <v>0</v>
      </c>
      <c r="O115" s="36">
        <f t="shared" si="27"/>
        <v>0</v>
      </c>
      <c r="P115" s="36" t="e">
        <f t="shared" si="28"/>
        <v>#DIV/0!</v>
      </c>
      <c r="Q115" s="39"/>
      <c r="R115" s="27">
        <f t="shared" si="31"/>
        <v>0</v>
      </c>
      <c r="S115" s="37">
        <f t="shared" si="22"/>
        <v>0</v>
      </c>
      <c r="T115" s="27">
        <f t="shared" si="24"/>
        <v>7257</v>
      </c>
      <c r="U115" s="41"/>
      <c r="V115" s="42"/>
    </row>
    <row r="116" spans="1:121" ht="15.75" x14ac:dyDescent="0.25">
      <c r="A116" s="50"/>
      <c r="B116" s="31"/>
      <c r="C116" s="31"/>
      <c r="D116" s="32">
        <f t="shared" si="16"/>
        <v>1</v>
      </c>
      <c r="E116" s="33">
        <f t="shared" si="18"/>
        <v>0</v>
      </c>
      <c r="F116" s="33"/>
      <c r="G116" s="34">
        <f t="shared" si="30"/>
        <v>0</v>
      </c>
      <c r="H116" s="39"/>
      <c r="I116" s="39"/>
      <c r="J116" s="39"/>
      <c r="K116" s="39"/>
      <c r="L116" s="36">
        <f t="shared" si="26"/>
        <v>0</v>
      </c>
      <c r="M116" s="36">
        <f t="shared" si="29"/>
        <v>0</v>
      </c>
      <c r="N116" s="36">
        <f t="shared" si="25"/>
        <v>0</v>
      </c>
      <c r="O116" s="36">
        <f t="shared" si="27"/>
        <v>0</v>
      </c>
      <c r="P116" s="36" t="e">
        <f t="shared" si="28"/>
        <v>#DIV/0!</v>
      </c>
      <c r="Q116" s="39"/>
      <c r="R116" s="27">
        <f t="shared" si="31"/>
        <v>0</v>
      </c>
      <c r="S116" s="37">
        <f t="shared" si="22"/>
        <v>0</v>
      </c>
      <c r="T116" s="27">
        <f t="shared" si="24"/>
        <v>7257</v>
      </c>
      <c r="U116" s="41"/>
      <c r="V116" s="42"/>
    </row>
    <row r="117" spans="1:121" ht="15.75" x14ac:dyDescent="0.25">
      <c r="A117" s="50"/>
      <c r="B117" s="31"/>
      <c r="C117" s="31"/>
      <c r="D117" s="32">
        <f t="shared" si="16"/>
        <v>1</v>
      </c>
      <c r="E117" s="33">
        <f t="shared" si="18"/>
        <v>0</v>
      </c>
      <c r="F117" s="33"/>
      <c r="G117" s="34">
        <f t="shared" si="30"/>
        <v>0</v>
      </c>
      <c r="H117" s="39"/>
      <c r="I117" s="39"/>
      <c r="J117" s="39"/>
      <c r="K117" s="39"/>
      <c r="L117" s="36">
        <f>+H117*$H$6</f>
        <v>0</v>
      </c>
      <c r="M117" s="36">
        <f t="shared" si="29"/>
        <v>0</v>
      </c>
      <c r="N117" s="36">
        <f t="shared" si="25"/>
        <v>0</v>
      </c>
      <c r="O117" s="36">
        <f t="shared" si="27"/>
        <v>0</v>
      </c>
      <c r="P117" s="36" t="e">
        <f t="shared" si="28"/>
        <v>#DIV/0!</v>
      </c>
      <c r="Q117" s="39"/>
      <c r="R117" s="27">
        <f t="shared" si="31"/>
        <v>0</v>
      </c>
      <c r="S117" s="37">
        <f t="shared" si="22"/>
        <v>0</v>
      </c>
      <c r="T117" s="27">
        <f t="shared" si="24"/>
        <v>7257</v>
      </c>
      <c r="U117" s="49"/>
      <c r="V117" s="42"/>
    </row>
    <row r="118" spans="1:121" ht="15.75" x14ac:dyDescent="0.25">
      <c r="A118" s="50"/>
      <c r="B118" s="31"/>
      <c r="C118" s="31"/>
      <c r="D118" s="32">
        <f t="shared" si="16"/>
        <v>1</v>
      </c>
      <c r="E118" s="33">
        <f t="shared" si="18"/>
        <v>0</v>
      </c>
      <c r="F118" s="33"/>
      <c r="G118" s="34">
        <f t="shared" si="30"/>
        <v>0</v>
      </c>
      <c r="H118" s="39"/>
      <c r="I118" s="39"/>
      <c r="J118" s="39"/>
      <c r="K118" s="39"/>
      <c r="L118" s="36">
        <f t="shared" ref="L118:L139" si="32">+H118*$H$6</f>
        <v>0</v>
      </c>
      <c r="M118" s="36">
        <f t="shared" si="29"/>
        <v>0</v>
      </c>
      <c r="N118" s="36">
        <f t="shared" si="25"/>
        <v>0</v>
      </c>
      <c r="O118" s="36">
        <f t="shared" si="27"/>
        <v>0</v>
      </c>
      <c r="P118" s="36" t="e">
        <f t="shared" si="28"/>
        <v>#DIV/0!</v>
      </c>
      <c r="Q118" s="39"/>
      <c r="R118" s="27">
        <f t="shared" si="31"/>
        <v>0</v>
      </c>
      <c r="S118" s="37">
        <f t="shared" si="22"/>
        <v>0</v>
      </c>
      <c r="T118" s="27">
        <f t="shared" si="24"/>
        <v>7257</v>
      </c>
      <c r="U118" s="49"/>
      <c r="V118" s="42"/>
    </row>
    <row r="119" spans="1:121" ht="15.75" x14ac:dyDescent="0.25">
      <c r="A119" s="50"/>
      <c r="B119" s="31"/>
      <c r="C119" s="31"/>
      <c r="D119" s="32">
        <f t="shared" si="16"/>
        <v>1</v>
      </c>
      <c r="E119" s="33">
        <f t="shared" si="18"/>
        <v>0</v>
      </c>
      <c r="F119" s="33"/>
      <c r="G119" s="34">
        <f t="shared" si="30"/>
        <v>0</v>
      </c>
      <c r="H119" s="39"/>
      <c r="I119" s="39"/>
      <c r="J119" s="39"/>
      <c r="K119" s="39"/>
      <c r="L119" s="36">
        <f t="shared" si="32"/>
        <v>0</v>
      </c>
      <c r="M119" s="36">
        <f t="shared" si="29"/>
        <v>0</v>
      </c>
      <c r="N119" s="36">
        <f t="shared" si="25"/>
        <v>0</v>
      </c>
      <c r="O119" s="36">
        <f t="shared" si="27"/>
        <v>0</v>
      </c>
      <c r="P119" s="36" t="e">
        <f t="shared" si="28"/>
        <v>#DIV/0!</v>
      </c>
      <c r="Q119" s="39"/>
      <c r="R119" s="27">
        <f t="shared" si="31"/>
        <v>0</v>
      </c>
      <c r="S119" s="37">
        <f t="shared" si="22"/>
        <v>0</v>
      </c>
      <c r="T119" s="27">
        <f t="shared" si="24"/>
        <v>7257</v>
      </c>
      <c r="U119" s="49"/>
      <c r="V119" s="42"/>
    </row>
    <row r="120" spans="1:121" ht="15.75" x14ac:dyDescent="0.25">
      <c r="A120" s="50"/>
      <c r="B120" s="31"/>
      <c r="C120" s="31"/>
      <c r="D120" s="32">
        <f t="shared" si="16"/>
        <v>1</v>
      </c>
      <c r="E120" s="33">
        <f t="shared" si="18"/>
        <v>0</v>
      </c>
      <c r="F120" s="33"/>
      <c r="G120" s="34">
        <f t="shared" si="30"/>
        <v>0</v>
      </c>
      <c r="H120" s="39"/>
      <c r="I120" s="39"/>
      <c r="J120" s="39"/>
      <c r="K120" s="39"/>
      <c r="L120" s="36">
        <f t="shared" si="32"/>
        <v>0</v>
      </c>
      <c r="M120" s="36">
        <f t="shared" si="29"/>
        <v>0</v>
      </c>
      <c r="N120" s="36">
        <f t="shared" si="25"/>
        <v>0</v>
      </c>
      <c r="O120" s="36">
        <f t="shared" si="27"/>
        <v>0</v>
      </c>
      <c r="P120" s="36" t="e">
        <f t="shared" si="28"/>
        <v>#DIV/0!</v>
      </c>
      <c r="Q120" s="39"/>
      <c r="R120" s="27">
        <f t="shared" si="31"/>
        <v>0</v>
      </c>
      <c r="S120" s="37">
        <f t="shared" si="22"/>
        <v>0</v>
      </c>
      <c r="T120" s="27">
        <f t="shared" si="24"/>
        <v>7257</v>
      </c>
      <c r="U120" s="41"/>
      <c r="V120" s="42"/>
    </row>
    <row r="121" spans="1:121" ht="15.75" x14ac:dyDescent="0.25">
      <c r="A121" s="50"/>
      <c r="B121" s="31"/>
      <c r="C121" s="31"/>
      <c r="D121" s="32">
        <f t="shared" si="16"/>
        <v>1</v>
      </c>
      <c r="E121" s="33">
        <f t="shared" si="18"/>
        <v>0</v>
      </c>
      <c r="F121" s="33"/>
      <c r="G121" s="34">
        <f t="shared" si="30"/>
        <v>0</v>
      </c>
      <c r="H121" s="39"/>
      <c r="I121" s="39"/>
      <c r="J121" s="39"/>
      <c r="K121" s="39"/>
      <c r="L121" s="36">
        <f t="shared" si="32"/>
        <v>0</v>
      </c>
      <c r="M121" s="36">
        <f>+$I$6*I121</f>
        <v>0</v>
      </c>
      <c r="N121" s="36">
        <f t="shared" si="25"/>
        <v>0</v>
      </c>
      <c r="O121" s="36">
        <f t="shared" si="27"/>
        <v>0</v>
      </c>
      <c r="P121" s="36" t="e">
        <f t="shared" si="28"/>
        <v>#DIV/0!</v>
      </c>
      <c r="Q121" s="39"/>
      <c r="R121" s="27">
        <f t="shared" si="31"/>
        <v>0</v>
      </c>
      <c r="S121" s="37">
        <f t="shared" si="22"/>
        <v>0</v>
      </c>
      <c r="T121" s="27">
        <f t="shared" si="24"/>
        <v>7257</v>
      </c>
      <c r="U121" s="41"/>
      <c r="V121" s="42"/>
    </row>
    <row r="122" spans="1:121" s="55" customFormat="1" ht="15.75" x14ac:dyDescent="0.25">
      <c r="A122" s="50"/>
      <c r="B122" s="31"/>
      <c r="C122" s="31"/>
      <c r="D122" s="32">
        <f t="shared" si="16"/>
        <v>1</v>
      </c>
      <c r="E122" s="33">
        <f t="shared" si="18"/>
        <v>0</v>
      </c>
      <c r="F122" s="33"/>
      <c r="G122" s="34">
        <f t="shared" si="30"/>
        <v>0</v>
      </c>
      <c r="H122" s="35"/>
      <c r="I122" s="35"/>
      <c r="J122" s="35"/>
      <c r="K122" s="43"/>
      <c r="L122" s="35"/>
      <c r="M122" s="44">
        <f>+$I$6*I122</f>
        <v>0</v>
      </c>
      <c r="N122" s="51"/>
      <c r="O122" s="51"/>
      <c r="P122" s="52"/>
      <c r="Q122" s="53"/>
      <c r="R122" s="53"/>
      <c r="S122" s="37">
        <f t="shared" si="22"/>
        <v>0</v>
      </c>
      <c r="T122" s="27">
        <f t="shared" si="24"/>
        <v>7257</v>
      </c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</row>
    <row r="123" spans="1:121" ht="15.75" x14ac:dyDescent="0.25">
      <c r="A123" s="50"/>
      <c r="B123" s="31"/>
      <c r="C123" s="31"/>
      <c r="D123" s="32">
        <f t="shared" si="16"/>
        <v>1</v>
      </c>
      <c r="E123" s="33">
        <f t="shared" si="18"/>
        <v>0</v>
      </c>
      <c r="F123" s="33"/>
      <c r="G123" s="34">
        <f t="shared" si="30"/>
        <v>0</v>
      </c>
      <c r="H123" s="39"/>
      <c r="I123" s="39"/>
      <c r="J123" s="39"/>
      <c r="K123" s="39"/>
      <c r="L123" s="36">
        <f t="shared" si="32"/>
        <v>0</v>
      </c>
      <c r="M123" s="36">
        <f>+$I$6*I123</f>
        <v>0</v>
      </c>
      <c r="N123" s="36">
        <f t="shared" si="25"/>
        <v>0</v>
      </c>
      <c r="O123" s="36">
        <f t="shared" si="27"/>
        <v>0</v>
      </c>
      <c r="P123" s="36" t="e">
        <f t="shared" ref="P123:P150" si="33">+(+L123+N123)/G123</f>
        <v>#DIV/0!</v>
      </c>
      <c r="Q123" s="39"/>
      <c r="R123" s="27">
        <f t="shared" ref="R123:R149" si="34">H123</f>
        <v>0</v>
      </c>
      <c r="S123" s="37">
        <f t="shared" si="22"/>
        <v>0</v>
      </c>
      <c r="T123" s="27">
        <f t="shared" si="24"/>
        <v>7257</v>
      </c>
      <c r="U123" s="41"/>
      <c r="V123" s="42"/>
    </row>
    <row r="124" spans="1:121" ht="15.75" x14ac:dyDescent="0.25">
      <c r="A124" s="50"/>
      <c r="B124" s="56"/>
      <c r="C124" s="56"/>
      <c r="D124" s="32">
        <f t="shared" si="16"/>
        <v>1</v>
      </c>
      <c r="E124" s="33">
        <f t="shared" si="18"/>
        <v>0</v>
      </c>
      <c r="F124" s="33"/>
      <c r="G124" s="34">
        <f t="shared" si="30"/>
        <v>0</v>
      </c>
      <c r="H124" s="39"/>
      <c r="I124" s="39"/>
      <c r="J124" s="39"/>
      <c r="K124" s="39"/>
      <c r="L124" s="36">
        <f t="shared" si="32"/>
        <v>0</v>
      </c>
      <c r="M124" s="36">
        <f t="shared" ref="M124:M149" si="35">+$I$6*I124</f>
        <v>0</v>
      </c>
      <c r="N124" s="36">
        <f t="shared" si="25"/>
        <v>0</v>
      </c>
      <c r="O124" s="36">
        <f t="shared" si="27"/>
        <v>0</v>
      </c>
      <c r="P124" s="36" t="e">
        <f t="shared" si="33"/>
        <v>#DIV/0!</v>
      </c>
      <c r="Q124" s="39"/>
      <c r="R124" s="27">
        <f t="shared" si="34"/>
        <v>0</v>
      </c>
      <c r="S124" s="37">
        <f t="shared" si="22"/>
        <v>0</v>
      </c>
      <c r="T124" s="27">
        <f t="shared" si="24"/>
        <v>7257</v>
      </c>
      <c r="U124" s="41"/>
      <c r="V124" s="42"/>
    </row>
    <row r="125" spans="1:121" ht="15.75" x14ac:dyDescent="0.25">
      <c r="A125" s="50"/>
      <c r="B125" s="56"/>
      <c r="C125" s="56"/>
      <c r="D125" s="32">
        <f t="shared" ref="D125:D151" si="36">1+C125-B125</f>
        <v>1</v>
      </c>
      <c r="E125" s="33">
        <f t="shared" si="18"/>
        <v>0</v>
      </c>
      <c r="F125" s="33"/>
      <c r="G125" s="34">
        <f t="shared" si="30"/>
        <v>0</v>
      </c>
      <c r="H125" s="39"/>
      <c r="I125" s="39"/>
      <c r="J125" s="39"/>
      <c r="K125" s="39"/>
      <c r="L125" s="36">
        <f t="shared" si="32"/>
        <v>0</v>
      </c>
      <c r="M125" s="36">
        <f t="shared" si="35"/>
        <v>0</v>
      </c>
      <c r="N125" s="36">
        <f t="shared" si="25"/>
        <v>0</v>
      </c>
      <c r="O125" s="36">
        <f t="shared" si="27"/>
        <v>0</v>
      </c>
      <c r="P125" s="36" t="e">
        <f t="shared" si="33"/>
        <v>#DIV/0!</v>
      </c>
      <c r="Q125" s="39"/>
      <c r="R125" s="27">
        <f t="shared" si="34"/>
        <v>0</v>
      </c>
      <c r="S125" s="37">
        <f t="shared" si="22"/>
        <v>0</v>
      </c>
      <c r="T125" s="27">
        <f t="shared" si="24"/>
        <v>7257</v>
      </c>
      <c r="U125" s="41"/>
      <c r="V125" s="42"/>
    </row>
    <row r="126" spans="1:121" ht="15.75" x14ac:dyDescent="0.25">
      <c r="A126" s="50"/>
      <c r="B126" s="56"/>
      <c r="C126" s="56"/>
      <c r="D126" s="32">
        <f t="shared" si="36"/>
        <v>1</v>
      </c>
      <c r="E126" s="33">
        <f t="shared" si="18"/>
        <v>0</v>
      </c>
      <c r="F126" s="33"/>
      <c r="G126" s="34">
        <f t="shared" si="30"/>
        <v>0</v>
      </c>
      <c r="H126" s="39"/>
      <c r="I126" s="39"/>
      <c r="J126" s="39"/>
      <c r="K126" s="39"/>
      <c r="L126" s="36">
        <f t="shared" si="32"/>
        <v>0</v>
      </c>
      <c r="M126" s="36">
        <f t="shared" si="35"/>
        <v>0</v>
      </c>
      <c r="N126" s="36">
        <f t="shared" si="25"/>
        <v>0</v>
      </c>
      <c r="O126" s="36">
        <f t="shared" si="27"/>
        <v>0</v>
      </c>
      <c r="P126" s="36" t="e">
        <f t="shared" si="33"/>
        <v>#DIV/0!</v>
      </c>
      <c r="Q126" s="39"/>
      <c r="R126" s="27">
        <f t="shared" si="34"/>
        <v>0</v>
      </c>
      <c r="S126" s="37">
        <f t="shared" si="22"/>
        <v>0</v>
      </c>
      <c r="T126" s="27">
        <f t="shared" si="24"/>
        <v>7257</v>
      </c>
      <c r="U126" s="41"/>
      <c r="V126" s="42"/>
    </row>
    <row r="127" spans="1:121" ht="15.75" x14ac:dyDescent="0.25">
      <c r="A127" s="50"/>
      <c r="B127" s="57"/>
      <c r="C127" s="56"/>
      <c r="D127" s="32">
        <f t="shared" si="36"/>
        <v>1</v>
      </c>
      <c r="E127" s="33">
        <f t="shared" si="18"/>
        <v>0</v>
      </c>
      <c r="F127" s="33"/>
      <c r="G127" s="34">
        <f t="shared" si="30"/>
        <v>0</v>
      </c>
      <c r="H127" s="39"/>
      <c r="I127" s="39"/>
      <c r="J127" s="39"/>
      <c r="K127" s="39"/>
      <c r="L127" s="36">
        <f t="shared" si="32"/>
        <v>0</v>
      </c>
      <c r="M127" s="36">
        <f t="shared" si="35"/>
        <v>0</v>
      </c>
      <c r="N127" s="36">
        <f t="shared" si="25"/>
        <v>0</v>
      </c>
      <c r="O127" s="36">
        <f t="shared" si="27"/>
        <v>0</v>
      </c>
      <c r="P127" s="36" t="e">
        <f t="shared" si="33"/>
        <v>#DIV/0!</v>
      </c>
      <c r="Q127" s="39"/>
      <c r="R127" s="27">
        <f t="shared" si="34"/>
        <v>0</v>
      </c>
      <c r="S127" s="37">
        <f t="shared" si="22"/>
        <v>0</v>
      </c>
      <c r="T127" s="27">
        <f t="shared" si="24"/>
        <v>7257</v>
      </c>
      <c r="U127" s="41"/>
      <c r="V127" s="42"/>
    </row>
    <row r="128" spans="1:121" ht="15.75" x14ac:dyDescent="0.25">
      <c r="A128" s="50"/>
      <c r="B128" s="56"/>
      <c r="C128" s="56"/>
      <c r="D128" s="32">
        <f t="shared" si="36"/>
        <v>1</v>
      </c>
      <c r="E128" s="33">
        <f t="shared" si="18"/>
        <v>0</v>
      </c>
      <c r="F128" s="33"/>
      <c r="G128" s="34">
        <f t="shared" si="30"/>
        <v>0</v>
      </c>
      <c r="H128" s="39"/>
      <c r="I128" s="39"/>
      <c r="J128" s="39"/>
      <c r="K128" s="39"/>
      <c r="L128" s="36">
        <f t="shared" si="32"/>
        <v>0</v>
      </c>
      <c r="M128" s="36">
        <f t="shared" si="35"/>
        <v>0</v>
      </c>
      <c r="N128" s="36">
        <f t="shared" si="25"/>
        <v>0</v>
      </c>
      <c r="O128" s="36">
        <f t="shared" si="27"/>
        <v>0</v>
      </c>
      <c r="P128" s="36" t="e">
        <f t="shared" si="33"/>
        <v>#DIV/0!</v>
      </c>
      <c r="Q128" s="39"/>
      <c r="R128" s="27">
        <f t="shared" si="34"/>
        <v>0</v>
      </c>
      <c r="S128" s="37">
        <f t="shared" si="22"/>
        <v>0</v>
      </c>
      <c r="T128" s="27">
        <f t="shared" si="24"/>
        <v>7257</v>
      </c>
      <c r="U128" s="41"/>
      <c r="V128" s="42"/>
    </row>
    <row r="129" spans="1:22" ht="15.75" x14ac:dyDescent="0.25">
      <c r="A129" s="50"/>
      <c r="B129" s="56"/>
      <c r="C129" s="56"/>
      <c r="D129" s="32">
        <f t="shared" si="36"/>
        <v>1</v>
      </c>
      <c r="E129" s="33">
        <f t="shared" si="18"/>
        <v>0</v>
      </c>
      <c r="F129" s="33"/>
      <c r="G129" s="34">
        <f t="shared" si="30"/>
        <v>0</v>
      </c>
      <c r="H129" s="39"/>
      <c r="I129" s="39"/>
      <c r="J129" s="39"/>
      <c r="K129" s="39"/>
      <c r="L129" s="36">
        <f t="shared" si="32"/>
        <v>0</v>
      </c>
      <c r="M129" s="36">
        <f t="shared" si="35"/>
        <v>0</v>
      </c>
      <c r="N129" s="36">
        <f t="shared" si="25"/>
        <v>0</v>
      </c>
      <c r="O129" s="36">
        <f t="shared" si="27"/>
        <v>0</v>
      </c>
      <c r="P129" s="36" t="e">
        <f t="shared" si="33"/>
        <v>#DIV/0!</v>
      </c>
      <c r="Q129" s="39"/>
      <c r="R129" s="27">
        <f t="shared" si="34"/>
        <v>0</v>
      </c>
      <c r="S129" s="37">
        <f t="shared" si="22"/>
        <v>0</v>
      </c>
      <c r="T129" s="27">
        <f t="shared" si="24"/>
        <v>7257</v>
      </c>
      <c r="U129" s="41"/>
      <c r="V129" s="42"/>
    </row>
    <row r="130" spans="1:22" ht="15.75" x14ac:dyDescent="0.25">
      <c r="A130" s="50"/>
      <c r="B130" s="56"/>
      <c r="C130" s="56"/>
      <c r="D130" s="32">
        <f t="shared" si="36"/>
        <v>1</v>
      </c>
      <c r="E130" s="33">
        <f t="shared" si="18"/>
        <v>0</v>
      </c>
      <c r="F130" s="33"/>
      <c r="G130" s="34">
        <f t="shared" si="30"/>
        <v>0</v>
      </c>
      <c r="H130" s="39"/>
      <c r="I130" s="39"/>
      <c r="J130" s="39"/>
      <c r="K130" s="39"/>
      <c r="L130" s="36">
        <f t="shared" si="32"/>
        <v>0</v>
      </c>
      <c r="M130" s="36">
        <f t="shared" si="35"/>
        <v>0</v>
      </c>
      <c r="N130" s="36">
        <f t="shared" si="25"/>
        <v>0</v>
      </c>
      <c r="O130" s="36">
        <f t="shared" si="27"/>
        <v>0</v>
      </c>
      <c r="P130" s="36" t="e">
        <f t="shared" si="33"/>
        <v>#DIV/0!</v>
      </c>
      <c r="Q130" s="39"/>
      <c r="R130" s="27">
        <f t="shared" si="34"/>
        <v>0</v>
      </c>
      <c r="S130" s="37">
        <f t="shared" si="22"/>
        <v>0</v>
      </c>
      <c r="T130" s="27">
        <f t="shared" si="24"/>
        <v>7257</v>
      </c>
      <c r="U130" s="41"/>
      <c r="V130" s="42"/>
    </row>
    <row r="131" spans="1:22" ht="15.75" x14ac:dyDescent="0.25">
      <c r="A131" s="50"/>
      <c r="B131" s="56"/>
      <c r="C131" s="56"/>
      <c r="D131" s="32">
        <f t="shared" si="36"/>
        <v>1</v>
      </c>
      <c r="E131" s="33">
        <f t="shared" si="18"/>
        <v>0</v>
      </c>
      <c r="F131" s="33"/>
      <c r="G131" s="34">
        <f t="shared" si="30"/>
        <v>0</v>
      </c>
      <c r="H131" s="39"/>
      <c r="I131" s="39"/>
      <c r="J131" s="39"/>
      <c r="K131" s="39"/>
      <c r="L131" s="36">
        <f t="shared" si="32"/>
        <v>0</v>
      </c>
      <c r="M131" s="36">
        <f t="shared" si="35"/>
        <v>0</v>
      </c>
      <c r="N131" s="36">
        <f t="shared" si="25"/>
        <v>0</v>
      </c>
      <c r="O131" s="36">
        <f t="shared" si="27"/>
        <v>0</v>
      </c>
      <c r="P131" s="36" t="e">
        <f t="shared" si="33"/>
        <v>#DIV/0!</v>
      </c>
      <c r="Q131" s="39"/>
      <c r="R131" s="27">
        <f t="shared" si="34"/>
        <v>0</v>
      </c>
      <c r="S131" s="37">
        <f t="shared" si="22"/>
        <v>0</v>
      </c>
      <c r="T131" s="27">
        <f t="shared" si="24"/>
        <v>7257</v>
      </c>
      <c r="U131" s="41"/>
      <c r="V131" s="58"/>
    </row>
    <row r="132" spans="1:22" ht="15.75" x14ac:dyDescent="0.25">
      <c r="A132" s="50"/>
      <c r="B132" s="56"/>
      <c r="C132" s="56"/>
      <c r="D132" s="32">
        <f t="shared" si="36"/>
        <v>1</v>
      </c>
      <c r="E132" s="33">
        <f t="shared" si="18"/>
        <v>0</v>
      </c>
      <c r="F132" s="33"/>
      <c r="G132" s="34">
        <f t="shared" si="30"/>
        <v>0</v>
      </c>
      <c r="H132" s="39"/>
      <c r="I132" s="39"/>
      <c r="J132" s="39"/>
      <c r="K132" s="39"/>
      <c r="L132" s="36">
        <f t="shared" si="32"/>
        <v>0</v>
      </c>
      <c r="M132" s="36">
        <f t="shared" si="35"/>
        <v>0</v>
      </c>
      <c r="N132" s="36">
        <f t="shared" si="25"/>
        <v>0</v>
      </c>
      <c r="O132" s="36">
        <f t="shared" si="27"/>
        <v>0</v>
      </c>
      <c r="P132" s="36" t="e">
        <f t="shared" si="33"/>
        <v>#DIV/0!</v>
      </c>
      <c r="Q132" s="39"/>
      <c r="R132" s="27">
        <f t="shared" si="34"/>
        <v>0</v>
      </c>
      <c r="S132" s="37">
        <f t="shared" si="22"/>
        <v>0</v>
      </c>
      <c r="T132" s="27">
        <f t="shared" si="24"/>
        <v>7257</v>
      </c>
      <c r="U132" s="41"/>
      <c r="V132" s="58"/>
    </row>
    <row r="133" spans="1:22" ht="15.75" x14ac:dyDescent="0.25">
      <c r="A133" s="50"/>
      <c r="B133" s="56"/>
      <c r="C133" s="56"/>
      <c r="D133" s="32">
        <f t="shared" si="36"/>
        <v>1</v>
      </c>
      <c r="E133" s="33">
        <f t="shared" si="18"/>
        <v>0</v>
      </c>
      <c r="F133" s="33"/>
      <c r="G133" s="34">
        <f t="shared" si="30"/>
        <v>0</v>
      </c>
      <c r="H133" s="39"/>
      <c r="I133" s="39"/>
      <c r="J133" s="39"/>
      <c r="K133" s="39"/>
      <c r="L133" s="36">
        <f t="shared" si="32"/>
        <v>0</v>
      </c>
      <c r="M133" s="36">
        <f t="shared" si="35"/>
        <v>0</v>
      </c>
      <c r="N133" s="36">
        <f t="shared" si="25"/>
        <v>0</v>
      </c>
      <c r="O133" s="36">
        <f t="shared" si="27"/>
        <v>0</v>
      </c>
      <c r="P133" s="36" t="e">
        <f t="shared" si="33"/>
        <v>#DIV/0!</v>
      </c>
      <c r="Q133" s="39"/>
      <c r="R133" s="39">
        <f t="shared" si="34"/>
        <v>0</v>
      </c>
      <c r="S133" s="37">
        <f t="shared" si="22"/>
        <v>0</v>
      </c>
      <c r="T133" s="27">
        <f t="shared" si="24"/>
        <v>7257</v>
      </c>
      <c r="U133" s="41"/>
      <c r="V133" s="58"/>
    </row>
    <row r="134" spans="1:22" ht="15.75" x14ac:dyDescent="0.25">
      <c r="A134" s="50"/>
      <c r="B134" s="56"/>
      <c r="C134" s="56"/>
      <c r="D134" s="32">
        <f t="shared" si="36"/>
        <v>1</v>
      </c>
      <c r="E134" s="33">
        <f t="shared" si="18"/>
        <v>0</v>
      </c>
      <c r="F134" s="33"/>
      <c r="G134" s="34">
        <f t="shared" si="30"/>
        <v>0</v>
      </c>
      <c r="H134" s="39"/>
      <c r="I134" s="39"/>
      <c r="J134" s="39"/>
      <c r="K134" s="39"/>
      <c r="L134" s="36">
        <f t="shared" si="32"/>
        <v>0</v>
      </c>
      <c r="M134" s="36">
        <f t="shared" si="35"/>
        <v>0</v>
      </c>
      <c r="N134" s="36">
        <f t="shared" si="25"/>
        <v>0</v>
      </c>
      <c r="O134" s="36">
        <f t="shared" si="27"/>
        <v>0</v>
      </c>
      <c r="P134" s="36" t="e">
        <f t="shared" si="33"/>
        <v>#DIV/0!</v>
      </c>
      <c r="Q134" s="39"/>
      <c r="R134" s="39">
        <f t="shared" si="34"/>
        <v>0</v>
      </c>
      <c r="S134" s="37">
        <f t="shared" si="22"/>
        <v>0</v>
      </c>
      <c r="T134" s="27">
        <f t="shared" si="24"/>
        <v>7257</v>
      </c>
      <c r="U134" s="41"/>
      <c r="V134" s="58"/>
    </row>
    <row r="135" spans="1:22" ht="15.75" x14ac:dyDescent="0.25">
      <c r="A135" s="50"/>
      <c r="B135" s="56"/>
      <c r="C135" s="56"/>
      <c r="D135" s="32">
        <f t="shared" si="36"/>
        <v>1</v>
      </c>
      <c r="E135" s="33">
        <f t="shared" si="18"/>
        <v>0</v>
      </c>
      <c r="F135" s="33"/>
      <c r="G135" s="34">
        <f t="shared" si="30"/>
        <v>0</v>
      </c>
      <c r="H135" s="39"/>
      <c r="I135" s="39"/>
      <c r="J135" s="39"/>
      <c r="K135" s="39"/>
      <c r="L135" s="36">
        <f t="shared" si="32"/>
        <v>0</v>
      </c>
      <c r="M135" s="36">
        <f t="shared" si="35"/>
        <v>0</v>
      </c>
      <c r="N135" s="36">
        <f t="shared" si="25"/>
        <v>0</v>
      </c>
      <c r="O135" s="36">
        <f t="shared" si="27"/>
        <v>0</v>
      </c>
      <c r="P135" s="36" t="e">
        <f t="shared" si="33"/>
        <v>#DIV/0!</v>
      </c>
      <c r="Q135" s="39"/>
      <c r="R135" s="39">
        <f t="shared" si="34"/>
        <v>0</v>
      </c>
      <c r="S135" s="37">
        <f t="shared" si="22"/>
        <v>0</v>
      </c>
      <c r="T135" s="27">
        <f t="shared" si="24"/>
        <v>7257</v>
      </c>
      <c r="U135" s="41"/>
      <c r="V135" s="58"/>
    </row>
    <row r="136" spans="1:22" ht="15.75" x14ac:dyDescent="0.25">
      <c r="A136" s="50"/>
      <c r="B136" s="56"/>
      <c r="C136" s="56"/>
      <c r="D136" s="32">
        <f t="shared" si="36"/>
        <v>1</v>
      </c>
      <c r="E136" s="33">
        <f t="shared" ref="E136:E150" si="37">F135</f>
        <v>0</v>
      </c>
      <c r="F136" s="33"/>
      <c r="G136" s="34">
        <f t="shared" si="30"/>
        <v>0</v>
      </c>
      <c r="H136" s="39"/>
      <c r="I136" s="39"/>
      <c r="J136" s="39"/>
      <c r="K136" s="39"/>
      <c r="L136" s="36">
        <f t="shared" si="32"/>
        <v>0</v>
      </c>
      <c r="M136" s="36">
        <f t="shared" si="35"/>
        <v>0</v>
      </c>
      <c r="N136" s="36">
        <f t="shared" si="25"/>
        <v>0</v>
      </c>
      <c r="O136" s="36">
        <f t="shared" si="27"/>
        <v>0</v>
      </c>
      <c r="P136" s="36" t="e">
        <f t="shared" si="33"/>
        <v>#DIV/0!</v>
      </c>
      <c r="Q136" s="39"/>
      <c r="R136" s="39">
        <f t="shared" si="34"/>
        <v>0</v>
      </c>
      <c r="S136" s="37">
        <f>R136-Q136</f>
        <v>0</v>
      </c>
      <c r="T136" s="27">
        <f t="shared" si="24"/>
        <v>7257</v>
      </c>
      <c r="U136" s="41"/>
      <c r="V136" s="58"/>
    </row>
    <row r="137" spans="1:22" ht="15.75" x14ac:dyDescent="0.25">
      <c r="A137" s="50"/>
      <c r="B137" s="56"/>
      <c r="C137" s="56"/>
      <c r="D137" s="32">
        <f t="shared" si="36"/>
        <v>1</v>
      </c>
      <c r="E137" s="33">
        <f t="shared" si="37"/>
        <v>0</v>
      </c>
      <c r="F137" s="33"/>
      <c r="G137" s="34">
        <f t="shared" si="30"/>
        <v>0</v>
      </c>
      <c r="H137" s="39"/>
      <c r="I137" s="39"/>
      <c r="J137" s="39"/>
      <c r="K137" s="39"/>
      <c r="L137" s="36">
        <f t="shared" si="32"/>
        <v>0</v>
      </c>
      <c r="M137" s="36">
        <f t="shared" si="35"/>
        <v>0</v>
      </c>
      <c r="N137" s="36">
        <f t="shared" si="25"/>
        <v>0</v>
      </c>
      <c r="O137" s="36">
        <f t="shared" si="27"/>
        <v>0</v>
      </c>
      <c r="P137" s="36" t="e">
        <f t="shared" si="33"/>
        <v>#DIV/0!</v>
      </c>
      <c r="Q137" s="39"/>
      <c r="R137" s="39">
        <f t="shared" si="34"/>
        <v>0</v>
      </c>
      <c r="S137" s="37">
        <f>R137-Q137</f>
        <v>0</v>
      </c>
      <c r="T137" s="27">
        <f t="shared" si="24"/>
        <v>7257</v>
      </c>
      <c r="U137" s="41"/>
      <c r="V137" s="58"/>
    </row>
    <row r="138" spans="1:22" ht="15.75" x14ac:dyDescent="0.25">
      <c r="A138" s="50"/>
      <c r="B138" s="56"/>
      <c r="C138" s="56"/>
      <c r="D138" s="32">
        <f t="shared" si="36"/>
        <v>1</v>
      </c>
      <c r="E138" s="33">
        <f t="shared" si="37"/>
        <v>0</v>
      </c>
      <c r="F138" s="33"/>
      <c r="G138" s="34">
        <f t="shared" si="30"/>
        <v>0</v>
      </c>
      <c r="H138" s="39"/>
      <c r="I138" s="39"/>
      <c r="J138" s="39"/>
      <c r="K138" s="39"/>
      <c r="L138" s="36">
        <f t="shared" si="32"/>
        <v>0</v>
      </c>
      <c r="M138" s="36">
        <f t="shared" si="35"/>
        <v>0</v>
      </c>
      <c r="N138" s="36">
        <f t="shared" si="25"/>
        <v>0</v>
      </c>
      <c r="O138" s="36">
        <f t="shared" si="27"/>
        <v>0</v>
      </c>
      <c r="P138" s="36" t="e">
        <f t="shared" si="33"/>
        <v>#DIV/0!</v>
      </c>
      <c r="Q138" s="39"/>
      <c r="R138" s="39">
        <f t="shared" si="34"/>
        <v>0</v>
      </c>
      <c r="S138" s="37">
        <f>R138-Q138</f>
        <v>0</v>
      </c>
      <c r="T138" s="27">
        <f t="shared" si="24"/>
        <v>7257</v>
      </c>
      <c r="U138" s="41"/>
      <c r="V138" s="58"/>
    </row>
    <row r="139" spans="1:22" ht="15.75" x14ac:dyDescent="0.25">
      <c r="A139" s="59"/>
      <c r="B139" s="56"/>
      <c r="C139" s="56"/>
      <c r="D139" s="32">
        <f t="shared" si="36"/>
        <v>1</v>
      </c>
      <c r="E139" s="33">
        <f t="shared" si="37"/>
        <v>0</v>
      </c>
      <c r="F139" s="33"/>
      <c r="G139" s="34">
        <f t="shared" si="30"/>
        <v>0</v>
      </c>
      <c r="H139" s="39"/>
      <c r="I139" s="39"/>
      <c r="J139" s="39"/>
      <c r="K139" s="39"/>
      <c r="L139" s="36">
        <f t="shared" si="32"/>
        <v>0</v>
      </c>
      <c r="M139" s="36">
        <f t="shared" si="35"/>
        <v>0</v>
      </c>
      <c r="N139" s="36">
        <f t="shared" si="25"/>
        <v>0</v>
      </c>
      <c r="O139" s="36">
        <f t="shared" si="27"/>
        <v>0</v>
      </c>
      <c r="P139" s="36" t="e">
        <f t="shared" si="33"/>
        <v>#DIV/0!</v>
      </c>
      <c r="Q139" s="39"/>
      <c r="R139" s="39">
        <f t="shared" si="34"/>
        <v>0</v>
      </c>
      <c r="S139" s="60">
        <f>+Q139-R139</f>
        <v>0</v>
      </c>
      <c r="T139" s="27">
        <f t="shared" ref="T139:T150" si="38">T138-(S139)</f>
        <v>7257</v>
      </c>
      <c r="U139" s="41"/>
      <c r="V139" s="58"/>
    </row>
    <row r="140" spans="1:22" ht="15.75" x14ac:dyDescent="0.25">
      <c r="A140" s="59"/>
      <c r="B140" s="56"/>
      <c r="C140" s="56"/>
      <c r="D140" s="32">
        <f t="shared" si="36"/>
        <v>1</v>
      </c>
      <c r="E140" s="33">
        <f t="shared" si="37"/>
        <v>0</v>
      </c>
      <c r="F140" s="33"/>
      <c r="G140" s="34">
        <f t="shared" si="30"/>
        <v>0</v>
      </c>
      <c r="H140" s="39"/>
      <c r="I140" s="39"/>
      <c r="J140" s="39"/>
      <c r="K140" s="39"/>
      <c r="L140" s="36">
        <f>+H140*$H$6</f>
        <v>0</v>
      </c>
      <c r="M140" s="36">
        <f t="shared" si="35"/>
        <v>0</v>
      </c>
      <c r="N140" s="36">
        <f t="shared" ref="N140:N152" si="39">+J140*$J$6+(K140*15)</f>
        <v>0</v>
      </c>
      <c r="O140" s="36">
        <f t="shared" si="27"/>
        <v>0</v>
      </c>
      <c r="P140" s="36" t="e">
        <f t="shared" si="33"/>
        <v>#DIV/0!</v>
      </c>
      <c r="Q140" s="39"/>
      <c r="R140" s="39">
        <f t="shared" si="34"/>
        <v>0</v>
      </c>
      <c r="S140" s="60">
        <f>+Q140-R140</f>
        <v>0</v>
      </c>
      <c r="T140" s="27">
        <f t="shared" si="38"/>
        <v>7257</v>
      </c>
      <c r="U140" s="41"/>
      <c r="V140" s="58"/>
    </row>
    <row r="141" spans="1:22" ht="15.75" x14ac:dyDescent="0.25">
      <c r="A141" s="59"/>
      <c r="B141" s="56"/>
      <c r="C141" s="56"/>
      <c r="D141" s="32">
        <f t="shared" si="36"/>
        <v>1</v>
      </c>
      <c r="E141" s="33">
        <f t="shared" si="37"/>
        <v>0</v>
      </c>
      <c r="F141" s="33"/>
      <c r="G141" s="34">
        <f t="shared" si="30"/>
        <v>0</v>
      </c>
      <c r="H141" s="39"/>
      <c r="I141" s="39"/>
      <c r="J141" s="39"/>
      <c r="K141" s="39"/>
      <c r="L141" s="36">
        <f t="shared" ref="L141:L149" si="40">+H141*$H$6</f>
        <v>0</v>
      </c>
      <c r="M141" s="36">
        <f t="shared" si="35"/>
        <v>0</v>
      </c>
      <c r="N141" s="36">
        <f t="shared" si="39"/>
        <v>0</v>
      </c>
      <c r="O141" s="36">
        <f t="shared" si="27"/>
        <v>0</v>
      </c>
      <c r="P141" s="36" t="e">
        <f t="shared" si="33"/>
        <v>#DIV/0!</v>
      </c>
      <c r="Q141" s="39"/>
      <c r="R141" s="39">
        <f t="shared" si="34"/>
        <v>0</v>
      </c>
      <c r="S141" s="60">
        <f t="shared" ref="S141:S150" si="41">+Q141-R141</f>
        <v>0</v>
      </c>
      <c r="T141" s="27">
        <f t="shared" si="38"/>
        <v>7257</v>
      </c>
      <c r="U141" s="41"/>
      <c r="V141" s="58"/>
    </row>
    <row r="142" spans="1:22" ht="15.75" x14ac:dyDescent="0.25">
      <c r="A142" s="59"/>
      <c r="B142" s="56"/>
      <c r="C142" s="56"/>
      <c r="D142" s="32">
        <f t="shared" si="36"/>
        <v>1</v>
      </c>
      <c r="E142" s="33">
        <f t="shared" si="37"/>
        <v>0</v>
      </c>
      <c r="F142" s="33"/>
      <c r="G142" s="34">
        <f t="shared" si="30"/>
        <v>0</v>
      </c>
      <c r="H142" s="39"/>
      <c r="I142" s="39"/>
      <c r="J142" s="39"/>
      <c r="K142" s="39"/>
      <c r="L142" s="36">
        <f t="shared" si="40"/>
        <v>0</v>
      </c>
      <c r="M142" s="36">
        <f t="shared" si="35"/>
        <v>0</v>
      </c>
      <c r="N142" s="36">
        <f t="shared" si="39"/>
        <v>0</v>
      </c>
      <c r="O142" s="36">
        <f t="shared" si="27"/>
        <v>0</v>
      </c>
      <c r="P142" s="36" t="e">
        <f t="shared" si="33"/>
        <v>#DIV/0!</v>
      </c>
      <c r="Q142" s="39"/>
      <c r="R142" s="39">
        <f t="shared" si="34"/>
        <v>0</v>
      </c>
      <c r="S142" s="60">
        <f t="shared" si="41"/>
        <v>0</v>
      </c>
      <c r="T142" s="27">
        <f t="shared" si="38"/>
        <v>7257</v>
      </c>
      <c r="U142" s="41"/>
      <c r="V142" s="58"/>
    </row>
    <row r="143" spans="1:22" ht="15.75" x14ac:dyDescent="0.25">
      <c r="A143" s="59"/>
      <c r="B143" s="56"/>
      <c r="C143" s="56"/>
      <c r="D143" s="32">
        <f t="shared" si="36"/>
        <v>1</v>
      </c>
      <c r="E143" s="33">
        <f t="shared" si="37"/>
        <v>0</v>
      </c>
      <c r="F143" s="33"/>
      <c r="G143" s="34">
        <f t="shared" si="30"/>
        <v>0</v>
      </c>
      <c r="H143" s="39"/>
      <c r="I143" s="39"/>
      <c r="J143" s="39"/>
      <c r="K143" s="39"/>
      <c r="L143" s="36">
        <f t="shared" si="40"/>
        <v>0</v>
      </c>
      <c r="M143" s="36">
        <f t="shared" si="35"/>
        <v>0</v>
      </c>
      <c r="N143" s="36">
        <f t="shared" si="39"/>
        <v>0</v>
      </c>
      <c r="O143" s="36">
        <f t="shared" si="27"/>
        <v>0</v>
      </c>
      <c r="P143" s="36" t="e">
        <f t="shared" si="33"/>
        <v>#DIV/0!</v>
      </c>
      <c r="Q143" s="39"/>
      <c r="R143" s="39">
        <f t="shared" si="34"/>
        <v>0</v>
      </c>
      <c r="S143" s="60">
        <f t="shared" si="41"/>
        <v>0</v>
      </c>
      <c r="T143" s="27">
        <f t="shared" si="38"/>
        <v>7257</v>
      </c>
      <c r="U143" s="41"/>
      <c r="V143" s="58"/>
    </row>
    <row r="144" spans="1:22" ht="15.75" x14ac:dyDescent="0.25">
      <c r="A144" s="59"/>
      <c r="B144" s="56"/>
      <c r="C144" s="56"/>
      <c r="D144" s="32">
        <f t="shared" si="36"/>
        <v>1</v>
      </c>
      <c r="E144" s="33">
        <f t="shared" si="37"/>
        <v>0</v>
      </c>
      <c r="F144" s="33"/>
      <c r="G144" s="34">
        <f t="shared" si="30"/>
        <v>0</v>
      </c>
      <c r="H144" s="39"/>
      <c r="I144" s="39"/>
      <c r="J144" s="39"/>
      <c r="K144" s="39"/>
      <c r="L144" s="36">
        <f t="shared" si="40"/>
        <v>0</v>
      </c>
      <c r="M144" s="36">
        <f t="shared" si="35"/>
        <v>0</v>
      </c>
      <c r="N144" s="36">
        <f t="shared" si="39"/>
        <v>0</v>
      </c>
      <c r="O144" s="36">
        <f t="shared" si="27"/>
        <v>0</v>
      </c>
      <c r="P144" s="36" t="e">
        <f t="shared" si="33"/>
        <v>#DIV/0!</v>
      </c>
      <c r="Q144" s="39"/>
      <c r="R144" s="39">
        <f t="shared" si="34"/>
        <v>0</v>
      </c>
      <c r="S144" s="60">
        <f t="shared" si="41"/>
        <v>0</v>
      </c>
      <c r="T144" s="27">
        <f t="shared" si="38"/>
        <v>7257</v>
      </c>
      <c r="U144" s="17"/>
      <c r="V144" s="58"/>
    </row>
    <row r="145" spans="1:22" ht="15.75" x14ac:dyDescent="0.25">
      <c r="A145" s="59"/>
      <c r="B145" s="56"/>
      <c r="C145" s="56"/>
      <c r="D145" s="32">
        <f t="shared" si="36"/>
        <v>1</v>
      </c>
      <c r="E145" s="33">
        <f t="shared" si="37"/>
        <v>0</v>
      </c>
      <c r="F145" s="33"/>
      <c r="G145" s="34">
        <f t="shared" si="30"/>
        <v>0</v>
      </c>
      <c r="H145" s="39"/>
      <c r="I145" s="39"/>
      <c r="J145" s="39"/>
      <c r="K145" s="39"/>
      <c r="L145" s="36">
        <f t="shared" si="40"/>
        <v>0</v>
      </c>
      <c r="M145" s="36">
        <f t="shared" si="35"/>
        <v>0</v>
      </c>
      <c r="N145" s="36">
        <f t="shared" si="39"/>
        <v>0</v>
      </c>
      <c r="O145" s="36">
        <f t="shared" si="27"/>
        <v>0</v>
      </c>
      <c r="P145" s="36" t="e">
        <f t="shared" si="33"/>
        <v>#DIV/0!</v>
      </c>
      <c r="Q145" s="39"/>
      <c r="R145" s="39">
        <f t="shared" si="34"/>
        <v>0</v>
      </c>
      <c r="S145" s="60">
        <f t="shared" si="41"/>
        <v>0</v>
      </c>
      <c r="T145" s="27">
        <f t="shared" si="38"/>
        <v>7257</v>
      </c>
      <c r="U145" s="17"/>
      <c r="V145" s="58"/>
    </row>
    <row r="146" spans="1:22" ht="15.75" x14ac:dyDescent="0.25">
      <c r="A146" s="59"/>
      <c r="B146" s="56"/>
      <c r="C146" s="56"/>
      <c r="D146" s="32">
        <f t="shared" si="36"/>
        <v>1</v>
      </c>
      <c r="E146" s="33">
        <f t="shared" si="37"/>
        <v>0</v>
      </c>
      <c r="F146" s="33"/>
      <c r="G146" s="34">
        <f t="shared" si="30"/>
        <v>0</v>
      </c>
      <c r="H146" s="39"/>
      <c r="I146" s="39"/>
      <c r="J146" s="39"/>
      <c r="K146" s="39"/>
      <c r="L146" s="36">
        <f t="shared" si="40"/>
        <v>0</v>
      </c>
      <c r="M146" s="36">
        <f t="shared" si="35"/>
        <v>0</v>
      </c>
      <c r="N146" s="36">
        <f t="shared" si="39"/>
        <v>0</v>
      </c>
      <c r="O146" s="36">
        <f>+L146+M146+N146</f>
        <v>0</v>
      </c>
      <c r="P146" s="36" t="e">
        <f t="shared" si="33"/>
        <v>#DIV/0!</v>
      </c>
      <c r="Q146" s="39"/>
      <c r="R146" s="39">
        <f t="shared" si="34"/>
        <v>0</v>
      </c>
      <c r="S146" s="60">
        <f t="shared" si="41"/>
        <v>0</v>
      </c>
      <c r="T146" s="27">
        <f t="shared" si="38"/>
        <v>7257</v>
      </c>
      <c r="U146" s="17"/>
      <c r="V146" s="58"/>
    </row>
    <row r="147" spans="1:22" ht="15.75" x14ac:dyDescent="0.25">
      <c r="A147" s="59"/>
      <c r="B147" s="56"/>
      <c r="C147" s="56"/>
      <c r="D147" s="32">
        <f t="shared" si="36"/>
        <v>1</v>
      </c>
      <c r="E147" s="33">
        <f t="shared" si="37"/>
        <v>0</v>
      </c>
      <c r="F147" s="33"/>
      <c r="G147" s="34">
        <f t="shared" si="30"/>
        <v>0</v>
      </c>
      <c r="H147" s="39"/>
      <c r="I147" s="39"/>
      <c r="J147" s="39"/>
      <c r="K147" s="39"/>
      <c r="L147" s="36">
        <f t="shared" si="40"/>
        <v>0</v>
      </c>
      <c r="M147" s="36">
        <f t="shared" si="35"/>
        <v>0</v>
      </c>
      <c r="N147" s="36">
        <f t="shared" si="39"/>
        <v>0</v>
      </c>
      <c r="O147" s="36">
        <f>+L147+M147+N147</f>
        <v>0</v>
      </c>
      <c r="P147" s="36" t="e">
        <f t="shared" si="33"/>
        <v>#DIV/0!</v>
      </c>
      <c r="Q147" s="39"/>
      <c r="R147" s="39">
        <f t="shared" si="34"/>
        <v>0</v>
      </c>
      <c r="S147" s="60">
        <f t="shared" si="41"/>
        <v>0</v>
      </c>
      <c r="T147" s="27">
        <f t="shared" si="38"/>
        <v>7257</v>
      </c>
      <c r="U147" s="17"/>
      <c r="V147" s="58"/>
    </row>
    <row r="148" spans="1:22" ht="15.75" x14ac:dyDescent="0.25">
      <c r="A148" s="59"/>
      <c r="B148" s="56"/>
      <c r="C148" s="56"/>
      <c r="D148" s="32">
        <f t="shared" si="36"/>
        <v>1</v>
      </c>
      <c r="E148" s="33">
        <f t="shared" si="37"/>
        <v>0</v>
      </c>
      <c r="F148" s="33"/>
      <c r="G148" s="34">
        <f t="shared" si="30"/>
        <v>0</v>
      </c>
      <c r="H148" s="39"/>
      <c r="I148" s="39"/>
      <c r="J148" s="39"/>
      <c r="K148" s="39"/>
      <c r="L148" s="36">
        <f t="shared" si="40"/>
        <v>0</v>
      </c>
      <c r="M148" s="36">
        <f t="shared" si="35"/>
        <v>0</v>
      </c>
      <c r="N148" s="36">
        <f t="shared" si="39"/>
        <v>0</v>
      </c>
      <c r="O148" s="36">
        <f>+L148+M148+N148</f>
        <v>0</v>
      </c>
      <c r="P148" s="36" t="e">
        <f t="shared" si="33"/>
        <v>#DIV/0!</v>
      </c>
      <c r="Q148" s="39"/>
      <c r="R148" s="39">
        <f t="shared" si="34"/>
        <v>0</v>
      </c>
      <c r="S148" s="60">
        <f t="shared" si="41"/>
        <v>0</v>
      </c>
      <c r="T148" s="27">
        <f t="shared" si="38"/>
        <v>7257</v>
      </c>
      <c r="U148" s="17"/>
      <c r="V148" s="58"/>
    </row>
    <row r="149" spans="1:22" ht="15.75" x14ac:dyDescent="0.25">
      <c r="A149" s="61"/>
      <c r="B149" s="62"/>
      <c r="C149" s="62"/>
      <c r="D149" s="32">
        <f t="shared" si="36"/>
        <v>1</v>
      </c>
      <c r="E149" s="33">
        <f t="shared" si="37"/>
        <v>0</v>
      </c>
      <c r="F149" s="33"/>
      <c r="G149" s="34">
        <f t="shared" si="30"/>
        <v>0</v>
      </c>
      <c r="H149" s="39"/>
      <c r="I149" s="39"/>
      <c r="J149" s="39"/>
      <c r="K149" s="39"/>
      <c r="L149" s="36">
        <f t="shared" si="40"/>
        <v>0</v>
      </c>
      <c r="M149" s="36">
        <f t="shared" si="35"/>
        <v>0</v>
      </c>
      <c r="N149" s="36">
        <f t="shared" si="39"/>
        <v>0</v>
      </c>
      <c r="O149" s="36">
        <f>+L149+M149+N149</f>
        <v>0</v>
      </c>
      <c r="P149" s="36" t="e">
        <f t="shared" si="33"/>
        <v>#DIV/0!</v>
      </c>
      <c r="Q149" s="39"/>
      <c r="R149" s="39">
        <f t="shared" si="34"/>
        <v>0</v>
      </c>
      <c r="S149" s="60">
        <f t="shared" si="41"/>
        <v>0</v>
      </c>
      <c r="T149" s="27">
        <f t="shared" si="38"/>
        <v>7257</v>
      </c>
      <c r="U149" s="17"/>
      <c r="V149" s="58"/>
    </row>
    <row r="150" spans="1:22" ht="15.75" x14ac:dyDescent="0.25">
      <c r="A150" s="61"/>
      <c r="B150" s="62"/>
      <c r="C150" s="62"/>
      <c r="D150" s="32">
        <f t="shared" si="36"/>
        <v>1</v>
      </c>
      <c r="E150" s="33">
        <f t="shared" si="37"/>
        <v>0</v>
      </c>
      <c r="F150" s="33"/>
      <c r="G150" s="34">
        <f t="shared" si="30"/>
        <v>0</v>
      </c>
      <c r="H150" s="39"/>
      <c r="I150" s="39"/>
      <c r="J150" s="39"/>
      <c r="K150" s="39"/>
      <c r="L150" s="36">
        <f>+H150*$H$6</f>
        <v>0</v>
      </c>
      <c r="M150" s="36">
        <f>+$I$6*I150</f>
        <v>0</v>
      </c>
      <c r="N150" s="36">
        <f t="shared" si="39"/>
        <v>0</v>
      </c>
      <c r="O150" s="36">
        <f>+L150+M150+N150</f>
        <v>0</v>
      </c>
      <c r="P150" s="36" t="e">
        <f t="shared" si="33"/>
        <v>#DIV/0!</v>
      </c>
      <c r="Q150" s="39"/>
      <c r="R150" s="39"/>
      <c r="S150" s="60">
        <f t="shared" si="41"/>
        <v>0</v>
      </c>
      <c r="T150" s="27">
        <f t="shared" si="38"/>
        <v>7257</v>
      </c>
      <c r="U150" s="17"/>
      <c r="V150" s="58"/>
    </row>
    <row r="151" spans="1:22" ht="15.75" x14ac:dyDescent="0.25">
      <c r="A151" s="63"/>
      <c r="B151" s="64"/>
      <c r="C151" s="64"/>
      <c r="D151" s="32">
        <f t="shared" si="36"/>
        <v>1</v>
      </c>
      <c r="E151" s="65" t="s">
        <v>52</v>
      </c>
      <c r="F151" s="66">
        <f>SUM(G7:G150)</f>
        <v>-10331.89</v>
      </c>
      <c r="G151" s="67"/>
      <c r="H151" s="68"/>
      <c r="I151" s="68"/>
      <c r="J151" s="68"/>
      <c r="K151" s="68"/>
      <c r="L151" s="66">
        <f>SUM(O7:O150)</f>
        <v>170215</v>
      </c>
      <c r="M151" s="68"/>
      <c r="N151" s="68"/>
      <c r="O151" s="68"/>
      <c r="P151" s="68"/>
      <c r="Q151" s="68"/>
      <c r="R151" s="68"/>
      <c r="S151" s="68"/>
      <c r="T151" s="68"/>
      <c r="U151" s="69"/>
      <c r="V151" s="69"/>
    </row>
    <row r="152" spans="1:22" ht="15.75" x14ac:dyDescent="0.25">
      <c r="A152" s="63"/>
      <c r="B152" s="64"/>
      <c r="C152" s="64"/>
      <c r="D152" s="70"/>
      <c r="E152" s="65" t="s">
        <v>53</v>
      </c>
      <c r="F152" s="66">
        <f>F151/24</f>
        <v>-430.49541666666664</v>
      </c>
      <c r="G152" s="67"/>
      <c r="H152" s="68"/>
      <c r="I152" s="68"/>
      <c r="J152" s="68"/>
      <c r="K152" s="68"/>
      <c r="L152" s="71">
        <f>L151/1000</f>
        <v>170.215</v>
      </c>
      <c r="M152" s="68"/>
      <c r="N152" s="68"/>
      <c r="O152" s="68"/>
      <c r="P152" s="68"/>
      <c r="Q152" s="68"/>
      <c r="R152" s="68"/>
      <c r="S152" s="68"/>
      <c r="T152" s="68"/>
      <c r="U152" s="69"/>
      <c r="V152" s="69"/>
    </row>
    <row r="153" spans="1:22" ht="15.75" x14ac:dyDescent="0.25">
      <c r="A153" s="63"/>
      <c r="B153" s="64"/>
      <c r="C153" s="64"/>
      <c r="D153" s="70"/>
      <c r="E153" s="67"/>
      <c r="F153" s="67"/>
      <c r="G153" s="67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9"/>
      <c r="V153" s="69"/>
    </row>
    <row r="154" spans="1:22" ht="15.75" x14ac:dyDescent="0.25">
      <c r="A154" s="63"/>
      <c r="B154" s="64"/>
      <c r="C154" s="64"/>
      <c r="D154" s="70"/>
      <c r="E154" s="67"/>
      <c r="F154" s="67"/>
      <c r="G154" s="67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9"/>
      <c r="V154" s="69"/>
    </row>
    <row r="155" spans="1:22" ht="15.75" x14ac:dyDescent="0.25">
      <c r="A155" s="72"/>
      <c r="B155" s="73"/>
      <c r="C155" s="73"/>
      <c r="D155" s="74"/>
      <c r="E155" s="75"/>
      <c r="F155" s="75"/>
      <c r="G155" s="75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9"/>
      <c r="V155" s="69"/>
    </row>
    <row r="156" spans="1:22" x14ac:dyDescent="0.25">
      <c r="A156" s="72"/>
      <c r="B156" s="73"/>
      <c r="C156" s="73"/>
      <c r="D156" s="74"/>
      <c r="E156" s="75"/>
      <c r="F156" s="75"/>
      <c r="G156" s="7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/>
      <c r="V156"/>
    </row>
    <row r="157" spans="1:22" x14ac:dyDescent="0.25">
      <c r="A157" s="72"/>
      <c r="B157" s="73"/>
      <c r="C157" s="73"/>
      <c r="D157" s="74"/>
      <c r="E157" s="75"/>
      <c r="F157" s="75"/>
      <c r="G157" s="7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/>
      <c r="V157"/>
    </row>
    <row r="158" spans="1:22" x14ac:dyDescent="0.25">
      <c r="A158" s="72"/>
      <c r="B158" s="73"/>
      <c r="C158" s="73"/>
      <c r="D158" s="74"/>
      <c r="E158" s="75"/>
      <c r="F158" s="75"/>
      <c r="G158" s="7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/>
      <c r="V158"/>
    </row>
    <row r="159" spans="1:22" x14ac:dyDescent="0.25">
      <c r="A159" s="72"/>
      <c r="B159" s="73"/>
      <c r="C159" s="73"/>
      <c r="D159" s="74"/>
      <c r="E159" s="75"/>
      <c r="F159" s="75"/>
      <c r="G159" s="7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/>
      <c r="V159"/>
    </row>
    <row r="160" spans="1:22" x14ac:dyDescent="0.25">
      <c r="A160" s="72"/>
      <c r="B160" s="73"/>
      <c r="C160" s="73"/>
      <c r="D160" s="74"/>
      <c r="E160" s="75"/>
      <c r="F160" s="75"/>
      <c r="G160" s="7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/>
      <c r="V160"/>
    </row>
    <row r="161" spans="1:22" x14ac:dyDescent="0.25">
      <c r="A161" s="72"/>
      <c r="B161" s="73"/>
      <c r="C161" s="73"/>
      <c r="D161" s="74"/>
      <c r="E161" s="75"/>
      <c r="F161" s="75"/>
      <c r="G161" s="7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/>
      <c r="V161"/>
    </row>
    <row r="162" spans="1:22" x14ac:dyDescent="0.25">
      <c r="A162" s="72"/>
      <c r="B162" s="73"/>
      <c r="C162" s="73"/>
      <c r="D162" s="74"/>
      <c r="E162" s="75"/>
      <c r="F162" s="75"/>
      <c r="G162" s="7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/>
      <c r="V162"/>
    </row>
    <row r="163" spans="1:22" x14ac:dyDescent="0.25">
      <c r="A163" s="72"/>
      <c r="B163" s="73"/>
      <c r="C163" s="73"/>
      <c r="D163" s="74"/>
      <c r="E163" s="75"/>
      <c r="F163" s="75"/>
      <c r="G163" s="7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/>
      <c r="V163"/>
    </row>
    <row r="164" spans="1:22" x14ac:dyDescent="0.25">
      <c r="A164" s="72"/>
      <c r="B164" s="73"/>
      <c r="C164" s="73"/>
      <c r="D164" s="74"/>
      <c r="E164" s="75"/>
      <c r="F164" s="75"/>
      <c r="G164" s="7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/>
      <c r="V164"/>
    </row>
    <row r="165" spans="1:22" x14ac:dyDescent="0.25">
      <c r="A165" s="72"/>
      <c r="B165" s="73"/>
      <c r="C165" s="73"/>
      <c r="D165" s="74"/>
      <c r="E165" s="75"/>
      <c r="F165" s="75"/>
      <c r="G165" s="7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/>
      <c r="V165"/>
    </row>
    <row r="166" spans="1:22" x14ac:dyDescent="0.25">
      <c r="A166" s="72"/>
      <c r="B166" s="73"/>
      <c r="C166" s="73"/>
      <c r="D166" s="74"/>
      <c r="E166" s="75"/>
      <c r="F166" s="75"/>
      <c r="G166" s="7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/>
      <c r="V166"/>
    </row>
    <row r="167" spans="1:22" x14ac:dyDescent="0.25">
      <c r="A167" s="72"/>
      <c r="B167" s="73"/>
      <c r="C167" s="73"/>
      <c r="D167" s="74"/>
      <c r="E167" s="75"/>
      <c r="F167" s="75"/>
      <c r="G167" s="7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/>
      <c r="V167"/>
    </row>
    <row r="168" spans="1:22" x14ac:dyDescent="0.25">
      <c r="A168" s="72"/>
      <c r="B168" s="73"/>
      <c r="C168" s="73"/>
      <c r="D168" s="74"/>
      <c r="E168" s="75"/>
      <c r="F168" s="75"/>
      <c r="G168" s="7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/>
      <c r="V168"/>
    </row>
    <row r="169" spans="1:22" x14ac:dyDescent="0.25">
      <c r="A169" s="72"/>
      <c r="B169" s="73"/>
      <c r="C169" s="73"/>
      <c r="D169" s="74"/>
      <c r="E169" s="75"/>
      <c r="F169" s="75"/>
      <c r="G169" s="7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/>
      <c r="V169"/>
    </row>
    <row r="170" spans="1:22" x14ac:dyDescent="0.25">
      <c r="A170" s="72"/>
      <c r="B170" s="73"/>
      <c r="C170" s="73"/>
      <c r="D170" s="74"/>
      <c r="E170" s="75"/>
      <c r="F170" s="75"/>
      <c r="G170" s="7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/>
      <c r="V170"/>
    </row>
    <row r="171" spans="1:22" x14ac:dyDescent="0.25">
      <c r="A171" s="72"/>
      <c r="B171" s="73"/>
      <c r="C171" s="73"/>
      <c r="D171" s="74"/>
      <c r="E171" s="75"/>
      <c r="F171" s="75"/>
      <c r="G171" s="7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/>
      <c r="V171"/>
    </row>
    <row r="172" spans="1:22" x14ac:dyDescent="0.25">
      <c r="A172" s="72"/>
      <c r="B172" s="73"/>
      <c r="C172" s="73"/>
      <c r="D172" s="74"/>
      <c r="E172" s="75"/>
      <c r="F172" s="75"/>
      <c r="G172" s="7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/>
      <c r="V172"/>
    </row>
    <row r="173" spans="1:22" x14ac:dyDescent="0.25">
      <c r="A173" s="72"/>
      <c r="B173" s="73"/>
      <c r="C173" s="73"/>
      <c r="D173" s="74"/>
      <c r="E173" s="75"/>
      <c r="F173" s="75"/>
      <c r="G173" s="7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/>
      <c r="V173"/>
    </row>
    <row r="174" spans="1:22" x14ac:dyDescent="0.25">
      <c r="A174" s="72"/>
      <c r="B174" s="73"/>
      <c r="C174" s="73"/>
      <c r="D174" s="74"/>
      <c r="E174" s="75"/>
      <c r="F174" s="75"/>
      <c r="G174" s="7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/>
      <c r="V174"/>
    </row>
    <row r="175" spans="1:22" x14ac:dyDescent="0.25">
      <c r="A175" s="72"/>
      <c r="B175" s="73"/>
      <c r="C175" s="73"/>
      <c r="D175" s="74"/>
      <c r="E175" s="75"/>
      <c r="F175" s="75"/>
      <c r="G175" s="7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/>
      <c r="V175"/>
    </row>
    <row r="176" spans="1:22" x14ac:dyDescent="0.25">
      <c r="A176" s="72"/>
      <c r="B176" s="73"/>
      <c r="C176" s="73"/>
      <c r="D176" s="74"/>
      <c r="E176" s="75"/>
      <c r="F176" s="75"/>
      <c r="G176" s="7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/>
      <c r="V176"/>
    </row>
    <row r="177" spans="1:22" x14ac:dyDescent="0.25">
      <c r="A177" s="72"/>
      <c r="B177" s="73"/>
      <c r="C177" s="73"/>
      <c r="D177" s="74"/>
      <c r="E177" s="75"/>
      <c r="F177" s="75"/>
      <c r="G177" s="7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/>
      <c r="V177"/>
    </row>
    <row r="178" spans="1:22" x14ac:dyDescent="0.25">
      <c r="A178" s="72"/>
      <c r="B178" s="73"/>
      <c r="C178" s="73"/>
      <c r="D178" s="74"/>
      <c r="E178" s="75"/>
      <c r="F178" s="75"/>
      <c r="G178" s="7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/>
      <c r="V178"/>
    </row>
    <row r="179" spans="1:22" x14ac:dyDescent="0.25">
      <c r="A179" s="72"/>
      <c r="B179" s="73"/>
      <c r="C179" s="73"/>
      <c r="D179" s="74"/>
      <c r="E179" s="75"/>
      <c r="F179" s="75"/>
      <c r="G179" s="7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/>
      <c r="V179"/>
    </row>
    <row r="180" spans="1:22" x14ac:dyDescent="0.25">
      <c r="A180" s="72"/>
      <c r="B180" s="73"/>
      <c r="C180" s="73"/>
      <c r="D180" s="74"/>
      <c r="E180" s="75"/>
      <c r="F180" s="75"/>
      <c r="G180" s="7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/>
      <c r="V180"/>
    </row>
    <row r="181" spans="1:22" x14ac:dyDescent="0.25">
      <c r="A181" s="72"/>
      <c r="B181" s="73"/>
      <c r="C181" s="73"/>
      <c r="D181" s="74"/>
      <c r="E181" s="75"/>
      <c r="F181" s="75"/>
      <c r="G181" s="7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/>
      <c r="V181"/>
    </row>
    <row r="182" spans="1:22" x14ac:dyDescent="0.25">
      <c r="A182" s="72"/>
      <c r="B182" s="73"/>
      <c r="C182" s="73"/>
      <c r="D182" s="74"/>
      <c r="E182" s="75"/>
      <c r="F182" s="75"/>
      <c r="G182" s="7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/>
      <c r="V182"/>
    </row>
    <row r="183" spans="1:22" x14ac:dyDescent="0.25">
      <c r="A183" s="72"/>
      <c r="B183" s="73"/>
      <c r="C183" s="73"/>
      <c r="D183" s="74"/>
      <c r="E183" s="75"/>
      <c r="F183" s="75"/>
      <c r="G183" s="7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/>
      <c r="V183"/>
    </row>
    <row r="184" spans="1:22" x14ac:dyDescent="0.25">
      <c r="A184" s="72"/>
      <c r="B184" s="73"/>
      <c r="C184" s="73"/>
      <c r="D184" s="74"/>
      <c r="E184" s="75"/>
      <c r="F184" s="75"/>
      <c r="G184" s="7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/>
      <c r="V184"/>
    </row>
    <row r="185" spans="1:22" x14ac:dyDescent="0.25">
      <c r="A185" s="72"/>
      <c r="B185" s="73"/>
      <c r="C185" s="73"/>
      <c r="D185" s="74"/>
      <c r="E185" s="75"/>
      <c r="F185" s="75"/>
      <c r="G185" s="7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/>
      <c r="V185"/>
    </row>
    <row r="186" spans="1:22" x14ac:dyDescent="0.25">
      <c r="A186" s="72"/>
      <c r="B186" s="73"/>
      <c r="C186" s="73"/>
      <c r="D186" s="74"/>
      <c r="E186" s="75"/>
      <c r="F186" s="75"/>
      <c r="G186" s="7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/>
      <c r="V186"/>
    </row>
    <row r="187" spans="1:22" x14ac:dyDescent="0.25">
      <c r="A187" s="72"/>
      <c r="B187" s="73"/>
      <c r="C187" s="73"/>
      <c r="D187" s="74"/>
      <c r="E187" s="75"/>
      <c r="F187" s="75"/>
      <c r="G187" s="7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/>
      <c r="V187"/>
    </row>
    <row r="188" spans="1:22" x14ac:dyDescent="0.25">
      <c r="A188" s="72"/>
      <c r="B188" s="73"/>
      <c r="C188" s="73"/>
      <c r="D188" s="74"/>
      <c r="E188" s="75"/>
      <c r="F188" s="75"/>
      <c r="G188" s="7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/>
      <c r="V188"/>
    </row>
    <row r="189" spans="1:22" x14ac:dyDescent="0.25">
      <c r="A189" s="72"/>
      <c r="B189" s="73"/>
      <c r="C189" s="73"/>
      <c r="D189" s="74"/>
      <c r="E189" s="75"/>
      <c r="F189" s="75"/>
      <c r="G189" s="7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/>
      <c r="V189"/>
    </row>
    <row r="190" spans="1:22" x14ac:dyDescent="0.25">
      <c r="A190" s="72"/>
      <c r="B190" s="73"/>
      <c r="C190" s="73"/>
      <c r="D190" s="74"/>
      <c r="E190" s="75"/>
      <c r="F190" s="75"/>
      <c r="G190" s="7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/>
      <c r="V190"/>
    </row>
    <row r="191" spans="1:22" x14ac:dyDescent="0.25">
      <c r="A191" s="72"/>
      <c r="B191" s="73"/>
      <c r="C191" s="73"/>
      <c r="D191" s="74"/>
      <c r="E191" s="75"/>
      <c r="F191" s="75"/>
      <c r="G191" s="7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/>
      <c r="V191"/>
    </row>
    <row r="192" spans="1:22" x14ac:dyDescent="0.25">
      <c r="A192" s="72"/>
      <c r="B192" s="73"/>
      <c r="C192" s="73"/>
      <c r="D192" s="74"/>
      <c r="E192" s="75"/>
      <c r="F192" s="75"/>
      <c r="G192" s="7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/>
      <c r="V192"/>
    </row>
    <row r="193" spans="1:22" x14ac:dyDescent="0.25">
      <c r="A193" s="72"/>
      <c r="B193" s="73"/>
      <c r="C193" s="73"/>
      <c r="D193" s="74"/>
      <c r="E193" s="75"/>
      <c r="F193" s="75"/>
      <c r="G193" s="7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/>
      <c r="V193"/>
    </row>
    <row r="194" spans="1:22" x14ac:dyDescent="0.25">
      <c r="A194" s="72"/>
      <c r="B194" s="73"/>
      <c r="C194" s="73"/>
      <c r="D194" s="74"/>
      <c r="E194" s="75"/>
      <c r="F194" s="75"/>
      <c r="G194" s="7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/>
      <c r="V194"/>
    </row>
    <row r="195" spans="1:22" x14ac:dyDescent="0.25">
      <c r="A195" s="72"/>
      <c r="B195" s="73"/>
      <c r="C195" s="73"/>
      <c r="D195" s="74"/>
      <c r="E195" s="75"/>
      <c r="F195" s="75"/>
      <c r="G195" s="7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/>
      <c r="V195"/>
    </row>
    <row r="196" spans="1:22" x14ac:dyDescent="0.25">
      <c r="A196" s="72"/>
      <c r="B196" s="73"/>
      <c r="C196" s="73"/>
      <c r="D196" s="74"/>
      <c r="E196" s="75"/>
      <c r="F196" s="75"/>
      <c r="G196" s="7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/>
      <c r="V196"/>
    </row>
    <row r="197" spans="1:22" x14ac:dyDescent="0.25">
      <c r="A197" s="72"/>
      <c r="B197" s="73"/>
      <c r="C197" s="73"/>
      <c r="D197" s="74"/>
      <c r="E197" s="75"/>
      <c r="F197" s="75"/>
      <c r="G197" s="7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/>
      <c r="V197"/>
    </row>
    <row r="198" spans="1:22" x14ac:dyDescent="0.25">
      <c r="A198" s="72"/>
      <c r="B198" s="73"/>
      <c r="C198" s="73"/>
      <c r="D198" s="74"/>
      <c r="E198" s="75"/>
      <c r="F198" s="75"/>
      <c r="G198" s="7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/>
      <c r="V198"/>
    </row>
    <row r="199" spans="1:22" x14ac:dyDescent="0.25">
      <c r="A199" s="72"/>
      <c r="B199" s="73"/>
      <c r="C199" s="73"/>
      <c r="D199" s="74"/>
      <c r="E199" s="75"/>
      <c r="F199" s="75"/>
      <c r="G199" s="7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/>
      <c r="V199"/>
    </row>
    <row r="200" spans="1:22" x14ac:dyDescent="0.25">
      <c r="A200" s="72"/>
      <c r="B200" s="73"/>
      <c r="C200" s="73"/>
      <c r="D200" s="74"/>
      <c r="E200" s="75"/>
      <c r="F200" s="75"/>
      <c r="G200" s="7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/>
      <c r="V200"/>
    </row>
    <row r="201" spans="1:22" x14ac:dyDescent="0.25">
      <c r="A201" s="72"/>
      <c r="B201" s="73"/>
      <c r="C201" s="73"/>
      <c r="D201" s="74"/>
      <c r="E201" s="75"/>
      <c r="F201" s="75"/>
      <c r="G201" s="7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/>
      <c r="V201"/>
    </row>
    <row r="202" spans="1:22" x14ac:dyDescent="0.25">
      <c r="A202" s="72"/>
      <c r="B202" s="73"/>
      <c r="C202" s="73"/>
      <c r="D202" s="74"/>
      <c r="E202" s="75"/>
      <c r="F202" s="75"/>
      <c r="G202" s="7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/>
      <c r="V202"/>
    </row>
    <row r="203" spans="1:22" x14ac:dyDescent="0.25">
      <c r="A203" s="72"/>
      <c r="B203" s="73"/>
      <c r="C203" s="73"/>
      <c r="D203" s="74"/>
      <c r="E203" s="75"/>
      <c r="F203" s="75"/>
      <c r="G203" s="7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/>
      <c r="V203"/>
    </row>
    <row r="204" spans="1:22" x14ac:dyDescent="0.25">
      <c r="A204" s="72"/>
      <c r="B204" s="73"/>
      <c r="C204" s="73"/>
      <c r="D204" s="74"/>
      <c r="E204" s="75"/>
      <c r="F204" s="75"/>
      <c r="G204" s="7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/>
      <c r="V204"/>
    </row>
    <row r="205" spans="1:22" x14ac:dyDescent="0.25">
      <c r="A205" s="72"/>
      <c r="B205" s="73"/>
      <c r="C205" s="73"/>
      <c r="D205" s="74"/>
      <c r="E205" s="75"/>
      <c r="F205" s="75"/>
      <c r="G205" s="7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/>
      <c r="V205"/>
    </row>
    <row r="206" spans="1:22" x14ac:dyDescent="0.25">
      <c r="A206" s="72"/>
      <c r="B206" s="73"/>
      <c r="C206" s="73"/>
      <c r="D206" s="74"/>
      <c r="E206" s="75"/>
      <c r="F206" s="75"/>
      <c r="G206" s="7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/>
      <c r="V206"/>
    </row>
    <row r="207" spans="1:22" x14ac:dyDescent="0.25">
      <c r="A207" s="72"/>
      <c r="B207" s="73"/>
      <c r="C207" s="73"/>
      <c r="D207" s="74"/>
      <c r="E207" s="75"/>
      <c r="F207" s="75"/>
      <c r="G207" s="7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/>
      <c r="V207"/>
    </row>
    <row r="208" spans="1:22" x14ac:dyDescent="0.25">
      <c r="A208" s="72"/>
      <c r="B208" s="73"/>
      <c r="C208" s="73"/>
      <c r="D208" s="74"/>
      <c r="E208" s="75"/>
      <c r="F208" s="75"/>
      <c r="G208" s="7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/>
      <c r="V208"/>
    </row>
    <row r="209" spans="1:22" x14ac:dyDescent="0.25">
      <c r="A209" s="72"/>
      <c r="B209" s="73"/>
      <c r="C209" s="73"/>
      <c r="D209" s="74"/>
      <c r="E209" s="75"/>
      <c r="F209" s="75"/>
      <c r="G209" s="7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/>
      <c r="V209"/>
    </row>
    <row r="210" spans="1:22" x14ac:dyDescent="0.25">
      <c r="A210" s="72"/>
      <c r="B210" s="73"/>
      <c r="C210" s="73"/>
      <c r="D210" s="74"/>
      <c r="E210" s="75"/>
      <c r="F210" s="75"/>
      <c r="G210" s="7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/>
      <c r="V210"/>
    </row>
    <row r="211" spans="1:22" x14ac:dyDescent="0.25">
      <c r="A211" s="72"/>
      <c r="B211" s="73"/>
      <c r="C211" s="73"/>
      <c r="D211" s="74"/>
      <c r="E211" s="75"/>
      <c r="F211" s="75"/>
      <c r="G211" s="7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/>
      <c r="V211"/>
    </row>
    <row r="212" spans="1:22" x14ac:dyDescent="0.25">
      <c r="A212" s="72"/>
      <c r="B212" s="73"/>
      <c r="C212" s="73"/>
      <c r="D212" s="74"/>
      <c r="E212" s="75"/>
      <c r="F212" s="75"/>
      <c r="G212" s="7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/>
      <c r="V212"/>
    </row>
    <row r="213" spans="1:22" x14ac:dyDescent="0.25">
      <c r="A213" s="72"/>
      <c r="B213" s="73"/>
      <c r="C213" s="73"/>
      <c r="D213" s="74"/>
      <c r="E213" s="75"/>
      <c r="F213" s="75"/>
      <c r="G213" s="7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/>
      <c r="V213"/>
    </row>
    <row r="214" spans="1:22" x14ac:dyDescent="0.25">
      <c r="A214" s="72"/>
      <c r="B214" s="73"/>
      <c r="C214" s="73"/>
      <c r="D214" s="74"/>
      <c r="E214" s="75"/>
      <c r="F214" s="75"/>
      <c r="G214" s="7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/>
      <c r="V214"/>
    </row>
    <row r="215" spans="1:22" x14ac:dyDescent="0.25">
      <c r="A215" s="72"/>
      <c r="B215" s="73"/>
      <c r="C215" s="73"/>
      <c r="D215" s="74"/>
      <c r="E215" s="75"/>
      <c r="F215" s="75"/>
      <c r="G215" s="7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/>
      <c r="V215"/>
    </row>
    <row r="216" spans="1:22" x14ac:dyDescent="0.25">
      <c r="A216" s="72"/>
      <c r="B216" s="73"/>
      <c r="C216" s="73"/>
      <c r="D216" s="74"/>
      <c r="E216" s="75"/>
      <c r="F216" s="75"/>
      <c r="G216" s="7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/>
      <c r="V216"/>
    </row>
    <row r="217" spans="1:22" x14ac:dyDescent="0.25">
      <c r="A217" s="72"/>
      <c r="B217" s="73"/>
      <c r="C217" s="73"/>
      <c r="D217" s="74"/>
      <c r="E217" s="75"/>
      <c r="F217" s="75"/>
      <c r="G217" s="7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/>
      <c r="V217"/>
    </row>
    <row r="218" spans="1:22" x14ac:dyDescent="0.25">
      <c r="A218" s="72"/>
      <c r="B218" s="73"/>
      <c r="C218" s="73"/>
      <c r="D218" s="74"/>
      <c r="E218" s="75"/>
      <c r="F218" s="75"/>
      <c r="G218" s="7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/>
      <c r="V218"/>
    </row>
    <row r="219" spans="1:22" x14ac:dyDescent="0.25">
      <c r="A219" s="72"/>
      <c r="B219" s="73"/>
      <c r="C219" s="73"/>
      <c r="D219" s="74"/>
      <c r="E219" s="75"/>
      <c r="F219" s="75"/>
      <c r="G219" s="7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/>
      <c r="V219"/>
    </row>
    <row r="220" spans="1:22" x14ac:dyDescent="0.25">
      <c r="A220" s="72"/>
      <c r="B220" s="73"/>
      <c r="C220" s="73"/>
      <c r="D220" s="74"/>
      <c r="E220" s="75"/>
      <c r="F220" s="75"/>
      <c r="G220" s="7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/>
      <c r="V220"/>
    </row>
    <row r="221" spans="1:22" x14ac:dyDescent="0.25">
      <c r="A221" s="72"/>
      <c r="B221" s="73"/>
      <c r="C221" s="73"/>
      <c r="D221" s="74"/>
      <c r="E221" s="75"/>
      <c r="F221" s="75"/>
      <c r="G221" s="7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/>
      <c r="V221"/>
    </row>
    <row r="222" spans="1:22" x14ac:dyDescent="0.25">
      <c r="A222" s="72"/>
      <c r="B222" s="73"/>
      <c r="C222" s="73"/>
      <c r="D222" s="74"/>
      <c r="E222" s="75"/>
      <c r="F222" s="75"/>
      <c r="G222" s="7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/>
      <c r="V222"/>
    </row>
    <row r="223" spans="1:22" x14ac:dyDescent="0.25">
      <c r="A223" s="72"/>
      <c r="B223" s="73"/>
      <c r="C223" s="73"/>
      <c r="D223" s="74"/>
      <c r="E223" s="75"/>
      <c r="F223" s="75"/>
      <c r="G223" s="7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/>
      <c r="V223"/>
    </row>
    <row r="224" spans="1:22" x14ac:dyDescent="0.25">
      <c r="A224" s="72"/>
      <c r="B224" s="73"/>
      <c r="C224" s="73"/>
      <c r="D224" s="74"/>
      <c r="E224" s="75"/>
      <c r="F224" s="75"/>
      <c r="G224" s="7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/>
      <c r="V224"/>
    </row>
    <row r="225" spans="1:22" x14ac:dyDescent="0.25">
      <c r="A225" s="72"/>
      <c r="B225" s="73"/>
      <c r="C225" s="73"/>
      <c r="D225" s="74"/>
      <c r="E225" s="75"/>
      <c r="F225" s="75"/>
      <c r="G225" s="7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/>
      <c r="V225"/>
    </row>
    <row r="226" spans="1:22" x14ac:dyDescent="0.25">
      <c r="A226" s="72"/>
      <c r="B226" s="73"/>
      <c r="C226" s="73"/>
      <c r="D226" s="74"/>
      <c r="E226" s="75"/>
      <c r="F226" s="75"/>
      <c r="G226" s="7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/>
      <c r="V226"/>
    </row>
    <row r="227" spans="1:22" x14ac:dyDescent="0.25">
      <c r="A227" s="72"/>
      <c r="B227" s="73"/>
      <c r="C227" s="73"/>
      <c r="D227" s="74"/>
      <c r="E227" s="75"/>
      <c r="F227" s="75"/>
      <c r="G227" s="7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/>
      <c r="V227"/>
    </row>
    <row r="228" spans="1:22" x14ac:dyDescent="0.25">
      <c r="A228" s="72"/>
      <c r="B228" s="73"/>
      <c r="C228" s="73"/>
      <c r="D228" s="74"/>
      <c r="E228" s="75"/>
      <c r="F228" s="75"/>
      <c r="G228" s="7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/>
      <c r="V228"/>
    </row>
    <row r="229" spans="1:22" x14ac:dyDescent="0.25">
      <c r="A229" s="72"/>
      <c r="B229" s="73"/>
      <c r="C229" s="73"/>
      <c r="D229" s="74"/>
      <c r="E229" s="75"/>
      <c r="F229" s="75"/>
      <c r="G229" s="7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/>
      <c r="V229"/>
    </row>
    <row r="230" spans="1:22" x14ac:dyDescent="0.25">
      <c r="A230" s="72"/>
      <c r="B230" s="73"/>
      <c r="C230" s="73"/>
      <c r="D230" s="74"/>
      <c r="E230" s="75"/>
      <c r="F230" s="75"/>
      <c r="G230" s="7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/>
      <c r="V230"/>
    </row>
    <row r="231" spans="1:22" x14ac:dyDescent="0.25">
      <c r="A231" s="72"/>
      <c r="B231" s="73"/>
      <c r="C231" s="73"/>
      <c r="D231" s="74"/>
      <c r="E231" s="75"/>
      <c r="F231" s="75"/>
      <c r="G231" s="7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/>
      <c r="V231"/>
    </row>
    <row r="232" spans="1:22" x14ac:dyDescent="0.25">
      <c r="A232" s="72"/>
      <c r="B232" s="73"/>
      <c r="C232" s="73"/>
      <c r="D232" s="74"/>
      <c r="E232" s="75"/>
      <c r="F232" s="75"/>
      <c r="G232" s="7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/>
      <c r="V232"/>
    </row>
    <row r="233" spans="1:22" x14ac:dyDescent="0.25">
      <c r="A233" s="72"/>
      <c r="B233" s="73"/>
      <c r="C233" s="73"/>
      <c r="D233" s="74"/>
      <c r="E233" s="75"/>
      <c r="F233" s="75"/>
      <c r="G233" s="7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/>
      <c r="V233"/>
    </row>
    <row r="234" spans="1:22" x14ac:dyDescent="0.25">
      <c r="A234" s="72"/>
      <c r="B234" s="73"/>
      <c r="C234" s="73"/>
      <c r="D234" s="74"/>
      <c r="E234" s="75"/>
      <c r="F234" s="75"/>
      <c r="G234" s="7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/>
      <c r="V234"/>
    </row>
    <row r="235" spans="1:22" x14ac:dyDescent="0.25">
      <c r="A235" s="72"/>
      <c r="B235" s="73"/>
      <c r="C235" s="73"/>
      <c r="D235" s="74"/>
      <c r="E235" s="75"/>
      <c r="F235" s="75"/>
      <c r="G235" s="7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/>
      <c r="V235"/>
    </row>
    <row r="236" spans="1:22" x14ac:dyDescent="0.25">
      <c r="A236" s="72"/>
      <c r="B236" s="73"/>
      <c r="C236" s="73"/>
      <c r="D236" s="74"/>
      <c r="E236" s="75"/>
      <c r="F236" s="75"/>
      <c r="G236" s="7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/>
      <c r="V236"/>
    </row>
    <row r="237" spans="1:22" x14ac:dyDescent="0.25">
      <c r="A237" s="72"/>
      <c r="B237" s="73"/>
      <c r="C237" s="73"/>
      <c r="D237" s="74"/>
      <c r="E237" s="75"/>
      <c r="F237" s="75"/>
      <c r="G237" s="7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/>
      <c r="V237"/>
    </row>
    <row r="238" spans="1:22" x14ac:dyDescent="0.25">
      <c r="A238" s="72"/>
      <c r="B238" s="73"/>
      <c r="C238" s="73"/>
      <c r="D238" s="74"/>
      <c r="E238" s="75"/>
      <c r="F238" s="75"/>
      <c r="G238" s="7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/>
      <c r="V238"/>
    </row>
    <row r="239" spans="1:22" x14ac:dyDescent="0.25">
      <c r="A239" s="72"/>
      <c r="B239" s="73"/>
      <c r="C239" s="73"/>
      <c r="D239" s="74"/>
      <c r="E239" s="75"/>
      <c r="F239" s="75"/>
      <c r="G239" s="7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/>
      <c r="V239"/>
    </row>
    <row r="240" spans="1:22" x14ac:dyDescent="0.25">
      <c r="A240" s="72"/>
      <c r="B240" s="73"/>
      <c r="C240" s="73"/>
      <c r="D240" s="74"/>
      <c r="E240" s="75"/>
      <c r="F240" s="75"/>
      <c r="G240" s="7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/>
      <c r="V240"/>
    </row>
    <row r="241" spans="1:22" x14ac:dyDescent="0.25">
      <c r="A241" s="72"/>
      <c r="B241" s="73"/>
      <c r="C241" s="73"/>
      <c r="D241" s="74"/>
      <c r="E241" s="75"/>
      <c r="F241" s="75"/>
      <c r="G241" s="7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/>
      <c r="V241"/>
    </row>
    <row r="242" spans="1:22" x14ac:dyDescent="0.25">
      <c r="A242" s="72"/>
      <c r="B242" s="73"/>
      <c r="C242" s="73"/>
      <c r="D242" s="74"/>
      <c r="E242" s="75"/>
      <c r="F242" s="75"/>
      <c r="G242" s="7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/>
      <c r="V242"/>
    </row>
    <row r="243" spans="1:22" x14ac:dyDescent="0.25">
      <c r="A243" s="72"/>
      <c r="B243" s="73"/>
      <c r="C243" s="73"/>
      <c r="D243" s="74"/>
      <c r="E243" s="75"/>
      <c r="F243" s="75"/>
      <c r="G243" s="7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/>
      <c r="V243"/>
    </row>
    <row r="244" spans="1:22" x14ac:dyDescent="0.25">
      <c r="A244" s="72"/>
      <c r="B244" s="73"/>
      <c r="C244" s="73"/>
      <c r="D244" s="74"/>
      <c r="E244" s="75"/>
      <c r="F244" s="75"/>
      <c r="G244" s="7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/>
      <c r="V244"/>
    </row>
    <row r="245" spans="1:22" x14ac:dyDescent="0.25">
      <c r="A245" s="72"/>
      <c r="B245" s="73"/>
      <c r="C245" s="73"/>
      <c r="D245" s="74"/>
      <c r="E245" s="75"/>
      <c r="F245" s="75"/>
      <c r="G245" s="7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/>
      <c r="V245"/>
    </row>
    <row r="246" spans="1:22" x14ac:dyDescent="0.25">
      <c r="A246" s="72"/>
      <c r="B246" s="73"/>
      <c r="C246" s="73"/>
      <c r="D246" s="74"/>
      <c r="E246" s="75"/>
      <c r="F246" s="75"/>
      <c r="G246" s="7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/>
      <c r="V246"/>
    </row>
    <row r="247" spans="1:22" x14ac:dyDescent="0.25">
      <c r="A247" s="72"/>
      <c r="B247" s="73"/>
      <c r="C247" s="73"/>
      <c r="D247" s="74"/>
      <c r="E247" s="75"/>
      <c r="F247" s="75"/>
      <c r="G247" s="7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/>
      <c r="V247"/>
    </row>
    <row r="248" spans="1:22" x14ac:dyDescent="0.25">
      <c r="A248" s="72"/>
      <c r="B248" s="73"/>
      <c r="C248" s="73"/>
      <c r="D248" s="74"/>
      <c r="E248" s="75"/>
      <c r="F248" s="75"/>
      <c r="G248" s="7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/>
      <c r="V248"/>
    </row>
    <row r="249" spans="1:22" x14ac:dyDescent="0.25">
      <c r="A249" s="72"/>
      <c r="B249" s="73"/>
      <c r="C249" s="73"/>
      <c r="D249" s="74"/>
      <c r="E249" s="75"/>
      <c r="F249" s="75"/>
      <c r="G249" s="7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/>
      <c r="V249"/>
    </row>
    <row r="250" spans="1:22" x14ac:dyDescent="0.25">
      <c r="A250" s="72"/>
      <c r="B250" s="73"/>
      <c r="C250" s="73"/>
      <c r="D250" s="74"/>
      <c r="E250" s="75"/>
      <c r="F250" s="75"/>
      <c r="G250" s="7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/>
      <c r="V250"/>
    </row>
    <row r="251" spans="1:22" x14ac:dyDescent="0.25">
      <c r="A251" s="72"/>
      <c r="B251" s="73"/>
      <c r="C251" s="73"/>
      <c r="D251" s="74"/>
      <c r="E251" s="75"/>
      <c r="F251" s="75"/>
      <c r="G251" s="7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/>
      <c r="V251"/>
    </row>
    <row r="252" spans="1:22" x14ac:dyDescent="0.25">
      <c r="A252" s="72"/>
      <c r="B252" s="73"/>
      <c r="C252" s="73"/>
      <c r="D252" s="74"/>
      <c r="E252" s="75"/>
      <c r="F252" s="75"/>
      <c r="G252" s="7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/>
      <c r="V252"/>
    </row>
    <row r="253" spans="1:22" x14ac:dyDescent="0.25">
      <c r="A253" s="72"/>
      <c r="B253" s="73"/>
      <c r="C253" s="73"/>
      <c r="D253" s="74"/>
      <c r="E253" s="75"/>
      <c r="F253" s="75"/>
      <c r="G253" s="7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/>
      <c r="V253"/>
    </row>
    <row r="254" spans="1:22" x14ac:dyDescent="0.25">
      <c r="A254" s="72"/>
      <c r="B254" s="73"/>
      <c r="C254" s="73"/>
      <c r="D254" s="74"/>
      <c r="E254" s="75"/>
      <c r="F254" s="75"/>
      <c r="G254" s="7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/>
      <c r="V254"/>
    </row>
    <row r="255" spans="1:22" x14ac:dyDescent="0.25">
      <c r="A255" s="72"/>
      <c r="B255" s="73"/>
      <c r="C255" s="73"/>
      <c r="D255" s="74"/>
      <c r="E255" s="75"/>
      <c r="F255" s="75"/>
      <c r="G255" s="7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/>
      <c r="V255"/>
    </row>
    <row r="256" spans="1:22" x14ac:dyDescent="0.25">
      <c r="A256" s="72"/>
      <c r="B256" s="73"/>
      <c r="C256" s="73"/>
      <c r="D256" s="74"/>
      <c r="E256" s="75"/>
      <c r="F256" s="75"/>
      <c r="G256" s="7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/>
      <c r="V256"/>
    </row>
    <row r="257" spans="1:22" x14ac:dyDescent="0.25">
      <c r="A257" s="72"/>
      <c r="B257" s="73"/>
      <c r="C257" s="73"/>
      <c r="D257" s="74"/>
      <c r="E257" s="75"/>
      <c r="F257" s="75"/>
      <c r="G257" s="7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/>
      <c r="V257"/>
    </row>
    <row r="258" spans="1:22" x14ac:dyDescent="0.25">
      <c r="A258" s="72"/>
      <c r="B258" s="73"/>
      <c r="C258" s="73"/>
      <c r="D258" s="74"/>
      <c r="E258" s="75"/>
      <c r="F258" s="75"/>
      <c r="G258" s="7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/>
      <c r="V258"/>
    </row>
    <row r="259" spans="1:22" x14ac:dyDescent="0.25">
      <c r="A259" s="72"/>
      <c r="B259" s="73"/>
      <c r="C259" s="73"/>
      <c r="D259" s="74"/>
      <c r="E259" s="75"/>
      <c r="F259" s="75"/>
      <c r="G259" s="7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/>
      <c r="V259"/>
    </row>
    <row r="260" spans="1:22" x14ac:dyDescent="0.25">
      <c r="A260" s="72"/>
      <c r="B260" s="73"/>
      <c r="C260" s="73"/>
      <c r="D260" s="74"/>
      <c r="E260" s="75"/>
      <c r="F260" s="75"/>
      <c r="G260" s="7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/>
      <c r="V260"/>
    </row>
    <row r="261" spans="1:22" x14ac:dyDescent="0.25">
      <c r="A261" s="72"/>
      <c r="B261" s="73"/>
      <c r="C261" s="73"/>
      <c r="D261" s="74"/>
      <c r="E261" s="75"/>
      <c r="F261" s="75"/>
      <c r="G261" s="7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/>
      <c r="V261"/>
    </row>
    <row r="262" spans="1:22" x14ac:dyDescent="0.25">
      <c r="A262" s="72"/>
      <c r="B262" s="73"/>
      <c r="C262" s="73"/>
      <c r="D262" s="74"/>
      <c r="E262" s="75"/>
      <c r="F262" s="75"/>
      <c r="G262" s="7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/>
      <c r="V262"/>
    </row>
    <row r="263" spans="1:22" x14ac:dyDescent="0.25">
      <c r="A263" s="72"/>
      <c r="B263" s="73"/>
      <c r="C263" s="73"/>
      <c r="D263" s="74"/>
      <c r="E263" s="75"/>
      <c r="F263" s="75"/>
      <c r="G263" s="7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/>
      <c r="V263"/>
    </row>
    <row r="264" spans="1:22" x14ac:dyDescent="0.25">
      <c r="A264" s="72"/>
      <c r="B264" s="73"/>
      <c r="C264" s="73"/>
      <c r="D264" s="74"/>
      <c r="E264" s="75"/>
      <c r="F264" s="75"/>
      <c r="G264" s="7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/>
      <c r="V264"/>
    </row>
    <row r="265" spans="1:22" x14ac:dyDescent="0.25">
      <c r="A265" s="72"/>
      <c r="B265" s="73"/>
      <c r="C265" s="73"/>
      <c r="D265" s="74"/>
      <c r="E265" s="75"/>
      <c r="F265" s="75"/>
      <c r="G265" s="7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/>
      <c r="V265"/>
    </row>
    <row r="266" spans="1:22" x14ac:dyDescent="0.25">
      <c r="A266" s="72"/>
      <c r="B266" s="73"/>
      <c r="C266" s="73"/>
      <c r="D266" s="74"/>
      <c r="E266" s="75"/>
      <c r="F266" s="75"/>
      <c r="G266" s="7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/>
      <c r="V266"/>
    </row>
    <row r="267" spans="1:22" x14ac:dyDescent="0.25">
      <c r="A267" s="72"/>
      <c r="B267" s="73"/>
      <c r="C267" s="73"/>
      <c r="D267" s="74"/>
      <c r="E267" s="75"/>
      <c r="F267" s="75"/>
      <c r="G267" s="7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/>
      <c r="V267"/>
    </row>
    <row r="268" spans="1:22" x14ac:dyDescent="0.25">
      <c r="A268" s="72"/>
      <c r="B268" s="73"/>
      <c r="C268" s="73"/>
      <c r="D268" s="74"/>
      <c r="E268" s="75"/>
      <c r="F268" s="75"/>
      <c r="G268" s="7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/>
      <c r="V268"/>
    </row>
    <row r="269" spans="1:22" x14ac:dyDescent="0.25">
      <c r="A269" s="72"/>
      <c r="B269" s="73"/>
      <c r="C269" s="73"/>
      <c r="D269" s="74"/>
      <c r="E269" s="75"/>
      <c r="F269" s="75"/>
      <c r="G269" s="7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/>
      <c r="V269"/>
    </row>
    <row r="270" spans="1:22" x14ac:dyDescent="0.25">
      <c r="A270" s="72"/>
      <c r="B270" s="73"/>
      <c r="C270" s="73"/>
      <c r="D270" s="74"/>
      <c r="E270" s="75"/>
      <c r="F270" s="75"/>
      <c r="G270" s="7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/>
      <c r="V270"/>
    </row>
    <row r="271" spans="1:22" x14ac:dyDescent="0.25">
      <c r="A271" s="72"/>
      <c r="B271" s="73"/>
      <c r="C271" s="73"/>
      <c r="D271" s="74"/>
      <c r="E271" s="75"/>
      <c r="F271" s="75"/>
      <c r="G271" s="7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/>
      <c r="V271"/>
    </row>
    <row r="272" spans="1:22" x14ac:dyDescent="0.25">
      <c r="A272" s="72"/>
      <c r="B272" s="73"/>
      <c r="C272" s="73"/>
      <c r="D272" s="74"/>
      <c r="E272" s="75"/>
      <c r="F272" s="75"/>
      <c r="G272" s="7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/>
      <c r="V272"/>
    </row>
    <row r="273" spans="1:22" x14ac:dyDescent="0.25">
      <c r="A273" s="72"/>
      <c r="B273" s="73"/>
      <c r="C273" s="73"/>
      <c r="D273" s="74"/>
      <c r="E273" s="75"/>
      <c r="F273" s="75"/>
      <c r="G273" s="7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/>
      <c r="V273"/>
    </row>
    <row r="274" spans="1:22" x14ac:dyDescent="0.25">
      <c r="A274" s="72"/>
      <c r="B274" s="73"/>
      <c r="C274" s="73"/>
      <c r="D274" s="74"/>
      <c r="E274" s="75"/>
      <c r="F274" s="75"/>
      <c r="G274" s="7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/>
      <c r="V274"/>
    </row>
    <row r="275" spans="1:22" x14ac:dyDescent="0.25">
      <c r="A275" s="72"/>
      <c r="B275" s="73"/>
      <c r="C275" s="73"/>
      <c r="D275" s="74"/>
      <c r="E275" s="75"/>
      <c r="F275" s="75"/>
      <c r="G275" s="7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/>
      <c r="V275"/>
    </row>
    <row r="276" spans="1:22" x14ac:dyDescent="0.25">
      <c r="A276" s="72"/>
      <c r="B276" s="73"/>
      <c r="C276" s="73"/>
      <c r="D276" s="74"/>
      <c r="E276" s="75"/>
      <c r="F276" s="75"/>
      <c r="G276" s="7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/>
      <c r="V276"/>
    </row>
    <row r="277" spans="1:22" x14ac:dyDescent="0.25">
      <c r="A277" s="72"/>
      <c r="B277" s="73"/>
      <c r="C277" s="73"/>
      <c r="D277" s="74"/>
      <c r="E277" s="75"/>
      <c r="F277" s="75"/>
      <c r="G277" s="7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/>
      <c r="V277"/>
    </row>
    <row r="278" spans="1:22" x14ac:dyDescent="0.25">
      <c r="A278" s="72"/>
      <c r="B278" s="73"/>
      <c r="C278" s="73"/>
      <c r="D278" s="74"/>
      <c r="E278" s="75"/>
      <c r="F278" s="75"/>
      <c r="G278" s="7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/>
      <c r="V278"/>
    </row>
    <row r="279" spans="1:22" x14ac:dyDescent="0.25">
      <c r="A279" s="72"/>
      <c r="B279" s="73"/>
      <c r="C279" s="73"/>
      <c r="D279" s="74"/>
      <c r="E279" s="75"/>
      <c r="F279" s="75"/>
      <c r="G279" s="7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/>
      <c r="V279"/>
    </row>
    <row r="280" spans="1:22" x14ac:dyDescent="0.25">
      <c r="A280" s="72"/>
      <c r="B280" s="73"/>
      <c r="C280" s="73"/>
      <c r="D280" s="74"/>
      <c r="E280" s="75"/>
      <c r="F280" s="75"/>
      <c r="G280" s="7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/>
      <c r="V280"/>
    </row>
    <row r="281" spans="1:22" x14ac:dyDescent="0.25">
      <c r="A281" s="72"/>
      <c r="B281" s="73"/>
      <c r="C281" s="73"/>
      <c r="D281" s="74"/>
      <c r="E281" s="75"/>
      <c r="F281" s="75"/>
      <c r="G281" s="7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/>
      <c r="V281"/>
    </row>
    <row r="282" spans="1:22" x14ac:dyDescent="0.25">
      <c r="A282" s="72"/>
      <c r="B282" s="73"/>
      <c r="C282" s="73"/>
      <c r="D282" s="74"/>
      <c r="E282" s="75"/>
      <c r="F282" s="75"/>
      <c r="G282" s="7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/>
      <c r="V282"/>
    </row>
    <row r="283" spans="1:22" x14ac:dyDescent="0.25">
      <c r="A283" s="72"/>
      <c r="B283" s="73"/>
      <c r="C283" s="73"/>
      <c r="D283" s="74"/>
      <c r="E283" s="75"/>
      <c r="F283" s="75"/>
      <c r="G283" s="7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/>
      <c r="V283"/>
    </row>
    <row r="284" spans="1:22" x14ac:dyDescent="0.25">
      <c r="A284" s="72"/>
      <c r="B284" s="73"/>
      <c r="C284" s="73"/>
      <c r="D284" s="74"/>
      <c r="E284" s="75"/>
      <c r="F284" s="75"/>
      <c r="G284" s="7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/>
      <c r="V284"/>
    </row>
  </sheetData>
  <autoFilter ref="U1:U284" xr:uid="{00000000-0009-0000-0000-000004000000}"/>
  <mergeCells count="5">
    <mergeCell ref="H1:N3"/>
    <mergeCell ref="B4:D4"/>
    <mergeCell ref="E4:G4"/>
    <mergeCell ref="H4:P4"/>
    <mergeCell ref="U4:V4"/>
  </mergeCells>
  <pageMargins left="0.7" right="0.7" top="0.75" bottom="0.75" header="0.3" footer="0.3"/>
  <pageSetup scale="10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 DE ESCARCHA GRUESA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2026-03-27T21:52:18Z</dcterms:created>
  <dcterms:modified xsi:type="dcterms:W3CDTF">2026-03-27T21:52:29Z</dcterms:modified>
</cp:coreProperties>
</file>