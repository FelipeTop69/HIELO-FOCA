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13_ncr:1_{C43FBA5F-05BE-4D9C-996E-7A89D1115C80}" xr6:coauthVersionLast="47" xr6:coauthVersionMax="47" xr10:uidLastSave="{00000000-0000-0000-0000-000000000000}"/>
  <bookViews>
    <workbookView xWindow="0" yWindow="30" windowWidth="20490" windowHeight="11490" xr2:uid="{C8CED5E4-5058-40F6-84A0-0948B3889EC9}"/>
  </bookViews>
  <sheets>
    <sheet name="GRI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7" i="1" l="1"/>
  <c r="O127" i="1" s="1"/>
  <c r="G127" i="1"/>
  <c r="E127" i="1"/>
  <c r="D127" i="1"/>
  <c r="N126" i="1"/>
  <c r="E126" i="1"/>
  <c r="G126" i="1" s="1"/>
  <c r="O126" i="1" s="1"/>
  <c r="D126" i="1"/>
  <c r="N125" i="1"/>
  <c r="E125" i="1"/>
  <c r="G125" i="1" s="1"/>
  <c r="O125" i="1" s="1"/>
  <c r="D125" i="1"/>
  <c r="N124" i="1"/>
  <c r="E124" i="1"/>
  <c r="G124" i="1" s="1"/>
  <c r="D124" i="1"/>
  <c r="N123" i="1"/>
  <c r="O123" i="1" s="1"/>
  <c r="G123" i="1"/>
  <c r="E123" i="1"/>
  <c r="D123" i="1"/>
  <c r="N122" i="1"/>
  <c r="E122" i="1"/>
  <c r="G122" i="1" s="1"/>
  <c r="D122" i="1"/>
  <c r="N121" i="1"/>
  <c r="E121" i="1"/>
  <c r="G121" i="1" s="1"/>
  <c r="O121" i="1" s="1"/>
  <c r="D121" i="1"/>
  <c r="N120" i="1"/>
  <c r="E120" i="1"/>
  <c r="G120" i="1" s="1"/>
  <c r="D120" i="1"/>
  <c r="N119" i="1"/>
  <c r="E119" i="1"/>
  <c r="G119" i="1" s="1"/>
  <c r="D119" i="1"/>
  <c r="N118" i="1"/>
  <c r="O118" i="1" s="1"/>
  <c r="G118" i="1"/>
  <c r="E118" i="1"/>
  <c r="D118" i="1"/>
  <c r="N117" i="1"/>
  <c r="E117" i="1"/>
  <c r="G117" i="1" s="1"/>
  <c r="D117" i="1"/>
  <c r="N116" i="1"/>
  <c r="E116" i="1"/>
  <c r="G116" i="1" s="1"/>
  <c r="O116" i="1" s="1"/>
  <c r="D116" i="1"/>
  <c r="N115" i="1"/>
  <c r="O115" i="1" s="1"/>
  <c r="E115" i="1"/>
  <c r="G115" i="1" s="1"/>
  <c r="D115" i="1"/>
  <c r="N114" i="1"/>
  <c r="O114" i="1" s="1"/>
  <c r="G114" i="1"/>
  <c r="E114" i="1"/>
  <c r="D114" i="1"/>
  <c r="N113" i="1"/>
  <c r="E113" i="1"/>
  <c r="G113" i="1" s="1"/>
  <c r="D113" i="1"/>
  <c r="N112" i="1"/>
  <c r="E112" i="1"/>
  <c r="G112" i="1" s="1"/>
  <c r="O112" i="1" s="1"/>
  <c r="D112" i="1"/>
  <c r="N111" i="1"/>
  <c r="O111" i="1" s="1"/>
  <c r="E111" i="1"/>
  <c r="G111" i="1" s="1"/>
  <c r="D111" i="1"/>
  <c r="N110" i="1"/>
  <c r="O110" i="1" s="1"/>
  <c r="G110" i="1"/>
  <c r="E110" i="1"/>
  <c r="D110" i="1"/>
  <c r="N109" i="1"/>
  <c r="E109" i="1"/>
  <c r="G109" i="1" s="1"/>
  <c r="D109" i="1"/>
  <c r="N108" i="1"/>
  <c r="E108" i="1"/>
  <c r="G108" i="1" s="1"/>
  <c r="O108" i="1" s="1"/>
  <c r="D108" i="1"/>
  <c r="N107" i="1"/>
  <c r="E107" i="1"/>
  <c r="G107" i="1" s="1"/>
  <c r="D107" i="1"/>
  <c r="N106" i="1"/>
  <c r="O106" i="1" s="1"/>
  <c r="G106" i="1"/>
  <c r="E106" i="1"/>
  <c r="D106" i="1"/>
  <c r="N105" i="1"/>
  <c r="E105" i="1"/>
  <c r="G105" i="1" s="1"/>
  <c r="D105" i="1"/>
  <c r="N104" i="1"/>
  <c r="E104" i="1"/>
  <c r="G104" i="1" s="1"/>
  <c r="O104" i="1" s="1"/>
  <c r="D104" i="1"/>
  <c r="N103" i="1"/>
  <c r="O103" i="1" s="1"/>
  <c r="G103" i="1"/>
  <c r="D103" i="1"/>
  <c r="N102" i="1"/>
  <c r="O102" i="1" s="1"/>
  <c r="G102" i="1"/>
  <c r="E102" i="1"/>
  <c r="D102" i="1"/>
  <c r="N101" i="1"/>
  <c r="O101" i="1" s="1"/>
  <c r="G101" i="1"/>
  <c r="E101" i="1"/>
  <c r="D101" i="1"/>
  <c r="N100" i="1"/>
  <c r="E100" i="1"/>
  <c r="G100" i="1" s="1"/>
  <c r="O100" i="1" s="1"/>
  <c r="D100" i="1"/>
  <c r="N99" i="1"/>
  <c r="E99" i="1"/>
  <c r="G99" i="1" s="1"/>
  <c r="O99" i="1" s="1"/>
  <c r="D99" i="1"/>
  <c r="N98" i="1"/>
  <c r="O98" i="1" s="1"/>
  <c r="E98" i="1"/>
  <c r="G98" i="1" s="1"/>
  <c r="D98" i="1"/>
  <c r="N97" i="1"/>
  <c r="O97" i="1" s="1"/>
  <c r="G97" i="1"/>
  <c r="E97" i="1"/>
  <c r="D97" i="1"/>
  <c r="N96" i="1"/>
  <c r="E96" i="1"/>
  <c r="G96" i="1" s="1"/>
  <c r="D96" i="1"/>
  <c r="N95" i="1"/>
  <c r="E95" i="1"/>
  <c r="G95" i="1" s="1"/>
  <c r="O95" i="1" s="1"/>
  <c r="D95" i="1"/>
  <c r="N94" i="1"/>
  <c r="O94" i="1" s="1"/>
  <c r="G94" i="1"/>
  <c r="E94" i="1"/>
  <c r="D94" i="1"/>
  <c r="N93" i="1"/>
  <c r="O93" i="1" s="1"/>
  <c r="G93" i="1"/>
  <c r="E93" i="1"/>
  <c r="D93" i="1"/>
  <c r="N92" i="1"/>
  <c r="E92" i="1"/>
  <c r="G92" i="1" s="1"/>
  <c r="O92" i="1" s="1"/>
  <c r="D92" i="1"/>
  <c r="O91" i="1"/>
  <c r="N91" i="1"/>
  <c r="G91" i="1"/>
  <c r="E91" i="1"/>
  <c r="D91" i="1"/>
  <c r="N90" i="1"/>
  <c r="O90" i="1" s="1"/>
  <c r="E90" i="1"/>
  <c r="G90" i="1" s="1"/>
  <c r="D90" i="1"/>
  <c r="O89" i="1"/>
  <c r="N89" i="1"/>
  <c r="G89" i="1"/>
  <c r="E89" i="1"/>
  <c r="D89" i="1"/>
  <c r="N88" i="1"/>
  <c r="O88" i="1" s="1"/>
  <c r="E88" i="1"/>
  <c r="G88" i="1" s="1"/>
  <c r="D88" i="1"/>
  <c r="N87" i="1"/>
  <c r="E87" i="1"/>
  <c r="G87" i="1" s="1"/>
  <c r="O87" i="1" s="1"/>
  <c r="D87" i="1"/>
  <c r="N86" i="1"/>
  <c r="O86" i="1" s="1"/>
  <c r="G86" i="1"/>
  <c r="E86" i="1"/>
  <c r="D86" i="1"/>
  <c r="N85" i="1"/>
  <c r="O85" i="1" s="1"/>
  <c r="G85" i="1"/>
  <c r="E85" i="1"/>
  <c r="D85" i="1"/>
  <c r="N84" i="1"/>
  <c r="E84" i="1"/>
  <c r="G84" i="1" s="1"/>
  <c r="O84" i="1" s="1"/>
  <c r="D84" i="1"/>
  <c r="O83" i="1"/>
  <c r="N83" i="1"/>
  <c r="G83" i="1"/>
  <c r="E83" i="1"/>
  <c r="D83" i="1"/>
  <c r="N82" i="1"/>
  <c r="E82" i="1"/>
  <c r="G82" i="1" s="1"/>
  <c r="D82" i="1"/>
  <c r="O81" i="1"/>
  <c r="N81" i="1"/>
  <c r="G81" i="1"/>
  <c r="E81" i="1"/>
  <c r="D81" i="1"/>
  <c r="N80" i="1"/>
  <c r="E80" i="1"/>
  <c r="G80" i="1" s="1"/>
  <c r="D80" i="1"/>
  <c r="N79" i="1"/>
  <c r="E79" i="1"/>
  <c r="G79" i="1" s="1"/>
  <c r="O79" i="1" s="1"/>
  <c r="D79" i="1"/>
  <c r="N78" i="1"/>
  <c r="O78" i="1" s="1"/>
  <c r="G78" i="1"/>
  <c r="E78" i="1"/>
  <c r="D78" i="1"/>
  <c r="N77" i="1"/>
  <c r="O77" i="1" s="1"/>
  <c r="G77" i="1"/>
  <c r="E77" i="1"/>
  <c r="D77" i="1"/>
  <c r="N76" i="1"/>
  <c r="E76" i="1"/>
  <c r="G76" i="1" s="1"/>
  <c r="O76" i="1" s="1"/>
  <c r="D76" i="1"/>
  <c r="O75" i="1"/>
  <c r="N75" i="1"/>
  <c r="G75" i="1"/>
  <c r="E75" i="1"/>
  <c r="D75" i="1"/>
  <c r="N74" i="1"/>
  <c r="E74" i="1"/>
  <c r="G74" i="1" s="1"/>
  <c r="D74" i="1"/>
  <c r="O73" i="1"/>
  <c r="N73" i="1"/>
  <c r="G73" i="1"/>
  <c r="E73" i="1"/>
  <c r="D73" i="1"/>
  <c r="N72" i="1"/>
  <c r="O72" i="1" s="1"/>
  <c r="E72" i="1"/>
  <c r="D72" i="1"/>
  <c r="N71" i="1"/>
  <c r="E71" i="1"/>
  <c r="G71" i="1" s="1"/>
  <c r="D71" i="1"/>
  <c r="O70" i="1"/>
  <c r="N70" i="1"/>
  <c r="G70" i="1"/>
  <c r="E70" i="1"/>
  <c r="D70" i="1"/>
  <c r="N69" i="1"/>
  <c r="E69" i="1"/>
  <c r="G69" i="1" s="1"/>
  <c r="D69" i="1"/>
  <c r="O68" i="1"/>
  <c r="N68" i="1"/>
  <c r="G68" i="1"/>
  <c r="E68" i="1"/>
  <c r="D68" i="1"/>
  <c r="N67" i="1"/>
  <c r="E67" i="1"/>
  <c r="G67" i="1" s="1"/>
  <c r="D67" i="1"/>
  <c r="N66" i="1"/>
  <c r="E66" i="1"/>
  <c r="G66" i="1" s="1"/>
  <c r="O66" i="1" s="1"/>
  <c r="D66" i="1"/>
  <c r="N65" i="1"/>
  <c r="E65" i="1"/>
  <c r="G65" i="1" s="1"/>
  <c r="D65" i="1"/>
  <c r="N64" i="1"/>
  <c r="O64" i="1" s="1"/>
  <c r="G64" i="1"/>
  <c r="E64" i="1"/>
  <c r="D64" i="1"/>
  <c r="N63" i="1"/>
  <c r="E63" i="1"/>
  <c r="G63" i="1" s="1"/>
  <c r="D63" i="1"/>
  <c r="O62" i="1"/>
  <c r="N62" i="1"/>
  <c r="G62" i="1"/>
  <c r="E62" i="1"/>
  <c r="D62" i="1"/>
  <c r="N61" i="1"/>
  <c r="E61" i="1"/>
  <c r="G61" i="1" s="1"/>
  <c r="D61" i="1"/>
  <c r="O60" i="1"/>
  <c r="N60" i="1"/>
  <c r="G60" i="1"/>
  <c r="E60" i="1"/>
  <c r="D60" i="1"/>
  <c r="N59" i="1"/>
  <c r="E59" i="1"/>
  <c r="G59" i="1" s="1"/>
  <c r="D59" i="1"/>
  <c r="N58" i="1"/>
  <c r="E58" i="1"/>
  <c r="G58" i="1" s="1"/>
  <c r="O58" i="1" s="1"/>
  <c r="D58" i="1"/>
  <c r="N57" i="1"/>
  <c r="E57" i="1"/>
  <c r="G57" i="1" s="1"/>
  <c r="D57" i="1"/>
  <c r="N56" i="1"/>
  <c r="O56" i="1" s="1"/>
  <c r="G56" i="1"/>
  <c r="E56" i="1"/>
  <c r="D56" i="1"/>
  <c r="N55" i="1"/>
  <c r="E55" i="1"/>
  <c r="G55" i="1" s="1"/>
  <c r="D55" i="1"/>
  <c r="O54" i="1"/>
  <c r="N54" i="1"/>
  <c r="G54" i="1"/>
  <c r="E54" i="1"/>
  <c r="D54" i="1"/>
  <c r="N53" i="1"/>
  <c r="E53" i="1"/>
  <c r="G53" i="1" s="1"/>
  <c r="D53" i="1"/>
  <c r="O52" i="1"/>
  <c r="N52" i="1"/>
  <c r="E52" i="1"/>
  <c r="D52" i="1"/>
  <c r="N51" i="1"/>
  <c r="O51" i="1" s="1"/>
  <c r="G51" i="1"/>
  <c r="E51" i="1"/>
  <c r="D51" i="1"/>
  <c r="N50" i="1"/>
  <c r="E50" i="1"/>
  <c r="G50" i="1" s="1"/>
  <c r="D50" i="1"/>
  <c r="N49" i="1"/>
  <c r="O49" i="1" s="1"/>
  <c r="G49" i="1"/>
  <c r="E49" i="1"/>
  <c r="D49" i="1"/>
  <c r="N48" i="1"/>
  <c r="O48" i="1" s="1"/>
  <c r="E48" i="1"/>
  <c r="G48" i="1" s="1"/>
  <c r="D48" i="1"/>
  <c r="N47" i="1"/>
  <c r="G47" i="1"/>
  <c r="O47" i="1" s="1"/>
  <c r="E47" i="1"/>
  <c r="D47" i="1"/>
  <c r="N46" i="1"/>
  <c r="O46" i="1" s="1"/>
  <c r="G46" i="1"/>
  <c r="E46" i="1"/>
  <c r="D46" i="1"/>
  <c r="N45" i="1"/>
  <c r="E45" i="1"/>
  <c r="G45" i="1" s="1"/>
  <c r="O45" i="1" s="1"/>
  <c r="D45" i="1"/>
  <c r="N44" i="1"/>
  <c r="E44" i="1"/>
  <c r="G44" i="1" s="1"/>
  <c r="O44" i="1" s="1"/>
  <c r="D44" i="1"/>
  <c r="M43" i="1"/>
  <c r="N43" i="1" s="1"/>
  <c r="O43" i="1" s="1"/>
  <c r="G43" i="1"/>
  <c r="E43" i="1"/>
  <c r="D43" i="1"/>
  <c r="N42" i="1"/>
  <c r="E42" i="1"/>
  <c r="G42" i="1" s="1"/>
  <c r="O42" i="1" s="1"/>
  <c r="D42" i="1"/>
  <c r="N41" i="1"/>
  <c r="E41" i="1"/>
  <c r="G41" i="1" s="1"/>
  <c r="O41" i="1" s="1"/>
  <c r="D41" i="1"/>
  <c r="N40" i="1"/>
  <c r="E40" i="1"/>
  <c r="G40" i="1" s="1"/>
  <c r="D40" i="1"/>
  <c r="N39" i="1"/>
  <c r="M39" i="1"/>
  <c r="E39" i="1"/>
  <c r="G39" i="1" s="1"/>
  <c r="D39" i="1"/>
  <c r="N38" i="1"/>
  <c r="E38" i="1"/>
  <c r="G38" i="1" s="1"/>
  <c r="O38" i="1" s="1"/>
  <c r="D38" i="1"/>
  <c r="N37" i="1"/>
  <c r="O37" i="1" s="1"/>
  <c r="E37" i="1"/>
  <c r="G37" i="1" s="1"/>
  <c r="D37" i="1"/>
  <c r="N36" i="1"/>
  <c r="O36" i="1" s="1"/>
  <c r="M36" i="1"/>
  <c r="E36" i="1"/>
  <c r="G36" i="1" s="1"/>
  <c r="D36" i="1"/>
  <c r="N35" i="1"/>
  <c r="E35" i="1"/>
  <c r="G35" i="1" s="1"/>
  <c r="O35" i="1" s="1"/>
  <c r="D35" i="1"/>
  <c r="N34" i="1"/>
  <c r="E34" i="1"/>
  <c r="G34" i="1" s="1"/>
  <c r="D34" i="1"/>
  <c r="N33" i="1"/>
  <c r="E33" i="1"/>
  <c r="G33" i="1" s="1"/>
  <c r="D33" i="1"/>
  <c r="N32" i="1"/>
  <c r="O32" i="1" s="1"/>
  <c r="G32" i="1"/>
  <c r="E32" i="1"/>
  <c r="D32" i="1"/>
  <c r="N31" i="1"/>
  <c r="O31" i="1" s="1"/>
  <c r="E31" i="1"/>
  <c r="G31" i="1" s="1"/>
  <c r="D31" i="1"/>
  <c r="N30" i="1"/>
  <c r="G30" i="1"/>
  <c r="O30" i="1" s="1"/>
  <c r="E30" i="1"/>
  <c r="D30" i="1"/>
  <c r="N29" i="1"/>
  <c r="O29" i="1" s="1"/>
  <c r="G29" i="1"/>
  <c r="E29" i="1"/>
  <c r="D29" i="1"/>
  <c r="N28" i="1"/>
  <c r="E28" i="1"/>
  <c r="G28" i="1" s="1"/>
  <c r="O28" i="1" s="1"/>
  <c r="D28" i="1"/>
  <c r="O27" i="1"/>
  <c r="N27" i="1"/>
  <c r="E27" i="1"/>
  <c r="D27" i="1"/>
  <c r="N26" i="1"/>
  <c r="E26" i="1"/>
  <c r="G26" i="1" s="1"/>
  <c r="D26" i="1"/>
  <c r="M25" i="1"/>
  <c r="N25" i="1" s="1"/>
  <c r="E25" i="1"/>
  <c r="G25" i="1" s="1"/>
  <c r="D25" i="1"/>
  <c r="N24" i="1"/>
  <c r="O24" i="1" s="1"/>
  <c r="G24" i="1"/>
  <c r="E24" i="1"/>
  <c r="D24" i="1"/>
  <c r="N23" i="1"/>
  <c r="O23" i="1" s="1"/>
  <c r="E23" i="1"/>
  <c r="G23" i="1" s="1"/>
  <c r="D23" i="1"/>
  <c r="O22" i="1"/>
  <c r="N22" i="1"/>
  <c r="G22" i="1"/>
  <c r="D22" i="1"/>
  <c r="N21" i="1"/>
  <c r="E21" i="1"/>
  <c r="G21" i="1" s="1"/>
  <c r="D21" i="1"/>
  <c r="N20" i="1"/>
  <c r="O20" i="1" s="1"/>
  <c r="M20" i="1"/>
  <c r="E20" i="1"/>
  <c r="G20" i="1" s="1"/>
  <c r="D20" i="1"/>
  <c r="N19" i="1"/>
  <c r="E19" i="1"/>
  <c r="G19" i="1" s="1"/>
  <c r="O19" i="1" s="1"/>
  <c r="D19" i="1"/>
  <c r="N18" i="1"/>
  <c r="E18" i="1"/>
  <c r="G18" i="1" s="1"/>
  <c r="D18" i="1"/>
  <c r="N17" i="1"/>
  <c r="O17" i="1" s="1"/>
  <c r="E17" i="1"/>
  <c r="G17" i="1" s="1"/>
  <c r="D17" i="1"/>
  <c r="N16" i="1"/>
  <c r="M16" i="1"/>
  <c r="E16" i="1"/>
  <c r="G16" i="1" s="1"/>
  <c r="D16" i="1"/>
  <c r="N15" i="1"/>
  <c r="O15" i="1" s="1"/>
  <c r="E15" i="1"/>
  <c r="D15" i="1"/>
  <c r="O14" i="1"/>
  <c r="N14" i="1"/>
  <c r="E14" i="1"/>
  <c r="D14" i="1"/>
  <c r="N13" i="1"/>
  <c r="E13" i="1"/>
  <c r="G13" i="1" s="1"/>
  <c r="D13" i="1"/>
  <c r="N12" i="1"/>
  <c r="O12" i="1" s="1"/>
  <c r="E12" i="1"/>
  <c r="D12" i="1"/>
  <c r="N11" i="1"/>
  <c r="O11" i="1" s="1"/>
  <c r="G11" i="1"/>
  <c r="E11" i="1"/>
  <c r="D11" i="1"/>
  <c r="N10" i="1"/>
  <c r="E10" i="1"/>
  <c r="G10" i="1" s="1"/>
  <c r="O10" i="1" s="1"/>
  <c r="D10" i="1"/>
  <c r="N9" i="1"/>
  <c r="E9" i="1"/>
  <c r="G9" i="1" s="1"/>
  <c r="O9" i="1" s="1"/>
  <c r="D9" i="1"/>
  <c r="N8" i="1"/>
  <c r="E8" i="1"/>
  <c r="G8" i="1" s="1"/>
  <c r="D8" i="1"/>
  <c r="N7" i="1"/>
  <c r="O7" i="1" s="1"/>
  <c r="G7" i="1"/>
  <c r="D7" i="1"/>
  <c r="O34" i="1" l="1"/>
  <c r="O57" i="1"/>
  <c r="O96" i="1"/>
  <c r="O113" i="1"/>
  <c r="O18" i="1"/>
  <c r="O25" i="1"/>
  <c r="O39" i="1"/>
  <c r="O53" i="1"/>
  <c r="O55" i="1"/>
  <c r="O16" i="1"/>
  <c r="O21" i="1"/>
  <c r="O67" i="1"/>
  <c r="O69" i="1"/>
  <c r="O71" i="1"/>
  <c r="O109" i="1"/>
  <c r="G128" i="1"/>
  <c r="G129" i="1" s="1"/>
  <c r="O26" i="1"/>
  <c r="O40" i="1"/>
  <c r="O80" i="1"/>
  <c r="O82" i="1"/>
  <c r="O119" i="1"/>
  <c r="O124" i="1"/>
  <c r="O8" i="1"/>
  <c r="O33" i="1"/>
  <c r="O65" i="1"/>
  <c r="O107" i="1"/>
  <c r="O117" i="1"/>
  <c r="O122" i="1"/>
  <c r="O13" i="1"/>
  <c r="O50" i="1"/>
  <c r="O59" i="1"/>
  <c r="O61" i="1"/>
  <c r="O63" i="1"/>
  <c r="O74" i="1"/>
  <c r="O105" i="1"/>
  <c r="N128" i="1"/>
  <c r="N129" i="1" s="1"/>
</calcChain>
</file>

<file path=xl/sharedStrings.xml><?xml version="1.0" encoding="utf-8"?>
<sst xmlns="http://schemas.openxmlformats.org/spreadsheetml/2006/main" count="126" uniqueCount="49">
  <si>
    <t>COMPAÑÍA OPITA DE FRIO SAS</t>
  </si>
  <si>
    <t>GRIS</t>
  </si>
  <si>
    <t>CONTROL DE TIEMPO DE PRODUCCION</t>
  </si>
  <si>
    <t>LINEA TUBULAR</t>
  </si>
  <si>
    <t>TIEMPO HORARICA</t>
  </si>
  <si>
    <t>CONTROL HOROMETRO</t>
  </si>
  <si>
    <t>PRODUCTOS</t>
  </si>
  <si>
    <t>OBSERVACIONES</t>
  </si>
  <si>
    <t>FECHA</t>
  </si>
  <si>
    <t>HORA INICIO</t>
  </si>
  <si>
    <t>HORA FIN</t>
  </si>
  <si>
    <t>TIEMP PRENDIDA</t>
  </si>
  <si>
    <t>HOROM INC</t>
  </si>
  <si>
    <t>HOROM FIN</t>
  </si>
  <si>
    <t>TIEMP PROD</t>
  </si>
  <si>
    <t>1,5KG</t>
  </si>
  <si>
    <t>BOLSA 3KG</t>
  </si>
  <si>
    <t>ARROBA FINA</t>
  </si>
  <si>
    <t>BOLSA 7 KG</t>
  </si>
  <si>
    <t>BOLSA 15 KG</t>
  </si>
  <si>
    <t>BTO 25 KG</t>
  </si>
  <si>
    <t>KILOS PROD</t>
  </si>
  <si>
    <t>PROD POR</t>
  </si>
  <si>
    <t>AYUDANTE</t>
  </si>
  <si>
    <t>OBSERVACION</t>
  </si>
  <si>
    <t>HORA</t>
  </si>
  <si>
    <t>Daniel Garcia</t>
  </si>
  <si>
    <t xml:space="preserve">se apaga maquinaria 30 min por najo </t>
  </si>
  <si>
    <t>Michell Romero</t>
  </si>
  <si>
    <t>yeison</t>
  </si>
  <si>
    <t>quejada diego</t>
  </si>
  <si>
    <t>david</t>
  </si>
  <si>
    <t>f</t>
  </si>
  <si>
    <t>luis torres</t>
  </si>
  <si>
    <t>James Quintero</t>
  </si>
  <si>
    <t>se tiene apagada maquinaria 2 hoas y 38 minutos</t>
  </si>
  <si>
    <t>Andres Tinoco</t>
  </si>
  <si>
    <t>se apaga maquinaria 30 min por lavado</t>
  </si>
  <si>
    <t>da</t>
  </si>
  <si>
    <t>se apaga maquianria 1 hora</t>
  </si>
  <si>
    <t>yinso novoa</t>
  </si>
  <si>
    <t>&lt;</t>
  </si>
  <si>
    <t>oscar andres</t>
  </si>
  <si>
    <t>HOL</t>
  </si>
  <si>
    <t>se apaga 40 min por agua turbia</t>
  </si>
  <si>
    <t>Humberto Vasquez</t>
  </si>
  <si>
    <t>Jose David Cedeño</t>
  </si>
  <si>
    <t>HORAS TRABAJADAS</t>
  </si>
  <si>
    <t>DIAS TRABAJADOS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</si>
</sst>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-* #,##0.00_-;\-* #,##0.00_-;_-* &quot;-&quot;_-;_-@_-"/>
    <numFmt numFmtId="165" formatCode="[$-F400]h:mm:ss\ AM/PM"/>
    <numFmt numFmtId="166" formatCode="0.0"/>
    <numFmt numFmtId="167" formatCode="_-* #,##0_-;\-* #,##0_-;_-* &quot;-&quot;??_-;_-@_-"/>
    <numFmt numFmtId="168" formatCode="_-* #,##0.00\ _€_-;\-* #,##0.00\ _€_-;_-* &quot;-&quot;??\ _€_-;_-@_-"/>
    <numFmt numFmtId="169" formatCode="_-* #,##0\ _€_-;\-* #,##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48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164" fontId="4" fillId="0" borderId="2" xfId="2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6" fontId="4" fillId="8" borderId="2" xfId="0" applyNumberFormat="1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65" fontId="5" fillId="8" borderId="2" xfId="0" applyNumberFormat="1" applyFont="1" applyFill="1" applyBorder="1" applyAlignment="1">
      <alignment horizontal="center"/>
    </xf>
    <xf numFmtId="20" fontId="5" fillId="9" borderId="2" xfId="0" applyNumberFormat="1" applyFont="1" applyFill="1" applyBorder="1" applyAlignment="1">
      <alignment horizontal="center"/>
    </xf>
    <xf numFmtId="41" fontId="5" fillId="7" borderId="2" xfId="2" applyFont="1" applyFill="1" applyBorder="1" applyAlignment="1">
      <alignment horizontal="center"/>
    </xf>
    <xf numFmtId="41" fontId="5" fillId="0" borderId="2" xfId="2" applyFont="1" applyBorder="1" applyAlignment="1">
      <alignment horizontal="center"/>
    </xf>
    <xf numFmtId="167" fontId="5" fillId="4" borderId="2" xfId="0" applyNumberFormat="1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 vertical="center"/>
    </xf>
    <xf numFmtId="169" fontId="6" fillId="10" borderId="2" xfId="1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41" fontId="5" fillId="0" borderId="2" xfId="2" applyFont="1" applyFill="1" applyBorder="1" applyAlignment="1">
      <alignment horizontal="center"/>
    </xf>
    <xf numFmtId="166" fontId="5" fillId="8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41" fontId="5" fillId="8" borderId="2" xfId="2" applyFont="1" applyFill="1" applyBorder="1" applyAlignment="1">
      <alignment horizontal="center"/>
    </xf>
    <xf numFmtId="0" fontId="0" fillId="8" borderId="0" xfId="0" applyFill="1"/>
    <xf numFmtId="0" fontId="0" fillId="11" borderId="0" xfId="0" applyFill="1"/>
    <xf numFmtId="0" fontId="6" fillId="0" borderId="2" xfId="0" applyFont="1" applyBorder="1" applyAlignment="1">
      <alignment horizontal="center"/>
    </xf>
    <xf numFmtId="0" fontId="0" fillId="7" borderId="0" xfId="0" applyFill="1"/>
    <xf numFmtId="14" fontId="5" fillId="8" borderId="2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0" fontId="0" fillId="12" borderId="0" xfId="0" applyFill="1"/>
    <xf numFmtId="14" fontId="4" fillId="8" borderId="2" xfId="0" applyNumberFormat="1" applyFont="1" applyFill="1" applyBorder="1" applyAlignment="1">
      <alignment horizontal="center"/>
    </xf>
    <xf numFmtId="169" fontId="6" fillId="8" borderId="2" xfId="1" applyNumberFormat="1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13" borderId="0" xfId="0" applyNumberFormat="1" applyFont="1" applyFill="1" applyAlignment="1">
      <alignment horizontal="center"/>
    </xf>
    <xf numFmtId="1" fontId="5" fillId="13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0" borderId="0" xfId="2" applyNumberFormat="1" applyFont="1" applyFill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0" borderId="3" xfId="2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ipea\OneDrive\Documentos\HIELO%20FOCA\Produccion\PRODUCCION%20MARZO.xlsx" TargetMode="External"/><Relationship Id="rId1" Type="http://schemas.openxmlformats.org/officeDocument/2006/relationships/externalLinkPath" Target="/Users/pipea/OneDrive/Documentos/HIELO%20FOCA/Produccion/PRODUCCION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BULAR VERDE"/>
      <sheetName val="TUBULAR AZUL"/>
      <sheetName val="MAQUINA DE BOTELLONES"/>
      <sheetName val="MAQUINA DE AGUA 350"/>
      <sheetName val="GRIS"/>
      <sheetName val="MAQUINA DE ESCARCHA GRUESA"/>
      <sheetName val="MAQUINA FINA"/>
      <sheetName val="COMPACTADORA"/>
      <sheetName val="Hoja1"/>
      <sheetName val="Hoja2"/>
    </sheetNames>
    <sheetDataSet>
      <sheetData sheetId="0">
        <row r="47">
          <cell r="B47">
            <v>0.77430555555555558</v>
          </cell>
          <cell r="C47">
            <v>0.90416666666666667</v>
          </cell>
        </row>
        <row r="99">
          <cell r="B99"/>
          <cell r="C99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9C42-04EA-4D4B-9CF0-ADC314B147D5}">
  <sheetPr>
    <tabColor theme="2" tint="-0.89999084444715716"/>
  </sheetPr>
  <dimension ref="A1:HO1048574"/>
  <sheetViews>
    <sheetView tabSelected="1" topLeftCell="A1048552" zoomScale="110" zoomScaleNormal="110" workbookViewId="0">
      <selection activeCell="A1048574" sqref="A1048574"/>
    </sheetView>
  </sheetViews>
  <sheetFormatPr baseColWidth="10" defaultRowHeight="15" x14ac:dyDescent="0.25"/>
  <cols>
    <col min="1" max="1" width="17.7109375" customWidth="1"/>
    <col min="2" max="3" width="17.42578125" customWidth="1"/>
    <col min="4" max="4" width="16.5703125" bestFit="1" customWidth="1"/>
    <col min="5" max="6" width="17.85546875" customWidth="1"/>
    <col min="7" max="7" width="21.42578125" customWidth="1"/>
    <col min="8" max="9" width="24.5703125" customWidth="1"/>
    <col min="10" max="10" width="22.5703125" customWidth="1"/>
    <col min="11" max="11" width="18.140625" customWidth="1"/>
    <col min="12" max="12" width="19.140625" customWidth="1"/>
    <col min="13" max="13" width="20" customWidth="1"/>
    <col min="14" max="14" width="18" customWidth="1"/>
    <col min="15" max="15" width="19.85546875" customWidth="1"/>
    <col min="16" max="16" width="28.42578125" customWidth="1"/>
    <col min="17" max="17" width="67.28515625" customWidth="1"/>
  </cols>
  <sheetData>
    <row r="1" spans="1:18" ht="15.75" x14ac:dyDescent="0.25">
      <c r="A1" s="80" t="s">
        <v>0</v>
      </c>
      <c r="B1" s="80"/>
      <c r="C1" s="80"/>
      <c r="D1" s="80"/>
      <c r="E1" s="81" t="s">
        <v>1</v>
      </c>
      <c r="F1" s="81"/>
      <c r="G1" s="81"/>
      <c r="H1" s="1"/>
      <c r="I1" s="1"/>
      <c r="J1" s="2"/>
      <c r="K1" s="2"/>
      <c r="L1" s="3"/>
      <c r="M1" s="2"/>
      <c r="N1" s="2"/>
      <c r="O1" s="2"/>
    </row>
    <row r="2" spans="1:18" ht="15.75" x14ac:dyDescent="0.25">
      <c r="A2" s="80" t="s">
        <v>2</v>
      </c>
      <c r="B2" s="80"/>
      <c r="C2" s="80"/>
      <c r="D2" s="80"/>
      <c r="E2" s="81"/>
      <c r="F2" s="81"/>
      <c r="G2" s="81"/>
      <c r="H2" s="1"/>
      <c r="I2" s="1"/>
      <c r="J2" s="2"/>
      <c r="K2" s="2"/>
      <c r="L2" s="3"/>
      <c r="M2" s="2"/>
      <c r="N2" s="2"/>
      <c r="O2" s="2"/>
    </row>
    <row r="3" spans="1:18" ht="15.75" x14ac:dyDescent="0.25">
      <c r="A3" s="83" t="s">
        <v>3</v>
      </c>
      <c r="B3" s="83"/>
      <c r="C3" s="83"/>
      <c r="D3" s="83"/>
      <c r="E3" s="82"/>
      <c r="F3" s="82"/>
      <c r="G3" s="82"/>
      <c r="H3" s="1"/>
      <c r="I3" s="1"/>
      <c r="J3" s="2"/>
      <c r="K3" s="2"/>
      <c r="L3" s="3"/>
      <c r="M3" s="2"/>
      <c r="N3" s="2"/>
      <c r="O3" s="2"/>
    </row>
    <row r="4" spans="1:18" ht="15.75" x14ac:dyDescent="0.25">
      <c r="A4" s="4"/>
      <c r="B4" s="84" t="s">
        <v>4</v>
      </c>
      <c r="C4" s="84"/>
      <c r="D4" s="84"/>
      <c r="E4" s="85" t="s">
        <v>5</v>
      </c>
      <c r="F4" s="85"/>
      <c r="G4" s="85"/>
      <c r="H4" s="78" t="s">
        <v>6</v>
      </c>
      <c r="I4" s="78"/>
      <c r="J4" s="78"/>
      <c r="K4" s="78"/>
      <c r="L4" s="78"/>
      <c r="M4" s="78"/>
      <c r="N4" s="78"/>
      <c r="O4" s="78"/>
      <c r="P4" s="79" t="s">
        <v>7</v>
      </c>
      <c r="Q4" s="79"/>
    </row>
    <row r="5" spans="1:18" ht="15.75" x14ac:dyDescent="0.25">
      <c r="A5" s="4" t="s">
        <v>8</v>
      </c>
      <c r="B5" s="5" t="s">
        <v>9</v>
      </c>
      <c r="C5" s="5" t="s">
        <v>10</v>
      </c>
      <c r="D5" s="6" t="s">
        <v>11</v>
      </c>
      <c r="E5" s="7" t="s">
        <v>12</v>
      </c>
      <c r="F5" s="8" t="s">
        <v>13</v>
      </c>
      <c r="G5" s="9" t="s">
        <v>14</v>
      </c>
      <c r="H5" s="10" t="s">
        <v>15</v>
      </c>
      <c r="I5" s="10" t="s">
        <v>16</v>
      </c>
      <c r="J5" s="5" t="s">
        <v>17</v>
      </c>
      <c r="K5" s="5" t="s">
        <v>18</v>
      </c>
      <c r="L5" s="11" t="s">
        <v>19</v>
      </c>
      <c r="M5" s="5" t="s">
        <v>20</v>
      </c>
      <c r="N5" s="4" t="s">
        <v>21</v>
      </c>
      <c r="O5" s="4" t="s">
        <v>22</v>
      </c>
      <c r="P5" s="4" t="s">
        <v>23</v>
      </c>
      <c r="Q5" s="4" t="s">
        <v>24</v>
      </c>
    </row>
    <row r="6" spans="1:18" ht="15.75" x14ac:dyDescent="0.25">
      <c r="A6" s="12"/>
      <c r="B6" s="13"/>
      <c r="C6" s="13"/>
      <c r="D6" s="6"/>
      <c r="E6" s="14"/>
      <c r="F6" s="8"/>
      <c r="G6" s="15"/>
      <c r="H6" s="16">
        <v>1.5</v>
      </c>
      <c r="I6" s="16">
        <v>3</v>
      </c>
      <c r="J6" s="16">
        <v>14</v>
      </c>
      <c r="K6" s="16">
        <v>7</v>
      </c>
      <c r="L6" s="17">
        <v>15</v>
      </c>
      <c r="M6" s="16">
        <v>25</v>
      </c>
      <c r="N6" s="18"/>
      <c r="O6" s="18" t="s">
        <v>25</v>
      </c>
      <c r="P6" s="4"/>
      <c r="Q6" s="4"/>
    </row>
    <row r="7" spans="1:18" ht="15.75" x14ac:dyDescent="0.25">
      <c r="A7" s="19">
        <v>46082</v>
      </c>
      <c r="B7" s="20">
        <v>0.28472222222222221</v>
      </c>
      <c r="C7" s="20">
        <v>0.73611111111111116</v>
      </c>
      <c r="D7" s="21">
        <f t="shared" ref="D7:D48" si="0">1+C7-B7</f>
        <v>1.4513888888888888</v>
      </c>
      <c r="E7" s="22">
        <v>2336532</v>
      </c>
      <c r="F7" s="23">
        <v>2337679</v>
      </c>
      <c r="G7" s="24">
        <f t="shared" ref="G7:G70" si="1">(F7-E7)/100</f>
        <v>11.47</v>
      </c>
      <c r="H7" s="25"/>
      <c r="I7" s="25"/>
      <c r="J7" s="25"/>
      <c r="K7" s="25"/>
      <c r="L7" s="26"/>
      <c r="M7" s="25">
        <v>174</v>
      </c>
      <c r="N7" s="27">
        <f>+(($H$6*H7)+($J$6*J7)+($K$6*K7)+($L$6*L7)+($M$6*M7)+(I7*3))</f>
        <v>4350</v>
      </c>
      <c r="O7" s="27">
        <f>N7/G7</f>
        <v>379.25021795989534</v>
      </c>
      <c r="P7" s="28" t="s">
        <v>26</v>
      </c>
      <c r="Q7" t="s">
        <v>27</v>
      </c>
    </row>
    <row r="8" spans="1:18" ht="15.75" x14ac:dyDescent="0.25">
      <c r="A8" s="19">
        <v>46082</v>
      </c>
      <c r="B8" s="20">
        <v>0.75694444444444442</v>
      </c>
      <c r="C8" s="20">
        <v>0.24444444444444444</v>
      </c>
      <c r="D8" s="21">
        <f t="shared" si="0"/>
        <v>0.48750000000000004</v>
      </c>
      <c r="E8" s="22">
        <f t="shared" ref="E8:E71" si="2">F7</f>
        <v>2337679</v>
      </c>
      <c r="F8" s="29">
        <v>2338900</v>
      </c>
      <c r="G8" s="24">
        <f t="shared" si="1"/>
        <v>12.21</v>
      </c>
      <c r="H8" s="30"/>
      <c r="I8" s="30"/>
      <c r="J8" s="25"/>
      <c r="K8" s="25"/>
      <c r="L8" s="25"/>
      <c r="M8" s="25">
        <v>192</v>
      </c>
      <c r="N8" s="27">
        <f>+(($H$6*H8)+($J$6*J8)+($K$6*K8)+($L$6*L8)+($M$6*M8)+(I8*3))</f>
        <v>4800</v>
      </c>
      <c r="O8" s="27">
        <f t="shared" ref="O8:O48" si="3">N8/G8</f>
        <v>393.12039312039309</v>
      </c>
      <c r="P8" s="28" t="s">
        <v>28</v>
      </c>
      <c r="Q8" s="31"/>
    </row>
    <row r="9" spans="1:18" ht="15.75" x14ac:dyDescent="0.25">
      <c r="A9" s="19">
        <v>46083</v>
      </c>
      <c r="B9" s="20">
        <v>0.26111111111111113</v>
      </c>
      <c r="C9" s="20">
        <v>0.56944444444444442</v>
      </c>
      <c r="D9" s="21">
        <f t="shared" si="0"/>
        <v>1.3083333333333333</v>
      </c>
      <c r="E9" s="22">
        <f t="shared" si="2"/>
        <v>2338900</v>
      </c>
      <c r="F9" s="23">
        <v>2339712</v>
      </c>
      <c r="G9" s="24">
        <f t="shared" si="1"/>
        <v>8.1199999999999992</v>
      </c>
      <c r="H9" s="25"/>
      <c r="I9" s="25"/>
      <c r="J9" s="25"/>
      <c r="K9" s="25"/>
      <c r="L9" s="25"/>
      <c r="M9" s="25">
        <v>115</v>
      </c>
      <c r="N9" s="27">
        <f t="shared" ref="N9:N72" si="4">+(($H$6*H9)+($J$6*J9)+($K$6*K9)+($L$6*L9)+($M$6*M9)+(I9*3))</f>
        <v>2875</v>
      </c>
      <c r="O9" s="27">
        <f t="shared" si="3"/>
        <v>354.06403940886702</v>
      </c>
      <c r="P9" s="28" t="s">
        <v>29</v>
      </c>
      <c r="Q9" s="31"/>
    </row>
    <row r="10" spans="1:18" ht="15.75" x14ac:dyDescent="0.25">
      <c r="A10" s="19">
        <v>46083</v>
      </c>
      <c r="B10" s="20">
        <v>0.58680555555555558</v>
      </c>
      <c r="C10" s="20">
        <v>0.73402777777777772</v>
      </c>
      <c r="D10" s="21">
        <f t="shared" si="0"/>
        <v>1.1472222222222221</v>
      </c>
      <c r="E10" s="22">
        <f t="shared" si="2"/>
        <v>2339712</v>
      </c>
      <c r="F10" s="23">
        <v>2340065</v>
      </c>
      <c r="G10" s="24">
        <f t="shared" si="1"/>
        <v>3.53</v>
      </c>
      <c r="H10" s="25"/>
      <c r="I10" s="25"/>
      <c r="J10" s="25"/>
      <c r="K10" s="25"/>
      <c r="L10" s="26"/>
      <c r="M10" s="25">
        <v>24</v>
      </c>
      <c r="N10" s="27">
        <f t="shared" si="4"/>
        <v>600</v>
      </c>
      <c r="O10" s="27">
        <f>N10/G10</f>
        <v>169.97167138810198</v>
      </c>
      <c r="P10" s="28" t="s">
        <v>30</v>
      </c>
      <c r="Q10" s="31"/>
    </row>
    <row r="11" spans="1:18" ht="15.75" x14ac:dyDescent="0.25">
      <c r="A11" s="19">
        <v>46083</v>
      </c>
      <c r="B11" s="20">
        <v>0.76388888888888884</v>
      </c>
      <c r="C11" s="20">
        <v>0.90347222222222223</v>
      </c>
      <c r="D11" s="21">
        <f t="shared" si="0"/>
        <v>1.1395833333333334</v>
      </c>
      <c r="E11" s="22">
        <f t="shared" si="2"/>
        <v>2340065</v>
      </c>
      <c r="F11" s="23">
        <v>2340432</v>
      </c>
      <c r="G11" s="24">
        <f t="shared" si="1"/>
        <v>3.67</v>
      </c>
      <c r="H11" s="25"/>
      <c r="I11" s="25"/>
      <c r="J11" s="25"/>
      <c r="K11" s="25"/>
      <c r="L11" s="26"/>
      <c r="M11" s="25">
        <v>64</v>
      </c>
      <c r="N11" s="27">
        <f t="shared" si="4"/>
        <v>1600</v>
      </c>
      <c r="O11" s="27">
        <f t="shared" si="3"/>
        <v>435.96730245231606</v>
      </c>
      <c r="P11" s="28" t="s">
        <v>31</v>
      </c>
      <c r="Q11" s="31"/>
      <c r="R11" t="s">
        <v>32</v>
      </c>
    </row>
    <row r="12" spans="1:18" s="33" customFormat="1" ht="15.75" x14ac:dyDescent="0.25">
      <c r="A12" s="19">
        <v>46083</v>
      </c>
      <c r="B12" s="20">
        <v>0.91874999999999996</v>
      </c>
      <c r="C12" s="20">
        <v>0.2326388888888889</v>
      </c>
      <c r="D12" s="21">
        <f t="shared" si="0"/>
        <v>0.31388888888888888</v>
      </c>
      <c r="E12" s="22">
        <f t="shared" si="2"/>
        <v>2340432</v>
      </c>
      <c r="F12" s="32">
        <v>2341285</v>
      </c>
      <c r="G12" s="24">
        <v>8</v>
      </c>
      <c r="H12" s="25"/>
      <c r="I12" s="25"/>
      <c r="J12" s="25"/>
      <c r="K12" s="25"/>
      <c r="L12" s="26"/>
      <c r="M12" s="25">
        <v>126</v>
      </c>
      <c r="N12" s="27">
        <f t="shared" si="4"/>
        <v>3150</v>
      </c>
      <c r="O12" s="27">
        <f t="shared" si="3"/>
        <v>393.75</v>
      </c>
      <c r="P12" s="28" t="s">
        <v>28</v>
      </c>
      <c r="Q12" s="31"/>
    </row>
    <row r="13" spans="1:18" ht="15.75" x14ac:dyDescent="0.25">
      <c r="A13" s="19">
        <v>46084</v>
      </c>
      <c r="B13" s="20">
        <v>0.25833333333333336</v>
      </c>
      <c r="C13" s="20">
        <v>0.57777777777777772</v>
      </c>
      <c r="D13" s="21">
        <f t="shared" si="0"/>
        <v>1.3194444444444444</v>
      </c>
      <c r="E13" s="22">
        <f t="shared" si="2"/>
        <v>2341285</v>
      </c>
      <c r="F13" s="23">
        <v>2342017</v>
      </c>
      <c r="G13" s="24">
        <f t="shared" si="1"/>
        <v>7.32</v>
      </c>
      <c r="H13" s="25"/>
      <c r="I13" s="25"/>
      <c r="J13" s="25">
        <v>53</v>
      </c>
      <c r="K13" s="25"/>
      <c r="L13" s="26"/>
      <c r="M13" s="25">
        <v>84</v>
      </c>
      <c r="N13" s="27">
        <f t="shared" si="4"/>
        <v>2842</v>
      </c>
      <c r="O13" s="27">
        <f t="shared" si="3"/>
        <v>388.25136612021856</v>
      </c>
      <c r="P13" s="28" t="s">
        <v>33</v>
      </c>
      <c r="Q13" s="31"/>
    </row>
    <row r="14" spans="1:18" ht="15.75" x14ac:dyDescent="0.25">
      <c r="A14" s="19">
        <v>46084</v>
      </c>
      <c r="B14" s="20">
        <v>0.59375</v>
      </c>
      <c r="C14" s="20">
        <v>0.73750000000000004</v>
      </c>
      <c r="D14" s="21">
        <f t="shared" si="0"/>
        <v>1.14375</v>
      </c>
      <c r="E14" s="22">
        <f t="shared" si="2"/>
        <v>2342017</v>
      </c>
      <c r="F14" s="23">
        <v>2342401</v>
      </c>
      <c r="G14" s="24">
        <v>8</v>
      </c>
      <c r="H14" s="25"/>
      <c r="I14" s="25"/>
      <c r="J14" s="25"/>
      <c r="K14" s="25"/>
      <c r="L14" s="26"/>
      <c r="M14" s="25">
        <v>54</v>
      </c>
      <c r="N14" s="27">
        <f t="shared" si="4"/>
        <v>1350</v>
      </c>
      <c r="O14" s="27">
        <f t="shared" si="3"/>
        <v>168.75</v>
      </c>
      <c r="P14" s="28" t="s">
        <v>30</v>
      </c>
      <c r="Q14" s="31"/>
    </row>
    <row r="15" spans="1:18" ht="15.75" x14ac:dyDescent="0.25">
      <c r="A15" s="19">
        <v>46084</v>
      </c>
      <c r="B15" s="20">
        <v>0.76111111111111107</v>
      </c>
      <c r="C15" s="20">
        <v>0.90277777777777779</v>
      </c>
      <c r="D15" s="21">
        <f t="shared" si="0"/>
        <v>1.1416666666666666</v>
      </c>
      <c r="E15" s="22">
        <f t="shared" si="2"/>
        <v>2342401</v>
      </c>
      <c r="F15" s="23">
        <v>2342794</v>
      </c>
      <c r="G15" s="24">
        <v>8</v>
      </c>
      <c r="H15" s="25"/>
      <c r="I15" s="25"/>
      <c r="J15" s="25"/>
      <c r="K15" s="25"/>
      <c r="L15" s="26"/>
      <c r="M15" s="25">
        <v>58</v>
      </c>
      <c r="N15" s="27">
        <f t="shared" si="4"/>
        <v>1450</v>
      </c>
      <c r="O15" s="27">
        <f t="shared" si="3"/>
        <v>181.25</v>
      </c>
      <c r="P15" s="28" t="s">
        <v>34</v>
      </c>
      <c r="Q15" s="31"/>
    </row>
    <row r="16" spans="1:18" ht="15.75" x14ac:dyDescent="0.25">
      <c r="A16" s="19">
        <v>46084</v>
      </c>
      <c r="B16" s="20">
        <v>0.92708333333333337</v>
      </c>
      <c r="C16" s="20">
        <v>0.2361111111111111</v>
      </c>
      <c r="D16" s="21">
        <f t="shared" si="0"/>
        <v>0.30902777777777779</v>
      </c>
      <c r="E16" s="22">
        <f t="shared" si="2"/>
        <v>2342794</v>
      </c>
      <c r="F16" s="23">
        <v>2343602</v>
      </c>
      <c r="G16" s="24">
        <f t="shared" si="1"/>
        <v>8.08</v>
      </c>
      <c r="H16" s="25"/>
      <c r="I16" s="25"/>
      <c r="J16" s="25"/>
      <c r="K16" s="25"/>
      <c r="L16" s="26">
        <v>50</v>
      </c>
      <c r="M16" s="25">
        <f>71+28</f>
        <v>99</v>
      </c>
      <c r="N16" s="27">
        <f t="shared" si="4"/>
        <v>3225</v>
      </c>
      <c r="O16" s="27">
        <f t="shared" si="3"/>
        <v>399.13366336633663</v>
      </c>
      <c r="P16" s="28" t="s">
        <v>28</v>
      </c>
      <c r="Q16" s="31"/>
    </row>
    <row r="17" spans="1:223" ht="15.75" x14ac:dyDescent="0.25">
      <c r="A17" s="19">
        <v>46085</v>
      </c>
      <c r="B17" s="20">
        <v>0.27708333333333335</v>
      </c>
      <c r="C17" s="20">
        <v>0.57361111111111107</v>
      </c>
      <c r="D17" s="21">
        <f t="shared" si="0"/>
        <v>1.2965277777777777</v>
      </c>
      <c r="E17" s="22">
        <f t="shared" si="2"/>
        <v>2343602</v>
      </c>
      <c r="F17" s="23">
        <v>2344417</v>
      </c>
      <c r="G17" s="24">
        <f t="shared" si="1"/>
        <v>8.15</v>
      </c>
      <c r="H17" s="25"/>
      <c r="I17" s="25"/>
      <c r="J17" s="25"/>
      <c r="K17" s="25"/>
      <c r="L17" s="25"/>
      <c r="M17" s="25">
        <v>119</v>
      </c>
      <c r="N17" s="27">
        <f t="shared" si="4"/>
        <v>2975</v>
      </c>
      <c r="O17" s="27">
        <f t="shared" si="3"/>
        <v>365.03067484662574</v>
      </c>
      <c r="P17" s="28" t="s">
        <v>28</v>
      </c>
      <c r="Q17" s="31"/>
    </row>
    <row r="18" spans="1:223" ht="15.75" x14ac:dyDescent="0.25">
      <c r="A18" s="19">
        <v>46085</v>
      </c>
      <c r="B18" s="20">
        <v>0.58333333333333337</v>
      </c>
      <c r="C18" s="20">
        <v>0.74305555555555558</v>
      </c>
      <c r="D18" s="21">
        <f t="shared" si="0"/>
        <v>1.1597222222222223</v>
      </c>
      <c r="E18" s="22">
        <f t="shared" si="2"/>
        <v>2344417</v>
      </c>
      <c r="F18" s="23">
        <v>2344836</v>
      </c>
      <c r="G18" s="24">
        <f t="shared" si="1"/>
        <v>4.1900000000000004</v>
      </c>
      <c r="H18" s="25"/>
      <c r="I18" s="25"/>
      <c r="J18" s="25"/>
      <c r="K18" s="25"/>
      <c r="L18" s="26"/>
      <c r="M18" s="25">
        <v>60</v>
      </c>
      <c r="N18" s="27">
        <f t="shared" si="4"/>
        <v>1500</v>
      </c>
      <c r="O18" s="27">
        <f t="shared" si="3"/>
        <v>357.99522673031021</v>
      </c>
      <c r="P18" s="28" t="s">
        <v>30</v>
      </c>
      <c r="Q18" s="31"/>
    </row>
    <row r="19" spans="1:223" ht="15.75" x14ac:dyDescent="0.25">
      <c r="A19" s="19">
        <v>46085</v>
      </c>
      <c r="B19" s="20">
        <v>0.7631944444444444</v>
      </c>
      <c r="C19" s="20">
        <v>0.90972222222222221</v>
      </c>
      <c r="D19" s="21">
        <f t="shared" si="0"/>
        <v>1.146527777777778</v>
      </c>
      <c r="E19" s="22">
        <f t="shared" si="2"/>
        <v>2344836</v>
      </c>
      <c r="F19" s="23">
        <v>2345202</v>
      </c>
      <c r="G19" s="24">
        <f t="shared" si="1"/>
        <v>3.66</v>
      </c>
      <c r="H19" s="25"/>
      <c r="I19" s="25"/>
      <c r="J19" s="25"/>
      <c r="K19" s="25"/>
      <c r="L19" s="26"/>
      <c r="M19" s="25">
        <v>55</v>
      </c>
      <c r="N19" s="27">
        <f t="shared" si="4"/>
        <v>1375</v>
      </c>
      <c r="O19" s="27">
        <f t="shared" si="3"/>
        <v>375.68306010928961</v>
      </c>
      <c r="P19" s="28" t="s">
        <v>34</v>
      </c>
      <c r="Q19" s="31"/>
    </row>
    <row r="20" spans="1:223" ht="15.75" x14ac:dyDescent="0.25">
      <c r="A20" s="19">
        <v>46085</v>
      </c>
      <c r="B20" s="20">
        <v>0.95486111111111116</v>
      </c>
      <c r="C20" s="20">
        <v>0.24097222222222223</v>
      </c>
      <c r="D20" s="21">
        <f t="shared" si="0"/>
        <v>0.28611111111111098</v>
      </c>
      <c r="E20" s="22">
        <f t="shared" si="2"/>
        <v>2345202</v>
      </c>
      <c r="F20" s="23">
        <v>2345938</v>
      </c>
      <c r="G20" s="24">
        <f t="shared" si="1"/>
        <v>7.36</v>
      </c>
      <c r="H20" s="25"/>
      <c r="I20" s="25"/>
      <c r="J20" s="25"/>
      <c r="K20" s="25"/>
      <c r="L20" s="26"/>
      <c r="M20" s="25">
        <f>91+27</f>
        <v>118</v>
      </c>
      <c r="N20" s="27">
        <f>+(($H$6*H20)+($J$6*J20)+($K$6*K20)+($L$6*L20)+($M$6*M20)+(I20*3))</f>
        <v>2950</v>
      </c>
      <c r="O20" s="27">
        <f t="shared" si="3"/>
        <v>400.81521739130432</v>
      </c>
      <c r="P20" s="28" t="s">
        <v>28</v>
      </c>
      <c r="Q20" s="31"/>
    </row>
    <row r="21" spans="1:223" ht="15.75" x14ac:dyDescent="0.25">
      <c r="A21" s="19">
        <v>46086</v>
      </c>
      <c r="B21" s="20">
        <v>0.2590277777777778</v>
      </c>
      <c r="C21" s="20">
        <v>0.57638888888888884</v>
      </c>
      <c r="D21" s="21">
        <f t="shared" si="0"/>
        <v>1.317361111111111</v>
      </c>
      <c r="E21" s="22">
        <f t="shared" si="2"/>
        <v>2345938</v>
      </c>
      <c r="F21" s="23">
        <v>2346222</v>
      </c>
      <c r="G21" s="24">
        <f t="shared" si="1"/>
        <v>2.84</v>
      </c>
      <c r="H21" s="25"/>
      <c r="I21" s="25"/>
      <c r="J21" s="25">
        <v>50</v>
      </c>
      <c r="K21" s="25"/>
      <c r="L21" s="26"/>
      <c r="M21" s="25">
        <v>96</v>
      </c>
      <c r="N21" s="27">
        <f t="shared" si="4"/>
        <v>3100</v>
      </c>
      <c r="O21" s="27">
        <f t="shared" si="3"/>
        <v>1091.549295774648</v>
      </c>
      <c r="P21" s="28" t="s">
        <v>29</v>
      </c>
      <c r="Q21" s="31"/>
    </row>
    <row r="22" spans="1:223" ht="15.75" x14ac:dyDescent="0.25">
      <c r="A22" s="19">
        <v>46086</v>
      </c>
      <c r="B22" s="20">
        <v>0.59375</v>
      </c>
      <c r="C22" s="20">
        <v>0.73611111111111116</v>
      </c>
      <c r="D22" s="21">
        <f t="shared" si="0"/>
        <v>1.1423611111111112</v>
      </c>
      <c r="E22" s="22">
        <v>2346714</v>
      </c>
      <c r="F22" s="23">
        <v>2347119</v>
      </c>
      <c r="G22" s="24">
        <f t="shared" si="1"/>
        <v>4.05</v>
      </c>
      <c r="H22" s="25"/>
      <c r="I22" s="25"/>
      <c r="J22" s="25"/>
      <c r="K22" s="25"/>
      <c r="L22" s="26"/>
      <c r="M22" s="25">
        <v>59</v>
      </c>
      <c r="N22" s="27">
        <f t="shared" si="4"/>
        <v>1475</v>
      </c>
      <c r="O22" s="27">
        <f t="shared" si="3"/>
        <v>364.19753086419757</v>
      </c>
      <c r="P22" s="28" t="s">
        <v>30</v>
      </c>
      <c r="Q22" s="31"/>
    </row>
    <row r="23" spans="1:223" ht="15.75" x14ac:dyDescent="0.25">
      <c r="A23" s="19">
        <v>46086</v>
      </c>
      <c r="B23" s="20">
        <v>0.75347222222222221</v>
      </c>
      <c r="C23" s="20">
        <v>0.90138888888888891</v>
      </c>
      <c r="D23" s="21">
        <f t="shared" si="0"/>
        <v>1.1479166666666667</v>
      </c>
      <c r="E23" s="22">
        <f t="shared" si="2"/>
        <v>2347119</v>
      </c>
      <c r="F23" s="23">
        <v>2347495</v>
      </c>
      <c r="G23" s="24">
        <f t="shared" si="1"/>
        <v>3.76</v>
      </c>
      <c r="H23" s="30"/>
      <c r="I23" s="30">
        <v>200</v>
      </c>
      <c r="J23" s="25"/>
      <c r="K23" s="25"/>
      <c r="L23" s="25"/>
      <c r="M23" s="25">
        <v>33</v>
      </c>
      <c r="N23" s="27">
        <f t="shared" si="4"/>
        <v>1425</v>
      </c>
      <c r="O23" s="27">
        <f t="shared" si="3"/>
        <v>378.98936170212767</v>
      </c>
      <c r="P23" s="28" t="s">
        <v>31</v>
      </c>
      <c r="Q23" s="31"/>
    </row>
    <row r="24" spans="1:223" ht="15.75" x14ac:dyDescent="0.25">
      <c r="A24" s="19">
        <v>46086</v>
      </c>
      <c r="B24" s="20">
        <v>0.92708333333333337</v>
      </c>
      <c r="C24" s="20">
        <v>0.24166666666666667</v>
      </c>
      <c r="D24" s="21">
        <f t="shared" si="0"/>
        <v>0.31458333333333333</v>
      </c>
      <c r="E24" s="22">
        <f t="shared" si="2"/>
        <v>2347495</v>
      </c>
      <c r="F24" s="23">
        <v>2348320</v>
      </c>
      <c r="G24" s="24">
        <f t="shared" si="1"/>
        <v>8.25</v>
      </c>
      <c r="H24" s="25"/>
      <c r="I24" s="25">
        <v>198</v>
      </c>
      <c r="J24" s="25"/>
      <c r="K24" s="25"/>
      <c r="L24" s="26"/>
      <c r="M24" s="25">
        <v>104</v>
      </c>
      <c r="N24" s="27">
        <f t="shared" si="4"/>
        <v>3194</v>
      </c>
      <c r="O24" s="27">
        <f t="shared" si="3"/>
        <v>387.15151515151513</v>
      </c>
      <c r="P24" s="28" t="s">
        <v>28</v>
      </c>
      <c r="Q24" s="31"/>
    </row>
    <row r="25" spans="1:223" ht="15.75" x14ac:dyDescent="0.25">
      <c r="A25" s="19">
        <v>46087</v>
      </c>
      <c r="B25" s="20">
        <v>0.2590277777777778</v>
      </c>
      <c r="C25" s="20">
        <v>0.56458333333333333</v>
      </c>
      <c r="D25" s="21">
        <f t="shared" si="0"/>
        <v>1.3055555555555554</v>
      </c>
      <c r="E25" s="22">
        <f t="shared" si="2"/>
        <v>2348320</v>
      </c>
      <c r="F25" s="23">
        <v>2349123</v>
      </c>
      <c r="G25" s="24">
        <f t="shared" si="1"/>
        <v>8.0299999999999994</v>
      </c>
      <c r="H25" s="30"/>
      <c r="I25" s="30"/>
      <c r="J25" s="25"/>
      <c r="K25" s="25"/>
      <c r="L25" s="25">
        <v>92</v>
      </c>
      <c r="M25" s="25">
        <f>28+35</f>
        <v>63</v>
      </c>
      <c r="N25" s="27">
        <f t="shared" si="4"/>
        <v>2955</v>
      </c>
      <c r="O25" s="27">
        <f t="shared" si="3"/>
        <v>367.99501867995019</v>
      </c>
      <c r="P25" s="28" t="s">
        <v>29</v>
      </c>
      <c r="Q25" s="31"/>
    </row>
    <row r="26" spans="1:223" ht="15.75" x14ac:dyDescent="0.25">
      <c r="A26" s="19">
        <v>46087</v>
      </c>
      <c r="B26" s="20">
        <v>0.58611111111111114</v>
      </c>
      <c r="C26" s="20">
        <v>0.74722222222222223</v>
      </c>
      <c r="D26" s="21">
        <f t="shared" si="0"/>
        <v>1.161111111111111</v>
      </c>
      <c r="E26" s="22">
        <f t="shared" si="2"/>
        <v>2349123</v>
      </c>
      <c r="F26" s="23">
        <v>2349530</v>
      </c>
      <c r="G26" s="24">
        <f t="shared" si="1"/>
        <v>4.07</v>
      </c>
      <c r="H26" s="25"/>
      <c r="I26" s="25"/>
      <c r="J26" s="25"/>
      <c r="K26" s="25"/>
      <c r="L26" s="25">
        <v>118</v>
      </c>
      <c r="M26" s="25"/>
      <c r="N26" s="27">
        <f t="shared" si="4"/>
        <v>1770</v>
      </c>
      <c r="O26" s="27">
        <f t="shared" si="3"/>
        <v>434.88943488943488</v>
      </c>
      <c r="P26" s="28" t="s">
        <v>30</v>
      </c>
      <c r="Q26" s="31"/>
    </row>
    <row r="27" spans="1:223" ht="15.75" x14ac:dyDescent="0.25">
      <c r="A27" s="19">
        <v>46087</v>
      </c>
      <c r="B27" s="20">
        <v>0.76597222222222228</v>
      </c>
      <c r="C27" s="20">
        <v>0.90277777777777779</v>
      </c>
      <c r="D27" s="21">
        <f t="shared" si="0"/>
        <v>1.1368055555555554</v>
      </c>
      <c r="E27" s="22">
        <f t="shared" si="2"/>
        <v>2349530</v>
      </c>
      <c r="F27" s="23">
        <v>2349895</v>
      </c>
      <c r="G27" s="24">
        <v>3</v>
      </c>
      <c r="H27" s="25"/>
      <c r="I27" s="25"/>
      <c r="J27" s="25">
        <v>50</v>
      </c>
      <c r="K27" s="25"/>
      <c r="L27" s="26"/>
      <c r="M27" s="25">
        <v>32</v>
      </c>
      <c r="N27" s="27">
        <f>+(($H$6*H27)+($J$6*J27)+($K$6*K27)+($L$6*L27)+($M$6*M27)+(I27*3))</f>
        <v>1500</v>
      </c>
      <c r="O27" s="27">
        <f>N27/G27</f>
        <v>500</v>
      </c>
      <c r="P27" s="28" t="s">
        <v>30</v>
      </c>
      <c r="Q27" s="31"/>
    </row>
    <row r="28" spans="1:223" s="33" customFormat="1" ht="15.75" x14ac:dyDescent="0.25">
      <c r="A28" s="19">
        <v>46087</v>
      </c>
      <c r="B28" s="20">
        <v>0.94097222222222221</v>
      </c>
      <c r="C28" s="20">
        <v>0.2326388888888889</v>
      </c>
      <c r="D28" s="21">
        <f t="shared" si="0"/>
        <v>0.29166666666666663</v>
      </c>
      <c r="E28" s="22">
        <f t="shared" si="2"/>
        <v>2349895</v>
      </c>
      <c r="F28" s="23">
        <v>2350694</v>
      </c>
      <c r="G28" s="24">
        <f t="shared" si="1"/>
        <v>7.99</v>
      </c>
      <c r="H28" s="25"/>
      <c r="I28" s="25"/>
      <c r="J28" s="25"/>
      <c r="K28" s="25"/>
      <c r="L28" s="26">
        <v>95</v>
      </c>
      <c r="M28" s="25">
        <v>70</v>
      </c>
      <c r="N28" s="27">
        <f t="shared" si="4"/>
        <v>3175</v>
      </c>
      <c r="O28" s="27">
        <f t="shared" si="3"/>
        <v>397.37171464330413</v>
      </c>
      <c r="P28" s="28" t="s">
        <v>28</v>
      </c>
      <c r="Q28" s="31"/>
    </row>
    <row r="29" spans="1:223" ht="15.75" x14ac:dyDescent="0.25">
      <c r="A29" s="19">
        <v>46088</v>
      </c>
      <c r="B29" s="20">
        <v>0.25</v>
      </c>
      <c r="C29" s="20">
        <v>0.57430555555555551</v>
      </c>
      <c r="D29" s="21">
        <f t="shared" si="0"/>
        <v>1.3243055555555556</v>
      </c>
      <c r="E29" s="22">
        <f t="shared" si="2"/>
        <v>2350694</v>
      </c>
      <c r="F29" s="23">
        <v>2351285</v>
      </c>
      <c r="G29" s="24">
        <f t="shared" si="1"/>
        <v>5.91</v>
      </c>
      <c r="H29" s="25"/>
      <c r="I29" s="25"/>
      <c r="J29" s="25"/>
      <c r="K29" s="25">
        <v>20</v>
      </c>
      <c r="L29" s="25">
        <v>76</v>
      </c>
      <c r="M29" s="25">
        <v>30</v>
      </c>
      <c r="N29" s="27">
        <f>+(($H$6*H29)+($J$6*J29)+($K$6*K29)+($L$6*L29)+(13*M29)+(I29*3))</f>
        <v>1670</v>
      </c>
      <c r="O29" s="27">
        <f t="shared" si="3"/>
        <v>282.57191201353635</v>
      </c>
      <c r="P29" s="28" t="s">
        <v>30</v>
      </c>
      <c r="Q29" s="31" t="s">
        <v>35</v>
      </c>
    </row>
    <row r="30" spans="1:223" s="34" customFormat="1" ht="15.75" x14ac:dyDescent="0.25">
      <c r="A30" s="19">
        <v>46088</v>
      </c>
      <c r="B30" s="20">
        <v>0.59375</v>
      </c>
      <c r="C30" s="20">
        <v>0.73958333333333337</v>
      </c>
      <c r="D30" s="21">
        <f t="shared" si="0"/>
        <v>1.1458333333333335</v>
      </c>
      <c r="E30" s="22">
        <f t="shared" si="2"/>
        <v>2351285</v>
      </c>
      <c r="F30" s="23">
        <v>2351684</v>
      </c>
      <c r="G30" s="24">
        <f t="shared" si="1"/>
        <v>3.99</v>
      </c>
      <c r="H30" s="25"/>
      <c r="I30" s="25"/>
      <c r="J30" s="25"/>
      <c r="K30" s="25">
        <v>126</v>
      </c>
      <c r="L30" s="26"/>
      <c r="M30" s="25">
        <v>20</v>
      </c>
      <c r="N30" s="27">
        <f t="shared" si="4"/>
        <v>1382</v>
      </c>
      <c r="O30" s="27">
        <f t="shared" si="3"/>
        <v>346.36591478696738</v>
      </c>
      <c r="P30" s="28" t="s">
        <v>29</v>
      </c>
      <c r="Q30" s="31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</row>
    <row r="31" spans="1:223" ht="15.75" x14ac:dyDescent="0.25">
      <c r="A31" s="19">
        <v>46088</v>
      </c>
      <c r="B31" s="20">
        <v>0.75486111111111109</v>
      </c>
      <c r="C31" s="20">
        <v>0.90277777777777779</v>
      </c>
      <c r="D31" s="21">
        <f t="shared" si="0"/>
        <v>1.1479166666666667</v>
      </c>
      <c r="E31" s="22">
        <f t="shared" si="2"/>
        <v>2351684</v>
      </c>
      <c r="F31" s="23">
        <v>2352045</v>
      </c>
      <c r="G31" s="24">
        <f t="shared" si="1"/>
        <v>3.61</v>
      </c>
      <c r="H31" s="25"/>
      <c r="I31" s="25"/>
      <c r="J31" s="25"/>
      <c r="K31" s="25"/>
      <c r="L31" s="26"/>
      <c r="M31" s="25">
        <v>67</v>
      </c>
      <c r="N31" s="27">
        <f t="shared" si="4"/>
        <v>1675</v>
      </c>
      <c r="O31" s="27">
        <f t="shared" si="3"/>
        <v>463.98891966759004</v>
      </c>
      <c r="P31" s="28" t="s">
        <v>31</v>
      </c>
      <c r="Q31" s="31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</row>
    <row r="32" spans="1:223" ht="15.75" x14ac:dyDescent="0.25">
      <c r="A32" s="19">
        <v>46088</v>
      </c>
      <c r="B32" s="20">
        <v>0.92361111111111116</v>
      </c>
      <c r="C32" s="20">
        <v>0.24374999999999999</v>
      </c>
      <c r="D32" s="21">
        <f t="shared" si="0"/>
        <v>0.32013888888888875</v>
      </c>
      <c r="E32" s="22">
        <f t="shared" si="2"/>
        <v>2352045</v>
      </c>
      <c r="F32" s="23">
        <v>2352875</v>
      </c>
      <c r="G32" s="24">
        <f t="shared" si="1"/>
        <v>8.3000000000000007</v>
      </c>
      <c r="H32" s="25"/>
      <c r="I32" s="25"/>
      <c r="J32" s="25"/>
      <c r="K32" s="25"/>
      <c r="L32" s="26"/>
      <c r="M32" s="25">
        <v>133</v>
      </c>
      <c r="N32" s="27">
        <f t="shared" si="4"/>
        <v>3325</v>
      </c>
      <c r="O32" s="27">
        <f t="shared" si="3"/>
        <v>400.60240963855421</v>
      </c>
      <c r="P32" s="28" t="s">
        <v>28</v>
      </c>
      <c r="Q32" s="31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</row>
    <row r="33" spans="1:223" ht="15.75" x14ac:dyDescent="0.25">
      <c r="A33" s="19">
        <v>46089</v>
      </c>
      <c r="B33" s="20">
        <v>0.26458333333333334</v>
      </c>
      <c r="C33" s="20">
        <v>0.67361111111111116</v>
      </c>
      <c r="D33" s="21">
        <f t="shared" si="0"/>
        <v>1.4090277777777778</v>
      </c>
      <c r="E33" s="22">
        <f t="shared" si="2"/>
        <v>2352875</v>
      </c>
      <c r="F33" s="23">
        <v>2353896</v>
      </c>
      <c r="G33" s="24">
        <f t="shared" si="1"/>
        <v>10.210000000000001</v>
      </c>
      <c r="H33" s="25"/>
      <c r="I33" s="25"/>
      <c r="J33" s="25">
        <v>50</v>
      </c>
      <c r="K33" s="25"/>
      <c r="L33" s="26"/>
      <c r="M33" s="25">
        <v>122</v>
      </c>
      <c r="N33" s="27">
        <f t="shared" si="4"/>
        <v>3750</v>
      </c>
      <c r="O33" s="27">
        <f t="shared" si="3"/>
        <v>367.28697355533785</v>
      </c>
      <c r="P33" s="28" t="s">
        <v>30</v>
      </c>
      <c r="Q33" s="31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</row>
    <row r="34" spans="1:223" ht="15.75" x14ac:dyDescent="0.25">
      <c r="A34" s="19">
        <v>46089</v>
      </c>
      <c r="B34" s="20">
        <v>4.8611111111111112E-2</v>
      </c>
      <c r="C34" s="20">
        <v>0.2361111111111111</v>
      </c>
      <c r="D34" s="21">
        <f t="shared" si="0"/>
        <v>1.1875</v>
      </c>
      <c r="E34" s="22">
        <f t="shared" si="2"/>
        <v>2353896</v>
      </c>
      <c r="F34" s="23">
        <v>2354425</v>
      </c>
      <c r="G34" s="24">
        <f t="shared" si="1"/>
        <v>5.29</v>
      </c>
      <c r="H34" s="25"/>
      <c r="I34" s="25"/>
      <c r="J34" s="25"/>
      <c r="K34" s="25"/>
      <c r="L34" s="26"/>
      <c r="M34" s="25">
        <v>83</v>
      </c>
      <c r="N34" s="27">
        <f t="shared" si="4"/>
        <v>2075</v>
      </c>
      <c r="O34" s="27">
        <f t="shared" si="3"/>
        <v>392.24952741020792</v>
      </c>
      <c r="P34" s="28" t="s">
        <v>31</v>
      </c>
      <c r="Q34" s="31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</row>
    <row r="35" spans="1:223" ht="15.75" x14ac:dyDescent="0.25">
      <c r="A35" s="19">
        <v>46090</v>
      </c>
      <c r="B35" s="20">
        <v>0.25624999999999998</v>
      </c>
      <c r="C35" s="20">
        <v>0.57291666666666663</v>
      </c>
      <c r="D35" s="21">
        <f t="shared" si="0"/>
        <v>1.3166666666666664</v>
      </c>
      <c r="E35" s="22">
        <f t="shared" si="2"/>
        <v>2354425</v>
      </c>
      <c r="F35" s="23">
        <v>2355193</v>
      </c>
      <c r="G35" s="24">
        <f>(F35-E35)/100</f>
        <v>7.68</v>
      </c>
      <c r="H35" s="25"/>
      <c r="I35" s="25"/>
      <c r="J35" s="25"/>
      <c r="K35" s="25"/>
      <c r="L35" s="26"/>
      <c r="M35" s="25">
        <v>116</v>
      </c>
      <c r="N35" s="27">
        <f>+(($H$6*H35)+($J$6*J35)+($K$6*K35)+($L$6*L35)+($M$6*M35)+(I35*3))</f>
        <v>2900</v>
      </c>
      <c r="O35" s="27">
        <f>N35/G35</f>
        <v>377.60416666666669</v>
      </c>
      <c r="P35" s="28" t="s">
        <v>36</v>
      </c>
      <c r="Q35" s="31" t="s">
        <v>37</v>
      </c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</row>
    <row r="36" spans="1:223" ht="15.75" x14ac:dyDescent="0.25">
      <c r="A36" s="19">
        <v>46090</v>
      </c>
      <c r="B36" s="20">
        <v>0.58611111111111114</v>
      </c>
      <c r="C36" s="20">
        <v>0.74583333333333335</v>
      </c>
      <c r="D36" s="21">
        <f t="shared" si="0"/>
        <v>1.1597222222222223</v>
      </c>
      <c r="E36" s="22">
        <f t="shared" si="2"/>
        <v>2355193</v>
      </c>
      <c r="F36" s="23">
        <v>2355652</v>
      </c>
      <c r="G36" s="24">
        <f>(F36-E36)/100</f>
        <v>4.59</v>
      </c>
      <c r="H36" s="25"/>
      <c r="I36" s="25"/>
      <c r="J36" s="25"/>
      <c r="K36" s="25"/>
      <c r="L36" s="26"/>
      <c r="M36" s="25">
        <f>39+11+13</f>
        <v>63</v>
      </c>
      <c r="N36" s="27">
        <f>+(($H$6*H36)+($J$6*J36)+($K$6*K36)+($L$6*L36)+($M$6*M36)+(I36*3))</f>
        <v>1575</v>
      </c>
      <c r="O36" s="27">
        <f>N36/G36</f>
        <v>343.13725490196077</v>
      </c>
      <c r="P36" s="28" t="s">
        <v>33</v>
      </c>
      <c r="Q36" s="31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</row>
    <row r="37" spans="1:223" ht="15.75" x14ac:dyDescent="0.25">
      <c r="A37" s="19">
        <v>46090</v>
      </c>
      <c r="B37" s="20">
        <v>0.76388888888888884</v>
      </c>
      <c r="C37" s="20">
        <v>0.90625</v>
      </c>
      <c r="D37" s="21">
        <f t="shared" si="0"/>
        <v>1.1423611111111112</v>
      </c>
      <c r="E37" s="22">
        <f t="shared" si="2"/>
        <v>2355652</v>
      </c>
      <c r="F37" s="23">
        <v>2355996</v>
      </c>
      <c r="G37" s="24">
        <f>(F37-E37)/100</f>
        <v>3.44</v>
      </c>
      <c r="H37" s="25"/>
      <c r="I37" s="25"/>
      <c r="J37" s="25"/>
      <c r="K37" s="25"/>
      <c r="L37" s="26"/>
      <c r="M37" s="25">
        <v>60</v>
      </c>
      <c r="N37" s="27">
        <f>+(($H$6*H37)+($J$6*J37)+($K$6*K37)+($L$6*L37)+($M$6*M37)+(I37*3))</f>
        <v>1500</v>
      </c>
      <c r="O37" s="27">
        <f>N37/G37</f>
        <v>436.04651162790697</v>
      </c>
      <c r="P37" s="28" t="s">
        <v>38</v>
      </c>
      <c r="Q37" s="31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</row>
    <row r="38" spans="1:223" ht="15.75" x14ac:dyDescent="0.25">
      <c r="A38" s="19">
        <v>46090</v>
      </c>
      <c r="B38" s="20">
        <v>0.94444444444444442</v>
      </c>
      <c r="C38" s="20">
        <v>0.2361111111111111</v>
      </c>
      <c r="D38" s="21">
        <f t="shared" si="0"/>
        <v>0.29166666666666674</v>
      </c>
      <c r="E38" s="22">
        <f t="shared" si="2"/>
        <v>2355996</v>
      </c>
      <c r="F38" s="23">
        <v>2356783</v>
      </c>
      <c r="G38" s="24">
        <f t="shared" si="1"/>
        <v>7.87</v>
      </c>
      <c r="H38" s="25"/>
      <c r="I38" s="25"/>
      <c r="J38" s="25"/>
      <c r="K38" s="25"/>
      <c r="L38" s="26"/>
      <c r="M38" s="25">
        <v>126</v>
      </c>
      <c r="N38" s="27">
        <f t="shared" si="4"/>
        <v>3150</v>
      </c>
      <c r="O38" s="27">
        <f t="shared" si="3"/>
        <v>400.25412960609913</v>
      </c>
      <c r="P38" s="28" t="s">
        <v>31</v>
      </c>
      <c r="Q38" s="31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</row>
    <row r="39" spans="1:223" ht="15.75" x14ac:dyDescent="0.25">
      <c r="A39" s="19">
        <v>46091</v>
      </c>
      <c r="B39" s="20">
        <v>0.25555555555555554</v>
      </c>
      <c r="C39" s="20">
        <v>0.57638888888888884</v>
      </c>
      <c r="D39" s="21">
        <f t="shared" si="0"/>
        <v>1.3208333333333333</v>
      </c>
      <c r="E39" s="22">
        <f t="shared" si="2"/>
        <v>2356783</v>
      </c>
      <c r="F39" s="23">
        <v>2357612</v>
      </c>
      <c r="G39" s="24">
        <f>(F39-E39)/100</f>
        <v>8.2899999999999991</v>
      </c>
      <c r="H39" s="25"/>
      <c r="I39" s="25"/>
      <c r="J39" s="25"/>
      <c r="K39" s="25"/>
      <c r="L39" s="26"/>
      <c r="M39" s="25">
        <f>103+27</f>
        <v>130</v>
      </c>
      <c r="N39" s="27">
        <f t="shared" si="4"/>
        <v>3250</v>
      </c>
      <c r="O39" s="27">
        <f t="shared" si="3"/>
        <v>392.03860072376364</v>
      </c>
      <c r="P39" s="28" t="s">
        <v>36</v>
      </c>
      <c r="Q39" s="31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</row>
    <row r="40" spans="1:223" ht="15.75" x14ac:dyDescent="0.25">
      <c r="A40" s="19">
        <v>46091</v>
      </c>
      <c r="B40" s="20">
        <v>0.59861111111111109</v>
      </c>
      <c r="C40" s="20">
        <v>0.74444444444444446</v>
      </c>
      <c r="D40" s="21">
        <f t="shared" si="0"/>
        <v>1.1458333333333335</v>
      </c>
      <c r="E40" s="22">
        <f t="shared" si="2"/>
        <v>2357612</v>
      </c>
      <c r="F40" s="23">
        <v>2358010</v>
      </c>
      <c r="G40" s="24">
        <f t="shared" si="1"/>
        <v>3.98</v>
      </c>
      <c r="H40" s="25"/>
      <c r="I40" s="25"/>
      <c r="J40" s="25"/>
      <c r="K40" s="25"/>
      <c r="L40" s="26"/>
      <c r="M40" s="25">
        <v>58</v>
      </c>
      <c r="N40" s="27">
        <f t="shared" si="4"/>
        <v>1450</v>
      </c>
      <c r="O40" s="27">
        <f t="shared" si="3"/>
        <v>364.321608040201</v>
      </c>
      <c r="P40" s="28" t="s">
        <v>36</v>
      </c>
      <c r="Q40" s="31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</row>
    <row r="41" spans="1:223" ht="15.75" x14ac:dyDescent="0.25">
      <c r="A41" s="19">
        <v>46091</v>
      </c>
      <c r="B41" s="20">
        <v>0.75972222222222219</v>
      </c>
      <c r="C41" s="20">
        <v>0.88611111111111107</v>
      </c>
      <c r="D41" s="21">
        <f t="shared" si="0"/>
        <v>1.1263888888888889</v>
      </c>
      <c r="E41" s="22">
        <f t="shared" si="2"/>
        <v>2358010</v>
      </c>
      <c r="F41" s="23">
        <v>2358415</v>
      </c>
      <c r="G41" s="24">
        <f t="shared" si="1"/>
        <v>4.05</v>
      </c>
      <c r="H41" s="25"/>
      <c r="I41" s="25"/>
      <c r="J41" s="25">
        <v>50</v>
      </c>
      <c r="K41" s="25"/>
      <c r="L41" s="26"/>
      <c r="M41" s="25">
        <v>42</v>
      </c>
      <c r="N41" s="27">
        <f t="shared" si="4"/>
        <v>1750</v>
      </c>
      <c r="O41" s="27">
        <f t="shared" si="3"/>
        <v>432.09876543209879</v>
      </c>
      <c r="P41" s="28" t="s">
        <v>28</v>
      </c>
      <c r="Q41" s="31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</row>
    <row r="42" spans="1:223" ht="15.75" x14ac:dyDescent="0.25">
      <c r="A42" s="19">
        <v>46091</v>
      </c>
      <c r="B42" s="20">
        <v>0.95833333333333337</v>
      </c>
      <c r="C42" s="20">
        <v>0.23958333333333334</v>
      </c>
      <c r="D42" s="21">
        <f t="shared" si="0"/>
        <v>0.28124999999999989</v>
      </c>
      <c r="E42" s="22">
        <f t="shared" si="2"/>
        <v>2358415</v>
      </c>
      <c r="F42" s="23">
        <v>2359197</v>
      </c>
      <c r="G42" s="24">
        <f t="shared" si="1"/>
        <v>7.82</v>
      </c>
      <c r="H42" s="25"/>
      <c r="I42" s="25"/>
      <c r="J42" s="25"/>
      <c r="K42" s="25"/>
      <c r="L42" s="26"/>
      <c r="M42" s="25">
        <v>122</v>
      </c>
      <c r="N42" s="27">
        <f t="shared" si="4"/>
        <v>3050</v>
      </c>
      <c r="O42" s="27">
        <f t="shared" si="3"/>
        <v>390.0255754475703</v>
      </c>
      <c r="P42" s="28" t="s">
        <v>31</v>
      </c>
      <c r="Q42" s="31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</row>
    <row r="43" spans="1:223" ht="15.75" x14ac:dyDescent="0.25">
      <c r="A43" s="19">
        <v>46092</v>
      </c>
      <c r="B43" s="20">
        <v>0.25833333333333336</v>
      </c>
      <c r="C43" s="20">
        <v>0.54722222222222228</v>
      </c>
      <c r="D43" s="21">
        <f t="shared" si="0"/>
        <v>1.288888888888889</v>
      </c>
      <c r="E43" s="22">
        <f t="shared" si="2"/>
        <v>2359197</v>
      </c>
      <c r="F43" s="23">
        <v>2359902</v>
      </c>
      <c r="G43" s="24">
        <f t="shared" si="1"/>
        <v>7.05</v>
      </c>
      <c r="H43" s="25"/>
      <c r="I43" s="25"/>
      <c r="J43" s="25"/>
      <c r="K43" s="25"/>
      <c r="L43" s="26"/>
      <c r="M43" s="25">
        <f>77+27</f>
        <v>104</v>
      </c>
      <c r="N43" s="27">
        <f t="shared" si="4"/>
        <v>2600</v>
      </c>
      <c r="O43" s="27">
        <f t="shared" si="3"/>
        <v>368.79432624113474</v>
      </c>
      <c r="P43" s="28" t="s">
        <v>28</v>
      </c>
      <c r="Q43" s="31" t="s">
        <v>39</v>
      </c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</row>
    <row r="44" spans="1:223" ht="15.75" x14ac:dyDescent="0.25">
      <c r="A44" s="19">
        <v>46092</v>
      </c>
      <c r="B44" s="20">
        <v>0.62986111111111109</v>
      </c>
      <c r="C44" s="20">
        <v>0.74305555555555558</v>
      </c>
      <c r="D44" s="21">
        <f t="shared" si="0"/>
        <v>1.1131944444444444</v>
      </c>
      <c r="E44" s="22">
        <f t="shared" si="2"/>
        <v>2359902</v>
      </c>
      <c r="F44" s="23">
        <v>2360205</v>
      </c>
      <c r="G44" s="24">
        <f t="shared" si="1"/>
        <v>3.03</v>
      </c>
      <c r="H44" s="25"/>
      <c r="I44" s="25"/>
      <c r="J44" s="25"/>
      <c r="K44" s="25"/>
      <c r="L44" s="26"/>
      <c r="M44" s="25">
        <v>48</v>
      </c>
      <c r="N44" s="27">
        <f t="shared" si="4"/>
        <v>1200</v>
      </c>
      <c r="O44" s="27">
        <f t="shared" si="3"/>
        <v>396.03960396039605</v>
      </c>
      <c r="P44" s="28" t="s">
        <v>34</v>
      </c>
      <c r="Q44" s="31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</row>
    <row r="45" spans="1:223" ht="15.75" x14ac:dyDescent="0.25">
      <c r="A45" s="19">
        <v>46092</v>
      </c>
      <c r="B45" s="20">
        <v>0.75694444444444442</v>
      </c>
      <c r="C45" s="20">
        <v>0.91666666666666663</v>
      </c>
      <c r="D45" s="21">
        <f t="shared" si="0"/>
        <v>1.1597222222222221</v>
      </c>
      <c r="E45" s="22">
        <f t="shared" si="2"/>
        <v>2360205</v>
      </c>
      <c r="F45" s="23">
        <v>2360625</v>
      </c>
      <c r="G45" s="24">
        <f t="shared" si="1"/>
        <v>4.2</v>
      </c>
      <c r="H45" s="25"/>
      <c r="I45" s="25"/>
      <c r="J45" s="25"/>
      <c r="K45" s="25"/>
      <c r="L45" s="26"/>
      <c r="M45" s="25">
        <v>69</v>
      </c>
      <c r="N45" s="27">
        <f t="shared" si="4"/>
        <v>1725</v>
      </c>
      <c r="O45" s="27">
        <f t="shared" si="3"/>
        <v>410.71428571428572</v>
      </c>
      <c r="P45" s="28" t="s">
        <v>34</v>
      </c>
      <c r="Q45" s="31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</row>
    <row r="46" spans="1:223" ht="15.75" x14ac:dyDescent="0.25">
      <c r="A46" s="19">
        <v>46092</v>
      </c>
      <c r="B46" s="20">
        <v>0.93402777777777779</v>
      </c>
      <c r="C46" s="20">
        <v>0.23958333333333334</v>
      </c>
      <c r="D46" s="21">
        <f t="shared" si="0"/>
        <v>0.30555555555555547</v>
      </c>
      <c r="E46" s="22">
        <f t="shared" si="2"/>
        <v>2360625</v>
      </c>
      <c r="F46" s="23">
        <v>2361401</v>
      </c>
      <c r="G46" s="24">
        <f t="shared" si="1"/>
        <v>7.76</v>
      </c>
      <c r="H46" s="25"/>
      <c r="I46" s="25"/>
      <c r="J46" s="25"/>
      <c r="K46" s="25"/>
      <c r="L46" s="26"/>
      <c r="M46" s="25">
        <v>129</v>
      </c>
      <c r="N46" s="27">
        <f t="shared" si="4"/>
        <v>3225</v>
      </c>
      <c r="O46" s="27">
        <f t="shared" si="3"/>
        <v>415.59278350515467</v>
      </c>
      <c r="P46" s="28" t="s">
        <v>31</v>
      </c>
      <c r="Q46" s="31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</row>
    <row r="47" spans="1:223" s="36" customFormat="1" ht="15.75" x14ac:dyDescent="0.25">
      <c r="A47" s="19">
        <v>46093</v>
      </c>
      <c r="B47" s="20">
        <v>0.26041666666666669</v>
      </c>
      <c r="C47" s="20">
        <v>0.49583333333333335</v>
      </c>
      <c r="D47" s="21">
        <f t="shared" si="0"/>
        <v>1.2354166666666666</v>
      </c>
      <c r="E47" s="22">
        <f t="shared" si="2"/>
        <v>2361401</v>
      </c>
      <c r="F47" s="23">
        <v>2361839</v>
      </c>
      <c r="G47" s="24">
        <f t="shared" si="1"/>
        <v>4.38</v>
      </c>
      <c r="H47" s="25"/>
      <c r="I47" s="25"/>
      <c r="J47" s="25"/>
      <c r="K47" s="25"/>
      <c r="L47" s="26"/>
      <c r="M47" s="25">
        <v>69</v>
      </c>
      <c r="N47" s="27">
        <f t="shared" si="4"/>
        <v>1725</v>
      </c>
      <c r="O47" s="27">
        <f t="shared" si="3"/>
        <v>393.83561643835617</v>
      </c>
      <c r="P47" s="28" t="s">
        <v>28</v>
      </c>
      <c r="Q47" s="35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33"/>
    </row>
    <row r="48" spans="1:223" s="36" customFormat="1" ht="15.75" x14ac:dyDescent="0.25">
      <c r="A48" s="19">
        <v>46093</v>
      </c>
      <c r="B48" s="20">
        <v>0.5625</v>
      </c>
      <c r="C48" s="20">
        <v>0.57986111111111116</v>
      </c>
      <c r="D48" s="21">
        <f t="shared" si="0"/>
        <v>1.0173611111111112</v>
      </c>
      <c r="E48" s="22">
        <f t="shared" si="2"/>
        <v>2361839</v>
      </c>
      <c r="F48" s="23">
        <v>2361930</v>
      </c>
      <c r="G48" s="24">
        <f t="shared" si="1"/>
        <v>0.91</v>
      </c>
      <c r="H48" s="25"/>
      <c r="I48" s="25"/>
      <c r="J48" s="25"/>
      <c r="K48" s="25"/>
      <c r="L48" s="26"/>
      <c r="M48" s="25">
        <v>12</v>
      </c>
      <c r="N48" s="27">
        <f t="shared" si="4"/>
        <v>300</v>
      </c>
      <c r="O48" s="27">
        <f t="shared" si="3"/>
        <v>329.67032967032964</v>
      </c>
      <c r="P48" s="37" t="s">
        <v>40</v>
      </c>
      <c r="Q48" s="31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</row>
    <row r="49" spans="1:18" ht="15.75" x14ac:dyDescent="0.25">
      <c r="A49" s="19">
        <v>46093</v>
      </c>
      <c r="B49" s="20">
        <v>0.60277777777777775</v>
      </c>
      <c r="C49" s="20">
        <v>0.75555555555555554</v>
      </c>
      <c r="D49" s="21">
        <f>1+'[1]TUBULAR VERDE'!C47-'[1]TUBULAR VERDE'!B47</f>
        <v>1.1298611111111112</v>
      </c>
      <c r="E49" s="22">
        <f t="shared" si="2"/>
        <v>2361930</v>
      </c>
      <c r="F49" s="23">
        <v>2362342</v>
      </c>
      <c r="G49" s="24">
        <f t="shared" si="1"/>
        <v>4.12</v>
      </c>
      <c r="H49" s="25" t="s">
        <v>41</v>
      </c>
      <c r="I49" s="25"/>
      <c r="J49" s="25"/>
      <c r="K49" s="25"/>
      <c r="L49" s="26"/>
      <c r="M49" s="25">
        <v>45</v>
      </c>
      <c r="N49" s="27" t="e">
        <f t="shared" si="4"/>
        <v>#VALUE!</v>
      </c>
      <c r="O49" s="27" t="e">
        <f t="shared" ref="O49:O56" si="5">+N49/G49</f>
        <v>#VALUE!</v>
      </c>
      <c r="P49" s="28" t="s">
        <v>42</v>
      </c>
      <c r="Q49" s="31"/>
    </row>
    <row r="50" spans="1:18" ht="15.75" x14ac:dyDescent="0.25">
      <c r="A50" s="38">
        <v>46093</v>
      </c>
      <c r="B50" s="20">
        <v>0.76111111111111107</v>
      </c>
      <c r="C50" s="20">
        <v>0.90416666666666667</v>
      </c>
      <c r="D50" s="21">
        <f>1+C50-B50</f>
        <v>1.1430555555555557</v>
      </c>
      <c r="E50" s="22">
        <f t="shared" si="2"/>
        <v>2362342</v>
      </c>
      <c r="F50" s="23">
        <v>2362701</v>
      </c>
      <c r="G50" s="24">
        <f t="shared" si="1"/>
        <v>3.59</v>
      </c>
      <c r="H50" s="25"/>
      <c r="I50" s="25"/>
      <c r="J50" s="25">
        <v>17</v>
      </c>
      <c r="K50" s="25"/>
      <c r="L50" s="26"/>
      <c r="M50" s="25">
        <v>56</v>
      </c>
      <c r="N50" s="27">
        <f t="shared" si="4"/>
        <v>1638</v>
      </c>
      <c r="O50" s="27">
        <f t="shared" si="5"/>
        <v>456.26740947075211</v>
      </c>
      <c r="P50" s="28" t="s">
        <v>34</v>
      </c>
      <c r="Q50" s="39"/>
    </row>
    <row r="51" spans="1:18" ht="15.75" x14ac:dyDescent="0.25">
      <c r="A51" s="19">
        <v>46093</v>
      </c>
      <c r="B51" s="20">
        <v>0.92361111111111116</v>
      </c>
      <c r="C51" s="20">
        <v>0.23958333333333334</v>
      </c>
      <c r="D51" s="21">
        <f>1+C51-B51</f>
        <v>0.3159722222222221</v>
      </c>
      <c r="E51" s="22">
        <f t="shared" si="2"/>
        <v>2362701</v>
      </c>
      <c r="F51" s="23">
        <v>2363506</v>
      </c>
      <c r="G51" s="24">
        <f t="shared" si="1"/>
        <v>8.0500000000000007</v>
      </c>
      <c r="H51" s="25"/>
      <c r="I51" s="25"/>
      <c r="J51" s="25"/>
      <c r="K51" s="25"/>
      <c r="L51" s="26"/>
      <c r="M51" s="25">
        <v>133</v>
      </c>
      <c r="N51" s="27">
        <f t="shared" si="4"/>
        <v>3325</v>
      </c>
      <c r="O51" s="27">
        <f t="shared" si="5"/>
        <v>413.04347826086951</v>
      </c>
      <c r="P51" s="28" t="s">
        <v>31</v>
      </c>
      <c r="Q51" s="31"/>
    </row>
    <row r="52" spans="1:18" ht="15.75" x14ac:dyDescent="0.25">
      <c r="A52" s="19">
        <v>46094</v>
      </c>
      <c r="B52" s="20">
        <v>0.2638888888888889</v>
      </c>
      <c r="C52" s="20">
        <v>0.56944444444444442</v>
      </c>
      <c r="D52" s="21">
        <f t="shared" ref="D52:D92" si="6">1+C52-B52</f>
        <v>1.3055555555555556</v>
      </c>
      <c r="E52" s="22">
        <f t="shared" si="2"/>
        <v>2363506</v>
      </c>
      <c r="F52" s="23">
        <v>2364330</v>
      </c>
      <c r="G52" s="24">
        <v>4</v>
      </c>
      <c r="H52" s="25"/>
      <c r="I52" s="25"/>
      <c r="J52" s="25"/>
      <c r="K52" s="25"/>
      <c r="L52" s="26"/>
      <c r="M52" s="25">
        <v>124</v>
      </c>
      <c r="N52" s="27">
        <f t="shared" si="4"/>
        <v>3100</v>
      </c>
      <c r="O52" s="27">
        <f t="shared" si="5"/>
        <v>775</v>
      </c>
      <c r="P52" s="28" t="s">
        <v>28</v>
      </c>
      <c r="Q52" s="39"/>
    </row>
    <row r="53" spans="1:18" ht="15.75" x14ac:dyDescent="0.25">
      <c r="A53" s="19">
        <v>46094</v>
      </c>
      <c r="B53" s="20">
        <v>0.58611111111111114</v>
      </c>
      <c r="C53" s="20">
        <v>0.74861111111111112</v>
      </c>
      <c r="D53" s="21">
        <f t="shared" si="6"/>
        <v>1.1625000000000001</v>
      </c>
      <c r="E53" s="22">
        <f t="shared" si="2"/>
        <v>2364330</v>
      </c>
      <c r="F53" s="23">
        <v>2364730</v>
      </c>
      <c r="G53" s="24">
        <f t="shared" si="1"/>
        <v>4</v>
      </c>
      <c r="H53" s="25"/>
      <c r="I53" s="25"/>
      <c r="J53" s="25"/>
      <c r="K53" s="25"/>
      <c r="L53" s="26"/>
      <c r="M53" s="25">
        <v>65</v>
      </c>
      <c r="N53" s="27">
        <f t="shared" si="4"/>
        <v>1625</v>
      </c>
      <c r="O53" s="27">
        <f t="shared" si="5"/>
        <v>406.25</v>
      </c>
      <c r="P53" s="28" t="s">
        <v>36</v>
      </c>
      <c r="Q53" s="31"/>
      <c r="R53" t="s">
        <v>43</v>
      </c>
    </row>
    <row r="54" spans="1:18" ht="15.75" x14ac:dyDescent="0.25">
      <c r="A54" s="19">
        <v>46094</v>
      </c>
      <c r="B54" s="40">
        <v>0.76666666666666672</v>
      </c>
      <c r="C54" s="40">
        <v>0.90277777777777779</v>
      </c>
      <c r="D54" s="21">
        <f t="shared" si="6"/>
        <v>1.1361111111111111</v>
      </c>
      <c r="E54" s="22">
        <f t="shared" si="2"/>
        <v>2364730</v>
      </c>
      <c r="F54" s="23">
        <v>2365037</v>
      </c>
      <c r="G54" s="24">
        <f t="shared" si="1"/>
        <v>3.07</v>
      </c>
      <c r="H54" s="25"/>
      <c r="I54" s="25"/>
      <c r="J54" s="25"/>
      <c r="K54" s="25"/>
      <c r="L54" s="25"/>
      <c r="M54" s="25">
        <v>49</v>
      </c>
      <c r="N54" s="27">
        <f t="shared" si="4"/>
        <v>1225</v>
      </c>
      <c r="O54" s="27">
        <f t="shared" si="5"/>
        <v>399.02280130293161</v>
      </c>
      <c r="P54" s="37" t="s">
        <v>36</v>
      </c>
      <c r="Q54" s="31" t="s">
        <v>44</v>
      </c>
    </row>
    <row r="55" spans="1:18" ht="15.75" x14ac:dyDescent="0.25">
      <c r="A55" s="19">
        <v>46094</v>
      </c>
      <c r="B55" s="20">
        <v>0.91666666666666663</v>
      </c>
      <c r="C55" s="20">
        <v>0.2361111111111111</v>
      </c>
      <c r="D55" s="21">
        <f t="shared" si="6"/>
        <v>0.31944444444444453</v>
      </c>
      <c r="E55" s="22">
        <f t="shared" si="2"/>
        <v>2365037</v>
      </c>
      <c r="F55" s="23">
        <v>2365835</v>
      </c>
      <c r="G55" s="24">
        <f t="shared" si="1"/>
        <v>7.98</v>
      </c>
      <c r="H55" s="25"/>
      <c r="I55" s="25"/>
      <c r="J55" s="25"/>
      <c r="K55" s="25"/>
      <c r="L55" s="26"/>
      <c r="M55" s="25">
        <v>136</v>
      </c>
      <c r="N55" s="27">
        <f t="shared" si="4"/>
        <v>3400</v>
      </c>
      <c r="O55" s="27">
        <f t="shared" si="5"/>
        <v>426.06516290726813</v>
      </c>
      <c r="P55" s="37" t="s">
        <v>31</v>
      </c>
      <c r="Q55" s="31"/>
    </row>
    <row r="56" spans="1:18" ht="15.75" x14ac:dyDescent="0.25">
      <c r="A56" s="19">
        <v>46095</v>
      </c>
      <c r="B56" s="20">
        <v>0.25833333333333336</v>
      </c>
      <c r="C56" s="20">
        <v>0.56944444444444442</v>
      </c>
      <c r="D56" s="21">
        <f t="shared" si="6"/>
        <v>1.3111111111111111</v>
      </c>
      <c r="E56" s="22">
        <f t="shared" si="2"/>
        <v>2365835</v>
      </c>
      <c r="F56" s="23">
        <v>2366611</v>
      </c>
      <c r="G56" s="24">
        <f t="shared" si="1"/>
        <v>7.76</v>
      </c>
      <c r="H56" s="25">
        <v>10</v>
      </c>
      <c r="I56" s="25"/>
      <c r="J56" s="25"/>
      <c r="K56" s="25"/>
      <c r="L56" s="26">
        <v>110</v>
      </c>
      <c r="M56" s="25">
        <v>50</v>
      </c>
      <c r="N56" s="27">
        <f t="shared" si="4"/>
        <v>2915</v>
      </c>
      <c r="O56" s="27">
        <f t="shared" si="5"/>
        <v>375.64432989690721</v>
      </c>
      <c r="P56" s="28" t="s">
        <v>28</v>
      </c>
      <c r="Q56" s="31"/>
    </row>
    <row r="57" spans="1:18" ht="15.75" x14ac:dyDescent="0.25">
      <c r="A57" s="19">
        <v>46095</v>
      </c>
      <c r="B57" s="20">
        <v>0.60416666666666663</v>
      </c>
      <c r="C57" s="20">
        <v>0.75</v>
      </c>
      <c r="D57" s="21">
        <f t="shared" si="6"/>
        <v>1.1458333333333335</v>
      </c>
      <c r="E57" s="22">
        <f t="shared" si="2"/>
        <v>2366611</v>
      </c>
      <c r="F57" s="23">
        <v>2367022</v>
      </c>
      <c r="G57" s="24">
        <f t="shared" si="1"/>
        <v>4.1100000000000003</v>
      </c>
      <c r="H57" s="25"/>
      <c r="I57" s="25"/>
      <c r="J57" s="25"/>
      <c r="K57" s="25"/>
      <c r="L57" s="26">
        <v>109</v>
      </c>
      <c r="M57" s="25"/>
      <c r="N57" s="27">
        <f t="shared" si="4"/>
        <v>1635</v>
      </c>
      <c r="O57" s="27">
        <f>N57/G57</f>
        <v>397.81021897810217</v>
      </c>
      <c r="P57" s="28" t="s">
        <v>34</v>
      </c>
      <c r="Q57" s="31"/>
    </row>
    <row r="58" spans="1:18" ht="15.75" x14ac:dyDescent="0.25">
      <c r="A58" s="19">
        <v>46095</v>
      </c>
      <c r="B58" s="40">
        <v>0.76944444444444449</v>
      </c>
      <c r="C58" s="40">
        <v>0.90972222222222221</v>
      </c>
      <c r="D58" s="21">
        <f t="shared" si="6"/>
        <v>1.1402777777777779</v>
      </c>
      <c r="E58" s="22">
        <f t="shared" si="2"/>
        <v>2367022</v>
      </c>
      <c r="F58" s="23">
        <v>2367409</v>
      </c>
      <c r="G58" s="24">
        <f t="shared" si="1"/>
        <v>3.87</v>
      </c>
      <c r="H58" s="30"/>
      <c r="I58" s="30"/>
      <c r="J58" s="25"/>
      <c r="K58" s="25"/>
      <c r="L58" s="25"/>
      <c r="M58" s="25">
        <v>63</v>
      </c>
      <c r="N58" s="27">
        <f t="shared" si="4"/>
        <v>1575</v>
      </c>
      <c r="O58" s="27">
        <f t="shared" ref="O58:O65" si="7">N58/G58</f>
        <v>406.97674418604652</v>
      </c>
      <c r="P58" s="28" t="s">
        <v>42</v>
      </c>
      <c r="Q58" s="31"/>
    </row>
    <row r="59" spans="1:18" ht="15.75" x14ac:dyDescent="0.25">
      <c r="A59" s="19">
        <v>46095</v>
      </c>
      <c r="B59" s="20">
        <v>0.92013888888888884</v>
      </c>
      <c r="C59" s="20">
        <v>0.23958333333333334</v>
      </c>
      <c r="D59" s="21">
        <f t="shared" si="6"/>
        <v>0.31944444444444442</v>
      </c>
      <c r="E59" s="22">
        <f t="shared" si="2"/>
        <v>2367409</v>
      </c>
      <c r="F59" s="23">
        <v>2368196</v>
      </c>
      <c r="G59" s="24">
        <f t="shared" si="1"/>
        <v>7.87</v>
      </c>
      <c r="H59" s="25"/>
      <c r="I59" s="25"/>
      <c r="J59" s="25"/>
      <c r="K59" s="25"/>
      <c r="L59" s="25"/>
      <c r="M59" s="25">
        <v>132</v>
      </c>
      <c r="N59" s="27">
        <f t="shared" si="4"/>
        <v>3300</v>
      </c>
      <c r="O59" s="27">
        <f t="shared" si="7"/>
        <v>419.31385006353241</v>
      </c>
      <c r="P59" s="28" t="s">
        <v>31</v>
      </c>
      <c r="Q59" s="31"/>
    </row>
    <row r="60" spans="1:18" ht="15.75" x14ac:dyDescent="0.25">
      <c r="A60" s="19"/>
      <c r="B60" s="20"/>
      <c r="C60" s="20"/>
      <c r="D60" s="21">
        <f t="shared" si="6"/>
        <v>1</v>
      </c>
      <c r="E60" s="22">
        <f t="shared" si="2"/>
        <v>2368196</v>
      </c>
      <c r="F60" s="23"/>
      <c r="G60" s="24">
        <f t="shared" si="1"/>
        <v>-23681.96</v>
      </c>
      <c r="H60" s="25"/>
      <c r="I60" s="25"/>
      <c r="J60" s="25"/>
      <c r="K60" s="25"/>
      <c r="L60" s="26"/>
      <c r="M60" s="25"/>
      <c r="N60" s="27">
        <f t="shared" si="4"/>
        <v>0</v>
      </c>
      <c r="O60" s="27">
        <f t="shared" si="7"/>
        <v>0</v>
      </c>
      <c r="P60" s="28" t="s">
        <v>45</v>
      </c>
      <c r="Q60" s="31"/>
    </row>
    <row r="61" spans="1:18" s="33" customFormat="1" ht="15.75" x14ac:dyDescent="0.25">
      <c r="A61" s="19"/>
      <c r="B61" s="20"/>
      <c r="C61" s="20"/>
      <c r="D61" s="21">
        <f t="shared" si="6"/>
        <v>1</v>
      </c>
      <c r="E61" s="22">
        <f t="shared" si="2"/>
        <v>0</v>
      </c>
      <c r="F61" s="23"/>
      <c r="G61" s="24">
        <f t="shared" si="1"/>
        <v>0</v>
      </c>
      <c r="H61" s="25"/>
      <c r="I61" s="25"/>
      <c r="J61" s="25"/>
      <c r="K61" s="25"/>
      <c r="L61" s="26"/>
      <c r="M61" s="25"/>
      <c r="N61" s="27">
        <f t="shared" si="4"/>
        <v>0</v>
      </c>
      <c r="O61" s="27" t="e">
        <f t="shared" si="7"/>
        <v>#DIV/0!</v>
      </c>
      <c r="P61" s="28" t="s">
        <v>34</v>
      </c>
      <c r="Q61" s="31"/>
    </row>
    <row r="62" spans="1:18" ht="15.75" x14ac:dyDescent="0.25">
      <c r="A62" s="19"/>
      <c r="B62" s="20"/>
      <c r="C62" s="20"/>
      <c r="D62" s="21">
        <f t="shared" si="6"/>
        <v>1</v>
      </c>
      <c r="E62" s="22">
        <f t="shared" si="2"/>
        <v>0</v>
      </c>
      <c r="F62" s="23"/>
      <c r="G62" s="24">
        <f t="shared" si="1"/>
        <v>0</v>
      </c>
      <c r="H62" s="25"/>
      <c r="I62" s="25"/>
      <c r="J62" s="25"/>
      <c r="K62" s="25"/>
      <c r="L62" s="26"/>
      <c r="M62" s="25"/>
      <c r="N62" s="27">
        <f t="shared" si="4"/>
        <v>0</v>
      </c>
      <c r="O62" s="27" t="e">
        <f t="shared" si="7"/>
        <v>#DIV/0!</v>
      </c>
      <c r="P62" s="28" t="s">
        <v>46</v>
      </c>
      <c r="Q62" s="31"/>
    </row>
    <row r="63" spans="1:18" ht="15.75" x14ac:dyDescent="0.25">
      <c r="A63" s="19"/>
      <c r="B63" s="20"/>
      <c r="C63" s="20"/>
      <c r="D63" s="21">
        <f t="shared" si="6"/>
        <v>1</v>
      </c>
      <c r="E63" s="22">
        <f t="shared" si="2"/>
        <v>0</v>
      </c>
      <c r="F63" s="23"/>
      <c r="G63" s="24">
        <f t="shared" si="1"/>
        <v>0</v>
      </c>
      <c r="H63" s="25"/>
      <c r="I63" s="25"/>
      <c r="J63" s="25"/>
      <c r="K63" s="25"/>
      <c r="L63" s="26"/>
      <c r="M63" s="25"/>
      <c r="N63" s="27">
        <f t="shared" si="4"/>
        <v>0</v>
      </c>
      <c r="O63" s="27" t="e">
        <f t="shared" si="7"/>
        <v>#DIV/0!</v>
      </c>
      <c r="P63" s="28" t="s">
        <v>28</v>
      </c>
      <c r="Q63" s="31"/>
    </row>
    <row r="64" spans="1:18" ht="15.75" x14ac:dyDescent="0.25">
      <c r="A64" s="19"/>
      <c r="B64" s="20"/>
      <c r="C64" s="20"/>
      <c r="D64" s="21">
        <f t="shared" si="6"/>
        <v>1</v>
      </c>
      <c r="E64" s="22">
        <f t="shared" si="2"/>
        <v>0</v>
      </c>
      <c r="F64" s="23"/>
      <c r="G64" s="24">
        <f t="shared" si="1"/>
        <v>0</v>
      </c>
      <c r="H64" s="25"/>
      <c r="I64" s="25"/>
      <c r="J64" s="25"/>
      <c r="K64" s="25"/>
      <c r="L64" s="26"/>
      <c r="M64" s="25"/>
      <c r="N64" s="27">
        <f t="shared" si="4"/>
        <v>0</v>
      </c>
      <c r="O64" s="27" t="e">
        <f t="shared" si="7"/>
        <v>#DIV/0!</v>
      </c>
      <c r="P64" s="28" t="s">
        <v>42</v>
      </c>
      <c r="Q64" s="31"/>
    </row>
    <row r="65" spans="1:49" ht="15.75" x14ac:dyDescent="0.25">
      <c r="A65" s="19"/>
      <c r="B65" s="20"/>
      <c r="C65" s="20"/>
      <c r="D65" s="21">
        <f t="shared" si="6"/>
        <v>1</v>
      </c>
      <c r="E65" s="22">
        <f t="shared" si="2"/>
        <v>0</v>
      </c>
      <c r="F65" s="23"/>
      <c r="G65" s="24">
        <f t="shared" si="1"/>
        <v>0</v>
      </c>
      <c r="H65" s="25"/>
      <c r="I65" s="25"/>
      <c r="J65" s="25"/>
      <c r="K65" s="25"/>
      <c r="L65" s="26"/>
      <c r="M65" s="25"/>
      <c r="N65" s="27">
        <f t="shared" si="4"/>
        <v>0</v>
      </c>
      <c r="O65" s="27" t="e">
        <f t="shared" si="7"/>
        <v>#DIV/0!</v>
      </c>
      <c r="P65" s="28" t="s">
        <v>45</v>
      </c>
      <c r="Q65" s="31"/>
    </row>
    <row r="66" spans="1:49" ht="15.75" x14ac:dyDescent="0.25">
      <c r="A66" s="19"/>
      <c r="B66" s="20"/>
      <c r="C66" s="20"/>
      <c r="D66" s="21">
        <f t="shared" si="6"/>
        <v>1</v>
      </c>
      <c r="E66" s="22">
        <f t="shared" si="2"/>
        <v>0</v>
      </c>
      <c r="F66" s="23"/>
      <c r="G66" s="24">
        <f t="shared" si="1"/>
        <v>0</v>
      </c>
      <c r="H66" s="25"/>
      <c r="I66" s="25"/>
      <c r="J66" s="25"/>
      <c r="K66" s="25"/>
      <c r="L66" s="25"/>
      <c r="M66" s="25"/>
      <c r="N66" s="27">
        <f t="shared" si="4"/>
        <v>0</v>
      </c>
      <c r="O66" s="27" t="e">
        <f>N66/G66</f>
        <v>#DIV/0!</v>
      </c>
      <c r="P66" s="28" t="s">
        <v>34</v>
      </c>
      <c r="Q66" s="31"/>
    </row>
    <row r="67" spans="1:49" ht="15.75" x14ac:dyDescent="0.25">
      <c r="A67" s="19"/>
      <c r="B67" s="20"/>
      <c r="C67" s="20"/>
      <c r="D67" s="21">
        <f t="shared" si="6"/>
        <v>1</v>
      </c>
      <c r="E67" s="22">
        <f t="shared" si="2"/>
        <v>0</v>
      </c>
      <c r="F67" s="23"/>
      <c r="G67" s="24">
        <f t="shared" si="1"/>
        <v>0</v>
      </c>
      <c r="H67" s="25"/>
      <c r="I67" s="25"/>
      <c r="J67" s="25"/>
      <c r="K67" s="25"/>
      <c r="L67" s="26"/>
      <c r="M67" s="25"/>
      <c r="N67" s="27">
        <f t="shared" si="4"/>
        <v>0</v>
      </c>
      <c r="O67" s="27" t="e">
        <f>N67/G67</f>
        <v>#DIV/0!</v>
      </c>
      <c r="P67" s="28" t="s">
        <v>31</v>
      </c>
      <c r="Q67" s="31"/>
    </row>
    <row r="68" spans="1:49" s="33" customFormat="1" ht="15.75" x14ac:dyDescent="0.25">
      <c r="A68" s="19"/>
      <c r="B68" s="20"/>
      <c r="C68" s="20"/>
      <c r="D68" s="21">
        <f t="shared" si="6"/>
        <v>1</v>
      </c>
      <c r="E68" s="22">
        <f t="shared" si="2"/>
        <v>0</v>
      </c>
      <c r="F68" s="23"/>
      <c r="G68" s="24">
        <f t="shared" si="1"/>
        <v>0</v>
      </c>
      <c r="H68" s="25"/>
      <c r="I68" s="25"/>
      <c r="J68" s="25"/>
      <c r="K68" s="25"/>
      <c r="L68" s="26"/>
      <c r="M68" s="25"/>
      <c r="N68" s="27">
        <f t="shared" si="4"/>
        <v>0</v>
      </c>
      <c r="O68" s="27" t="e">
        <f>N68/G68</f>
        <v>#DIV/0!</v>
      </c>
      <c r="P68" s="28" t="s">
        <v>28</v>
      </c>
      <c r="Q68" s="31"/>
    </row>
    <row r="69" spans="1:49" ht="15.75" x14ac:dyDescent="0.25">
      <c r="A69" s="19"/>
      <c r="B69" s="20"/>
      <c r="C69" s="20"/>
      <c r="D69" s="21">
        <f t="shared" si="6"/>
        <v>1</v>
      </c>
      <c r="E69" s="22">
        <f t="shared" si="2"/>
        <v>0</v>
      </c>
      <c r="F69" s="23"/>
      <c r="G69" s="24">
        <f t="shared" si="1"/>
        <v>0</v>
      </c>
      <c r="H69" s="25"/>
      <c r="I69" s="25"/>
      <c r="J69" s="25"/>
      <c r="K69" s="25"/>
      <c r="L69" s="26"/>
      <c r="M69" s="25"/>
      <c r="N69" s="27">
        <f t="shared" si="4"/>
        <v>0</v>
      </c>
      <c r="O69" s="27" t="e">
        <f>+N69/G69</f>
        <v>#DIV/0!</v>
      </c>
      <c r="P69" s="28" t="s">
        <v>34</v>
      </c>
      <c r="Q69" s="31"/>
    </row>
    <row r="70" spans="1:49" ht="15.75" x14ac:dyDescent="0.25">
      <c r="A70" s="19"/>
      <c r="B70" s="20"/>
      <c r="C70" s="20"/>
      <c r="D70" s="21">
        <f t="shared" si="6"/>
        <v>1</v>
      </c>
      <c r="E70" s="22">
        <f t="shared" si="2"/>
        <v>0</v>
      </c>
      <c r="F70" s="23"/>
      <c r="G70" s="24">
        <f t="shared" si="1"/>
        <v>0</v>
      </c>
      <c r="H70" s="25"/>
      <c r="I70" s="25"/>
      <c r="J70" s="25"/>
      <c r="K70" s="25"/>
      <c r="L70" s="26"/>
      <c r="M70" s="25"/>
      <c r="N70" s="27">
        <f t="shared" si="4"/>
        <v>0</v>
      </c>
      <c r="O70" s="27" t="e">
        <f>+N70/G70</f>
        <v>#DIV/0!</v>
      </c>
      <c r="P70" s="28" t="s">
        <v>34</v>
      </c>
      <c r="Q70" s="31"/>
    </row>
    <row r="71" spans="1:49" ht="15.75" x14ac:dyDescent="0.25">
      <c r="A71" s="19"/>
      <c r="B71" s="20"/>
      <c r="C71" s="20"/>
      <c r="D71" s="21">
        <f t="shared" si="6"/>
        <v>1</v>
      </c>
      <c r="E71" s="22">
        <f t="shared" si="2"/>
        <v>0</v>
      </c>
      <c r="F71" s="23"/>
      <c r="G71" s="24">
        <f t="shared" ref="G71:G126" si="8">(F71-E71)/100</f>
        <v>0</v>
      </c>
      <c r="H71" s="25"/>
      <c r="I71" s="25"/>
      <c r="J71" s="25"/>
      <c r="K71" s="25"/>
      <c r="L71" s="26"/>
      <c r="M71" s="25"/>
      <c r="N71" s="27">
        <f t="shared" si="4"/>
        <v>0</v>
      </c>
      <c r="O71" s="27" t="e">
        <f>N71/G71</f>
        <v>#DIV/0!</v>
      </c>
      <c r="P71" s="28" t="s">
        <v>31</v>
      </c>
      <c r="Q71" s="31"/>
    </row>
    <row r="72" spans="1:49" ht="15.75" x14ac:dyDescent="0.25">
      <c r="A72" s="19"/>
      <c r="B72" s="20"/>
      <c r="C72" s="20"/>
      <c r="D72" s="21">
        <f t="shared" si="6"/>
        <v>1</v>
      </c>
      <c r="E72" s="22">
        <f>F71</f>
        <v>0</v>
      </c>
      <c r="F72" s="23"/>
      <c r="G72" s="24">
        <v>12</v>
      </c>
      <c r="H72" s="30"/>
      <c r="I72" s="30"/>
      <c r="J72" s="25"/>
      <c r="K72" s="25"/>
      <c r="L72" s="25"/>
      <c r="M72" s="25"/>
      <c r="N72" s="27">
        <f t="shared" si="4"/>
        <v>0</v>
      </c>
      <c r="O72" s="27">
        <f>N72/G72</f>
        <v>0</v>
      </c>
      <c r="P72" s="28" t="s">
        <v>33</v>
      </c>
      <c r="Q72" s="31"/>
    </row>
    <row r="73" spans="1:49" ht="15.75" x14ac:dyDescent="0.25">
      <c r="A73" s="19"/>
      <c r="B73" s="20"/>
      <c r="C73" s="20"/>
      <c r="D73" s="21">
        <f t="shared" si="6"/>
        <v>1</v>
      </c>
      <c r="E73" s="22">
        <f t="shared" ref="E73:E127" si="9">F72</f>
        <v>0</v>
      </c>
      <c r="F73" s="23"/>
      <c r="G73" s="24">
        <f t="shared" si="8"/>
        <v>0</v>
      </c>
      <c r="H73" s="25"/>
      <c r="I73" s="25"/>
      <c r="J73" s="25"/>
      <c r="K73" s="25"/>
      <c r="L73" s="26"/>
      <c r="M73" s="25"/>
      <c r="N73" s="27">
        <f t="shared" ref="N73:N127" si="10">+(($H$6*H73)+($J$6*J73)+($K$6*K73)+($L$6*L73)+($M$6*M73)+(I73*3))</f>
        <v>0</v>
      </c>
      <c r="O73" s="27" t="e">
        <f>N73/G73</f>
        <v>#DIV/0!</v>
      </c>
      <c r="P73" s="28" t="s">
        <v>34</v>
      </c>
      <c r="Q73" s="31"/>
    </row>
    <row r="74" spans="1:49" ht="15.75" x14ac:dyDescent="0.25">
      <c r="A74" s="19"/>
      <c r="B74" s="20"/>
      <c r="C74" s="20"/>
      <c r="D74" s="21">
        <f t="shared" si="6"/>
        <v>1</v>
      </c>
      <c r="E74" s="22">
        <f t="shared" si="9"/>
        <v>0</v>
      </c>
      <c r="F74" s="23"/>
      <c r="G74" s="24">
        <f t="shared" si="8"/>
        <v>0</v>
      </c>
      <c r="H74" s="30"/>
      <c r="I74" s="30"/>
      <c r="J74" s="25"/>
      <c r="K74" s="25"/>
      <c r="L74" s="25"/>
      <c r="M74" s="25"/>
      <c r="N74" s="27">
        <f t="shared" si="10"/>
        <v>0</v>
      </c>
      <c r="O74" s="27" t="e">
        <f t="shared" ref="O74:O88" si="11">N74/G74</f>
        <v>#DIV/0!</v>
      </c>
      <c r="P74" s="28" t="s">
        <v>31</v>
      </c>
      <c r="Q74" s="31"/>
    </row>
    <row r="75" spans="1:49" ht="15.75" x14ac:dyDescent="0.25">
      <c r="A75" s="19"/>
      <c r="B75" s="20"/>
      <c r="C75" s="20"/>
      <c r="D75" s="21">
        <f t="shared" si="6"/>
        <v>1</v>
      </c>
      <c r="E75" s="22">
        <f t="shared" si="9"/>
        <v>0</v>
      </c>
      <c r="F75" s="23"/>
      <c r="G75" s="24">
        <f t="shared" si="8"/>
        <v>0</v>
      </c>
      <c r="H75" s="25"/>
      <c r="I75" s="25"/>
      <c r="J75" s="25"/>
      <c r="K75" s="25"/>
      <c r="L75" s="25"/>
      <c r="M75" s="25"/>
      <c r="N75" s="27">
        <f t="shared" si="10"/>
        <v>0</v>
      </c>
      <c r="O75" s="27" t="e">
        <f t="shared" si="11"/>
        <v>#DIV/0!</v>
      </c>
      <c r="P75" s="28" t="s">
        <v>28</v>
      </c>
      <c r="Q75" s="31"/>
    </row>
    <row r="76" spans="1:49" ht="15.75" x14ac:dyDescent="0.25">
      <c r="A76" s="19"/>
      <c r="B76" s="20"/>
      <c r="C76" s="20"/>
      <c r="D76" s="21">
        <f t="shared" si="6"/>
        <v>1</v>
      </c>
      <c r="E76" s="22">
        <f t="shared" si="9"/>
        <v>0</v>
      </c>
      <c r="F76" s="23"/>
      <c r="G76" s="24">
        <f t="shared" si="8"/>
        <v>0</v>
      </c>
      <c r="H76" s="25"/>
      <c r="I76" s="25"/>
      <c r="J76" s="25"/>
      <c r="K76" s="25"/>
      <c r="L76" s="26"/>
      <c r="M76" s="25"/>
      <c r="N76" s="27">
        <f t="shared" si="10"/>
        <v>0</v>
      </c>
      <c r="O76" s="27" t="e">
        <f t="shared" si="11"/>
        <v>#DIV/0!</v>
      </c>
      <c r="P76" s="28" t="s">
        <v>28</v>
      </c>
      <c r="Q76" s="31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</row>
    <row r="77" spans="1:49" s="34" customFormat="1" ht="15.75" x14ac:dyDescent="0.25">
      <c r="A77" s="19"/>
      <c r="B77" s="20"/>
      <c r="C77" s="20"/>
      <c r="D77" s="21">
        <f t="shared" si="6"/>
        <v>1</v>
      </c>
      <c r="E77" s="22">
        <f t="shared" si="9"/>
        <v>0</v>
      </c>
      <c r="F77" s="23"/>
      <c r="G77" s="24">
        <f t="shared" si="8"/>
        <v>0</v>
      </c>
      <c r="H77" s="25"/>
      <c r="I77" s="25"/>
      <c r="J77" s="25"/>
      <c r="K77" s="25"/>
      <c r="L77" s="26"/>
      <c r="M77" s="25"/>
      <c r="N77" s="27">
        <f t="shared" si="10"/>
        <v>0</v>
      </c>
      <c r="O77" s="27" t="e">
        <f t="shared" si="11"/>
        <v>#DIV/0!</v>
      </c>
      <c r="P77" s="28" t="s">
        <v>34</v>
      </c>
      <c r="Q77" s="31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</row>
    <row r="78" spans="1:49" ht="15.75" x14ac:dyDescent="0.25">
      <c r="A78" s="19"/>
      <c r="B78" s="20"/>
      <c r="C78" s="20"/>
      <c r="D78" s="21">
        <f t="shared" si="6"/>
        <v>1</v>
      </c>
      <c r="E78" s="22">
        <f t="shared" si="9"/>
        <v>0</v>
      </c>
      <c r="F78" s="23"/>
      <c r="G78" s="24">
        <f t="shared" si="8"/>
        <v>0</v>
      </c>
      <c r="H78" s="25"/>
      <c r="I78" s="25"/>
      <c r="J78" s="25"/>
      <c r="K78" s="25"/>
      <c r="L78" s="26"/>
      <c r="M78" s="25"/>
      <c r="N78" s="27">
        <f t="shared" si="10"/>
        <v>0</v>
      </c>
      <c r="O78" s="27" t="e">
        <f t="shared" si="11"/>
        <v>#DIV/0!</v>
      </c>
      <c r="P78" s="28" t="s">
        <v>31</v>
      </c>
      <c r="Q78" s="31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</row>
    <row r="79" spans="1:49" ht="15.75" x14ac:dyDescent="0.25">
      <c r="A79" s="19"/>
      <c r="B79" s="20"/>
      <c r="C79" s="20"/>
      <c r="D79" s="21">
        <f t="shared" si="6"/>
        <v>1</v>
      </c>
      <c r="E79" s="22">
        <f t="shared" si="9"/>
        <v>0</v>
      </c>
      <c r="F79" s="23"/>
      <c r="G79" s="24">
        <f t="shared" si="8"/>
        <v>0</v>
      </c>
      <c r="H79" s="25"/>
      <c r="I79" s="25"/>
      <c r="J79" s="25"/>
      <c r="K79" s="25"/>
      <c r="L79" s="26"/>
      <c r="M79" s="25"/>
      <c r="N79" s="27">
        <f t="shared" si="10"/>
        <v>0</v>
      </c>
      <c r="O79" s="27" t="e">
        <f t="shared" si="11"/>
        <v>#DIV/0!</v>
      </c>
      <c r="P79" s="28" t="s">
        <v>28</v>
      </c>
      <c r="Q79" s="31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</row>
    <row r="80" spans="1:49" ht="15.75" x14ac:dyDescent="0.25">
      <c r="A80" s="19"/>
      <c r="B80" s="20"/>
      <c r="C80" s="20"/>
      <c r="D80" s="21">
        <f t="shared" si="6"/>
        <v>1</v>
      </c>
      <c r="E80" s="22">
        <f t="shared" si="9"/>
        <v>0</v>
      </c>
      <c r="F80" s="23"/>
      <c r="G80" s="24">
        <f t="shared" si="8"/>
        <v>0</v>
      </c>
      <c r="H80" s="25"/>
      <c r="I80" s="25"/>
      <c r="J80" s="25"/>
      <c r="K80" s="25"/>
      <c r="L80" s="26"/>
      <c r="M80" s="25"/>
      <c r="N80" s="27">
        <f t="shared" si="10"/>
        <v>0</v>
      </c>
      <c r="O80" s="27" t="e">
        <f t="shared" si="11"/>
        <v>#DIV/0!</v>
      </c>
      <c r="P80" s="28" t="s">
        <v>34</v>
      </c>
      <c r="Q80" s="31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</row>
    <row r="81" spans="1:49" ht="15.75" x14ac:dyDescent="0.25">
      <c r="A81" s="19"/>
      <c r="B81" s="20"/>
      <c r="C81" s="20"/>
      <c r="D81" s="21">
        <f t="shared" si="6"/>
        <v>1</v>
      </c>
      <c r="E81" s="22">
        <f t="shared" si="9"/>
        <v>0</v>
      </c>
      <c r="F81" s="23"/>
      <c r="G81" s="24">
        <f t="shared" si="8"/>
        <v>0</v>
      </c>
      <c r="H81" s="25"/>
      <c r="I81" s="25"/>
      <c r="J81" s="25"/>
      <c r="K81" s="25"/>
      <c r="L81" s="25"/>
      <c r="M81" s="25"/>
      <c r="N81" s="27">
        <f t="shared" si="10"/>
        <v>0</v>
      </c>
      <c r="O81" s="27" t="e">
        <f t="shared" si="11"/>
        <v>#DIV/0!</v>
      </c>
      <c r="P81" s="28" t="s">
        <v>29</v>
      </c>
      <c r="Q81" s="31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</row>
    <row r="82" spans="1:49" ht="15.75" x14ac:dyDescent="0.25">
      <c r="A82" s="19"/>
      <c r="B82" s="20"/>
      <c r="C82" s="20"/>
      <c r="D82" s="21">
        <f t="shared" si="6"/>
        <v>1</v>
      </c>
      <c r="E82" s="22">
        <f t="shared" si="9"/>
        <v>0</v>
      </c>
      <c r="F82" s="23"/>
      <c r="G82" s="24">
        <f t="shared" si="8"/>
        <v>0</v>
      </c>
      <c r="H82" s="25"/>
      <c r="I82" s="25"/>
      <c r="J82" s="25"/>
      <c r="K82" s="25"/>
      <c r="L82" s="26"/>
      <c r="M82" s="25"/>
      <c r="N82" s="27">
        <f t="shared" si="10"/>
        <v>0</v>
      </c>
      <c r="O82" s="27" t="e">
        <f t="shared" si="11"/>
        <v>#DIV/0!</v>
      </c>
      <c r="P82" s="28" t="s">
        <v>28</v>
      </c>
      <c r="Q82" s="31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</row>
    <row r="83" spans="1:49" ht="15.75" x14ac:dyDescent="0.25">
      <c r="A83" s="19"/>
      <c r="B83" s="20"/>
      <c r="C83" s="20"/>
      <c r="D83" s="21">
        <f t="shared" si="6"/>
        <v>1</v>
      </c>
      <c r="E83" s="22">
        <f t="shared" si="9"/>
        <v>0</v>
      </c>
      <c r="F83" s="23"/>
      <c r="G83" s="24">
        <f t="shared" si="8"/>
        <v>0</v>
      </c>
      <c r="H83" s="25"/>
      <c r="I83" s="25"/>
      <c r="J83" s="25"/>
      <c r="K83" s="25"/>
      <c r="L83" s="26"/>
      <c r="M83" s="25"/>
      <c r="N83" s="27">
        <f t="shared" si="10"/>
        <v>0</v>
      </c>
      <c r="O83" s="27" t="e">
        <f t="shared" si="11"/>
        <v>#DIV/0!</v>
      </c>
      <c r="P83" s="28" t="s">
        <v>34</v>
      </c>
      <c r="Q83" s="31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</row>
    <row r="84" spans="1:49" s="41" customFormat="1" ht="15.75" x14ac:dyDescent="0.25">
      <c r="A84" s="19"/>
      <c r="B84" s="20"/>
      <c r="C84" s="20"/>
      <c r="D84" s="21">
        <f t="shared" si="6"/>
        <v>1</v>
      </c>
      <c r="E84" s="22">
        <f t="shared" si="9"/>
        <v>0</v>
      </c>
      <c r="F84" s="23"/>
      <c r="G84" s="24">
        <f t="shared" si="8"/>
        <v>0</v>
      </c>
      <c r="H84" s="25"/>
      <c r="I84" s="25"/>
      <c r="J84" s="25"/>
      <c r="K84" s="25"/>
      <c r="L84" s="26"/>
      <c r="M84" s="25"/>
      <c r="N84" s="27">
        <f>+(($H$6*H84)+($J$6*J84)+($K$6*K84)+($L$6*L84)+($M$6*M84)+(I84*3))</f>
        <v>0</v>
      </c>
      <c r="O84" s="27" t="e">
        <f>N84/G84</f>
        <v>#DIV/0!</v>
      </c>
      <c r="P84" s="28" t="s">
        <v>31</v>
      </c>
      <c r="Q84" s="31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</row>
    <row r="85" spans="1:49" ht="15.75" x14ac:dyDescent="0.25">
      <c r="A85" s="19"/>
      <c r="B85" s="20"/>
      <c r="C85" s="20"/>
      <c r="D85" s="21">
        <f t="shared" si="6"/>
        <v>1</v>
      </c>
      <c r="E85" s="22">
        <f t="shared" si="9"/>
        <v>0</v>
      </c>
      <c r="F85" s="23"/>
      <c r="G85" s="24">
        <f t="shared" si="8"/>
        <v>0</v>
      </c>
      <c r="H85" s="25"/>
      <c r="I85" s="25"/>
      <c r="J85" s="25"/>
      <c r="K85" s="25"/>
      <c r="L85" s="26"/>
      <c r="M85" s="25"/>
      <c r="N85" s="27">
        <f t="shared" si="10"/>
        <v>0</v>
      </c>
      <c r="O85" s="27" t="e">
        <f t="shared" si="11"/>
        <v>#DIV/0!</v>
      </c>
      <c r="P85" s="28" t="s">
        <v>30</v>
      </c>
      <c r="Q85" s="31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</row>
    <row r="86" spans="1:49" ht="15.75" x14ac:dyDescent="0.25">
      <c r="A86" s="19"/>
      <c r="B86" s="20"/>
      <c r="C86" s="20"/>
      <c r="D86" s="21">
        <f t="shared" si="6"/>
        <v>1</v>
      </c>
      <c r="E86" s="22">
        <f t="shared" si="9"/>
        <v>0</v>
      </c>
      <c r="F86" s="23"/>
      <c r="G86" s="24">
        <f t="shared" si="8"/>
        <v>0</v>
      </c>
      <c r="H86" s="25"/>
      <c r="I86" s="25"/>
      <c r="J86" s="25"/>
      <c r="K86" s="25"/>
      <c r="L86" s="26"/>
      <c r="M86" s="25"/>
      <c r="N86" s="27">
        <f t="shared" si="10"/>
        <v>0</v>
      </c>
      <c r="O86" s="27" t="e">
        <f t="shared" si="11"/>
        <v>#DIV/0!</v>
      </c>
      <c r="P86" s="28" t="s">
        <v>30</v>
      </c>
      <c r="Q86" s="31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</row>
    <row r="87" spans="1:49" ht="15.75" x14ac:dyDescent="0.25">
      <c r="A87" s="19"/>
      <c r="B87" s="20"/>
      <c r="C87" s="20"/>
      <c r="D87" s="21">
        <f t="shared" si="6"/>
        <v>1</v>
      </c>
      <c r="E87" s="22">
        <f t="shared" si="9"/>
        <v>0</v>
      </c>
      <c r="F87" s="23"/>
      <c r="G87" s="24">
        <f t="shared" si="8"/>
        <v>0</v>
      </c>
      <c r="H87" s="25"/>
      <c r="I87" s="25"/>
      <c r="J87" s="25"/>
      <c r="K87" s="25"/>
      <c r="L87" s="26"/>
      <c r="M87" s="25"/>
      <c r="N87" s="27">
        <f t="shared" si="10"/>
        <v>0</v>
      </c>
      <c r="O87" s="27" t="e">
        <f t="shared" si="11"/>
        <v>#DIV/0!</v>
      </c>
      <c r="P87" s="28" t="s">
        <v>34</v>
      </c>
      <c r="Q87" s="31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</row>
    <row r="88" spans="1:49" ht="15.75" x14ac:dyDescent="0.25">
      <c r="A88" s="19"/>
      <c r="B88" s="20"/>
      <c r="C88" s="20"/>
      <c r="D88" s="21">
        <f t="shared" si="6"/>
        <v>1</v>
      </c>
      <c r="E88" s="22">
        <f t="shared" si="9"/>
        <v>0</v>
      </c>
      <c r="F88" s="23"/>
      <c r="G88" s="24">
        <f t="shared" si="8"/>
        <v>0</v>
      </c>
      <c r="H88" s="25"/>
      <c r="I88" s="25"/>
      <c r="J88" s="25"/>
      <c r="K88" s="25"/>
      <c r="L88" s="26"/>
      <c r="M88" s="25"/>
      <c r="N88" s="27">
        <f t="shared" si="10"/>
        <v>0</v>
      </c>
      <c r="O88" s="27" t="e">
        <f t="shared" si="11"/>
        <v>#DIV/0!</v>
      </c>
      <c r="P88" s="28" t="s">
        <v>33</v>
      </c>
      <c r="Q88" s="31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</row>
    <row r="89" spans="1:49" ht="15.75" x14ac:dyDescent="0.25">
      <c r="A89" s="19"/>
      <c r="B89" s="20"/>
      <c r="C89" s="20"/>
      <c r="D89" s="21">
        <f t="shared" si="6"/>
        <v>1</v>
      </c>
      <c r="E89" s="22">
        <f t="shared" si="9"/>
        <v>0</v>
      </c>
      <c r="F89" s="23"/>
      <c r="G89" s="24">
        <f t="shared" si="8"/>
        <v>0</v>
      </c>
      <c r="H89" s="25"/>
      <c r="I89" s="25"/>
      <c r="J89" s="25"/>
      <c r="K89" s="25"/>
      <c r="L89" s="26"/>
      <c r="M89" s="25"/>
      <c r="N89" s="27">
        <f t="shared" si="10"/>
        <v>0</v>
      </c>
      <c r="O89" s="27" t="e">
        <f t="shared" ref="O89:O119" si="12">+N89/G89</f>
        <v>#DIV/0!</v>
      </c>
      <c r="P89" s="28" t="s">
        <v>30</v>
      </c>
      <c r="Q89" s="31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</row>
    <row r="90" spans="1:49" ht="15.75" x14ac:dyDescent="0.25">
      <c r="A90" s="19"/>
      <c r="B90" s="20"/>
      <c r="C90" s="20"/>
      <c r="D90" s="21">
        <f t="shared" si="6"/>
        <v>1</v>
      </c>
      <c r="E90" s="22">
        <f t="shared" si="9"/>
        <v>0</v>
      </c>
      <c r="F90" s="23"/>
      <c r="G90" s="24">
        <f t="shared" si="8"/>
        <v>0</v>
      </c>
      <c r="H90" s="25"/>
      <c r="I90" s="25"/>
      <c r="J90" s="25"/>
      <c r="K90" s="25"/>
      <c r="L90" s="26"/>
      <c r="M90" s="25"/>
      <c r="N90" s="27">
        <f t="shared" si="10"/>
        <v>0</v>
      </c>
      <c r="O90" s="27" t="e">
        <f t="shared" si="12"/>
        <v>#DIV/0!</v>
      </c>
      <c r="P90" s="28" t="s">
        <v>42</v>
      </c>
      <c r="Q90" s="31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</row>
    <row r="91" spans="1:49" ht="15.75" x14ac:dyDescent="0.25">
      <c r="A91" s="19"/>
      <c r="B91" s="20"/>
      <c r="C91" s="20"/>
      <c r="D91" s="21">
        <f t="shared" si="6"/>
        <v>1</v>
      </c>
      <c r="E91" s="22">
        <f t="shared" si="9"/>
        <v>0</v>
      </c>
      <c r="F91" s="23"/>
      <c r="G91" s="24">
        <f t="shared" si="8"/>
        <v>0</v>
      </c>
      <c r="H91" s="25"/>
      <c r="I91" s="25"/>
      <c r="J91" s="25"/>
      <c r="K91" s="25"/>
      <c r="L91" s="26"/>
      <c r="M91" s="25"/>
      <c r="N91" s="27">
        <f t="shared" si="10"/>
        <v>0</v>
      </c>
      <c r="O91" s="27" t="e">
        <f t="shared" si="12"/>
        <v>#DIV/0!</v>
      </c>
      <c r="P91" s="28" t="s">
        <v>45</v>
      </c>
      <c r="Q91" s="31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</row>
    <row r="92" spans="1:49" ht="15.75" x14ac:dyDescent="0.25">
      <c r="A92" s="19"/>
      <c r="B92" s="20"/>
      <c r="C92" s="20"/>
      <c r="D92" s="21">
        <f t="shared" si="6"/>
        <v>1</v>
      </c>
      <c r="E92" s="22">
        <f t="shared" si="9"/>
        <v>0</v>
      </c>
      <c r="F92" s="23"/>
      <c r="G92" s="24">
        <f t="shared" si="8"/>
        <v>0</v>
      </c>
      <c r="H92" s="25"/>
      <c r="I92" s="25"/>
      <c r="J92" s="25"/>
      <c r="K92" s="25"/>
      <c r="L92" s="26"/>
      <c r="M92" s="25"/>
      <c r="N92" s="27">
        <f t="shared" si="10"/>
        <v>0</v>
      </c>
      <c r="O92" s="27" t="e">
        <f t="shared" si="12"/>
        <v>#DIV/0!</v>
      </c>
      <c r="P92" s="28" t="s">
        <v>34</v>
      </c>
      <c r="Q92" s="31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</row>
    <row r="93" spans="1:49" ht="15.75" x14ac:dyDescent="0.25">
      <c r="A93" s="19"/>
      <c r="B93" s="20"/>
      <c r="C93" s="20"/>
      <c r="D93" s="21">
        <f>1+'[1]TUBULAR VERDE'!C99-'[1]TUBULAR VERDE'!B99</f>
        <v>1</v>
      </c>
      <c r="E93" s="22">
        <f t="shared" si="9"/>
        <v>0</v>
      </c>
      <c r="F93" s="23"/>
      <c r="G93" s="24">
        <f t="shared" si="8"/>
        <v>0</v>
      </c>
      <c r="H93" s="25"/>
      <c r="I93" s="25"/>
      <c r="J93" s="25"/>
      <c r="K93" s="25"/>
      <c r="L93" s="26"/>
      <c r="M93" s="25"/>
      <c r="N93" s="27">
        <f t="shared" si="10"/>
        <v>0</v>
      </c>
      <c r="O93" s="27" t="e">
        <f t="shared" si="12"/>
        <v>#DIV/0!</v>
      </c>
      <c r="P93" s="28" t="s">
        <v>31</v>
      </c>
      <c r="Q93" s="31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</row>
    <row r="94" spans="1:49" s="34" customFormat="1" ht="15.75" x14ac:dyDescent="0.25">
      <c r="A94" s="19"/>
      <c r="B94" s="20"/>
      <c r="C94" s="20"/>
      <c r="D94" s="21">
        <f t="shared" ref="D94:D127" si="13">1+C94-B94</f>
        <v>1</v>
      </c>
      <c r="E94" s="22">
        <f t="shared" si="9"/>
        <v>0</v>
      </c>
      <c r="F94" s="23"/>
      <c r="G94" s="24">
        <f t="shared" si="8"/>
        <v>0</v>
      </c>
      <c r="H94" s="25"/>
      <c r="I94" s="25"/>
      <c r="J94" s="25"/>
      <c r="K94" s="25"/>
      <c r="L94" s="25"/>
      <c r="M94" s="25"/>
      <c r="N94" s="27">
        <f t="shared" si="10"/>
        <v>0</v>
      </c>
      <c r="O94" s="27" t="e">
        <f t="shared" si="12"/>
        <v>#DIV/0!</v>
      </c>
      <c r="P94" s="28" t="s">
        <v>30</v>
      </c>
      <c r="Q94" s="31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</row>
    <row r="95" spans="1:49" ht="15.75" x14ac:dyDescent="0.25">
      <c r="A95" s="19"/>
      <c r="B95" s="20"/>
      <c r="C95" s="20"/>
      <c r="D95" s="21">
        <f t="shared" si="13"/>
        <v>1</v>
      </c>
      <c r="E95" s="22">
        <f t="shared" si="9"/>
        <v>0</v>
      </c>
      <c r="F95" s="23"/>
      <c r="G95" s="24">
        <f t="shared" si="8"/>
        <v>0</v>
      </c>
      <c r="H95" s="25"/>
      <c r="I95" s="25"/>
      <c r="J95" s="25"/>
      <c r="K95" s="25"/>
      <c r="L95" s="26"/>
      <c r="M95" s="25"/>
      <c r="N95" s="27">
        <f t="shared" si="10"/>
        <v>0</v>
      </c>
      <c r="O95" s="27" t="e">
        <f t="shared" si="12"/>
        <v>#DIV/0!</v>
      </c>
      <c r="P95" s="28" t="s">
        <v>30</v>
      </c>
      <c r="Q95" s="39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</row>
    <row r="96" spans="1:49" ht="15.75" x14ac:dyDescent="0.25">
      <c r="A96" s="19"/>
      <c r="B96" s="20"/>
      <c r="C96" s="20"/>
      <c r="D96" s="21">
        <f t="shared" si="13"/>
        <v>1</v>
      </c>
      <c r="E96" s="22">
        <f t="shared" si="9"/>
        <v>0</v>
      </c>
      <c r="F96" s="23"/>
      <c r="G96" s="24">
        <f t="shared" si="8"/>
        <v>0</v>
      </c>
      <c r="H96" s="25"/>
      <c r="I96" s="25"/>
      <c r="J96" s="25"/>
      <c r="K96" s="25"/>
      <c r="L96" s="26"/>
      <c r="M96" s="26"/>
      <c r="N96" s="27">
        <f t="shared" si="10"/>
        <v>0</v>
      </c>
      <c r="O96" s="27" t="e">
        <f t="shared" si="12"/>
        <v>#DIV/0!</v>
      </c>
      <c r="P96" s="28" t="s">
        <v>34</v>
      </c>
      <c r="Q96" s="31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</row>
    <row r="97" spans="1:49" ht="15.75" x14ac:dyDescent="0.25">
      <c r="A97" s="19"/>
      <c r="B97" s="20"/>
      <c r="C97" s="20"/>
      <c r="D97" s="21">
        <f t="shared" si="13"/>
        <v>1</v>
      </c>
      <c r="E97" s="22">
        <f t="shared" si="9"/>
        <v>0</v>
      </c>
      <c r="F97" s="23"/>
      <c r="G97" s="24">
        <f t="shared" si="8"/>
        <v>0</v>
      </c>
      <c r="H97" s="25"/>
      <c r="I97" s="25"/>
      <c r="J97" s="25"/>
      <c r="K97" s="25"/>
      <c r="L97" s="26"/>
      <c r="M97" s="25"/>
      <c r="N97" s="27">
        <f t="shared" si="10"/>
        <v>0</v>
      </c>
      <c r="O97" s="27" t="e">
        <f t="shared" si="12"/>
        <v>#DIV/0!</v>
      </c>
      <c r="P97" s="28"/>
      <c r="Q97" s="31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</row>
    <row r="98" spans="1:49" ht="15.75" x14ac:dyDescent="0.25">
      <c r="A98" s="19"/>
      <c r="B98" s="20"/>
      <c r="C98" s="20"/>
      <c r="D98" s="21">
        <f t="shared" si="13"/>
        <v>1</v>
      </c>
      <c r="E98" s="22">
        <f t="shared" si="9"/>
        <v>0</v>
      </c>
      <c r="F98" s="23"/>
      <c r="G98" s="24">
        <f t="shared" si="8"/>
        <v>0</v>
      </c>
      <c r="H98" s="25"/>
      <c r="I98" s="25"/>
      <c r="J98" s="25"/>
      <c r="K98" s="25"/>
      <c r="L98" s="26"/>
      <c r="M98" s="25"/>
      <c r="N98" s="27">
        <f t="shared" si="10"/>
        <v>0</v>
      </c>
      <c r="O98" s="27" t="e">
        <f t="shared" si="12"/>
        <v>#DIV/0!</v>
      </c>
      <c r="P98" s="28"/>
      <c r="Q98" s="31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</row>
    <row r="99" spans="1:49" ht="15.75" x14ac:dyDescent="0.25">
      <c r="A99" s="19"/>
      <c r="B99" s="20"/>
      <c r="C99" s="20"/>
      <c r="D99" s="21">
        <f t="shared" si="13"/>
        <v>1</v>
      </c>
      <c r="E99" s="22">
        <f t="shared" si="9"/>
        <v>0</v>
      </c>
      <c r="F99" s="23"/>
      <c r="G99" s="24">
        <f t="shared" si="8"/>
        <v>0</v>
      </c>
      <c r="H99" s="25"/>
      <c r="I99" s="25"/>
      <c r="J99" s="25"/>
      <c r="K99" s="25"/>
      <c r="L99" s="26"/>
      <c r="M99" s="25"/>
      <c r="N99" s="27">
        <f t="shared" si="10"/>
        <v>0</v>
      </c>
      <c r="O99" s="27" t="e">
        <f t="shared" si="12"/>
        <v>#DIV/0!</v>
      </c>
      <c r="P99" s="28"/>
      <c r="Q99" s="31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</row>
    <row r="100" spans="1:49" ht="15.75" x14ac:dyDescent="0.25">
      <c r="A100" s="19"/>
      <c r="B100" s="20"/>
      <c r="C100" s="20"/>
      <c r="D100" s="21">
        <f t="shared" si="13"/>
        <v>1</v>
      </c>
      <c r="E100" s="22">
        <f t="shared" si="9"/>
        <v>0</v>
      </c>
      <c r="F100" s="23"/>
      <c r="G100" s="24">
        <f t="shared" si="8"/>
        <v>0</v>
      </c>
      <c r="H100" s="25"/>
      <c r="I100" s="25"/>
      <c r="J100" s="25"/>
      <c r="K100" s="25"/>
      <c r="L100" s="26"/>
      <c r="M100" s="25"/>
      <c r="N100" s="27">
        <f t="shared" si="10"/>
        <v>0</v>
      </c>
      <c r="O100" s="27" t="e">
        <f t="shared" si="12"/>
        <v>#DIV/0!</v>
      </c>
      <c r="P100" s="28"/>
      <c r="Q100" s="31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</row>
    <row r="101" spans="1:49" ht="15.75" x14ac:dyDescent="0.25">
      <c r="A101" s="19"/>
      <c r="B101" s="20"/>
      <c r="C101" s="20"/>
      <c r="D101" s="21">
        <f t="shared" si="13"/>
        <v>1</v>
      </c>
      <c r="E101" s="22">
        <f t="shared" si="9"/>
        <v>0</v>
      </c>
      <c r="F101" s="23"/>
      <c r="G101" s="24">
        <f t="shared" si="8"/>
        <v>0</v>
      </c>
      <c r="H101" s="25"/>
      <c r="I101" s="25"/>
      <c r="J101" s="25"/>
      <c r="K101" s="25"/>
      <c r="L101" s="26"/>
      <c r="M101" s="25"/>
      <c r="N101" s="27">
        <f t="shared" si="10"/>
        <v>0</v>
      </c>
      <c r="O101" s="27" t="e">
        <f t="shared" si="12"/>
        <v>#DIV/0!</v>
      </c>
      <c r="P101" s="28"/>
      <c r="Q101" s="31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</row>
    <row r="102" spans="1:49" ht="15.75" x14ac:dyDescent="0.25">
      <c r="A102" s="19"/>
      <c r="B102" s="20"/>
      <c r="C102" s="20"/>
      <c r="D102" s="21">
        <f t="shared" si="13"/>
        <v>1</v>
      </c>
      <c r="E102" s="22">
        <f t="shared" si="9"/>
        <v>0</v>
      </c>
      <c r="F102" s="23"/>
      <c r="G102" s="24">
        <f t="shared" si="8"/>
        <v>0</v>
      </c>
      <c r="H102" s="25"/>
      <c r="I102" s="25"/>
      <c r="J102" s="25"/>
      <c r="K102" s="25"/>
      <c r="L102" s="26"/>
      <c r="M102" s="25"/>
      <c r="N102" s="27">
        <f t="shared" si="10"/>
        <v>0</v>
      </c>
      <c r="O102" s="27" t="e">
        <f t="shared" si="12"/>
        <v>#DIV/0!</v>
      </c>
      <c r="P102" s="28"/>
      <c r="Q102" s="31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</row>
    <row r="103" spans="1:49" ht="15.75" x14ac:dyDescent="0.25">
      <c r="A103" s="19"/>
      <c r="B103" s="20"/>
      <c r="C103" s="20"/>
      <c r="D103" s="21">
        <f t="shared" si="13"/>
        <v>1</v>
      </c>
      <c r="E103" s="22"/>
      <c r="F103" s="23"/>
      <c r="G103" s="24">
        <f t="shared" si="8"/>
        <v>0</v>
      </c>
      <c r="H103" s="25"/>
      <c r="I103" s="25"/>
      <c r="J103" s="25"/>
      <c r="K103" s="25"/>
      <c r="L103" s="25"/>
      <c r="M103" s="25"/>
      <c r="N103" s="27">
        <f t="shared" si="10"/>
        <v>0</v>
      </c>
      <c r="O103" s="27" t="e">
        <f t="shared" si="12"/>
        <v>#DIV/0!</v>
      </c>
      <c r="P103" s="37"/>
      <c r="Q103" s="31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</row>
    <row r="104" spans="1:49" ht="15.75" x14ac:dyDescent="0.25">
      <c r="A104" s="19"/>
      <c r="B104" s="20"/>
      <c r="C104" s="20"/>
      <c r="D104" s="21">
        <f t="shared" si="13"/>
        <v>1</v>
      </c>
      <c r="E104" s="22">
        <f t="shared" si="9"/>
        <v>0</v>
      </c>
      <c r="F104" s="23"/>
      <c r="G104" s="24">
        <f t="shared" si="8"/>
        <v>0</v>
      </c>
      <c r="H104" s="25"/>
      <c r="I104" s="25"/>
      <c r="J104" s="25"/>
      <c r="K104" s="25"/>
      <c r="L104" s="26"/>
      <c r="M104" s="25"/>
      <c r="N104" s="27">
        <f t="shared" si="10"/>
        <v>0</v>
      </c>
      <c r="O104" s="27" t="e">
        <f t="shared" si="12"/>
        <v>#DIV/0!</v>
      </c>
      <c r="P104" s="28"/>
      <c r="Q104" s="31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</row>
    <row r="105" spans="1:49" ht="15.75" x14ac:dyDescent="0.25">
      <c r="A105" s="19"/>
      <c r="B105" s="20"/>
      <c r="C105" s="20"/>
      <c r="D105" s="21">
        <f t="shared" si="13"/>
        <v>1</v>
      </c>
      <c r="E105" s="22">
        <f t="shared" si="9"/>
        <v>0</v>
      </c>
      <c r="F105" s="23"/>
      <c r="G105" s="24">
        <f t="shared" si="8"/>
        <v>0</v>
      </c>
      <c r="H105" s="25"/>
      <c r="I105" s="25"/>
      <c r="J105" s="25"/>
      <c r="K105" s="25"/>
      <c r="L105" s="26"/>
      <c r="M105" s="25"/>
      <c r="N105" s="27">
        <f t="shared" si="10"/>
        <v>0</v>
      </c>
      <c r="O105" s="27" t="e">
        <f t="shared" si="12"/>
        <v>#DIV/0!</v>
      </c>
      <c r="P105" s="28"/>
      <c r="Q105" s="31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</row>
    <row r="106" spans="1:49" ht="15.75" x14ac:dyDescent="0.25">
      <c r="A106" s="19"/>
      <c r="B106" s="20"/>
      <c r="C106" s="20"/>
      <c r="D106" s="21">
        <f t="shared" si="13"/>
        <v>1</v>
      </c>
      <c r="E106" s="22">
        <f t="shared" si="9"/>
        <v>0</v>
      </c>
      <c r="F106" s="23"/>
      <c r="G106" s="24">
        <f t="shared" si="8"/>
        <v>0</v>
      </c>
      <c r="H106" s="25"/>
      <c r="I106" s="25"/>
      <c r="J106" s="25"/>
      <c r="K106" s="25"/>
      <c r="L106" s="26"/>
      <c r="M106" s="25"/>
      <c r="N106" s="27">
        <f t="shared" si="10"/>
        <v>0</v>
      </c>
      <c r="O106" s="27" t="e">
        <f t="shared" si="12"/>
        <v>#DIV/0!</v>
      </c>
      <c r="P106" s="28"/>
      <c r="Q106" s="31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</row>
    <row r="107" spans="1:49" ht="15.75" x14ac:dyDescent="0.25">
      <c r="A107" s="19"/>
      <c r="B107" s="20"/>
      <c r="C107" s="20"/>
      <c r="D107" s="21">
        <f t="shared" si="13"/>
        <v>1</v>
      </c>
      <c r="E107" s="22">
        <f t="shared" si="9"/>
        <v>0</v>
      </c>
      <c r="F107" s="23"/>
      <c r="G107" s="24">
        <f t="shared" si="8"/>
        <v>0</v>
      </c>
      <c r="H107" s="25"/>
      <c r="I107" s="25"/>
      <c r="J107" s="25"/>
      <c r="K107" s="25"/>
      <c r="L107" s="26"/>
      <c r="M107" s="25"/>
      <c r="N107" s="27">
        <f t="shared" si="10"/>
        <v>0</v>
      </c>
      <c r="O107" s="27" t="e">
        <f t="shared" si="12"/>
        <v>#DIV/0!</v>
      </c>
      <c r="P107" s="28"/>
      <c r="Q107" s="31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</row>
    <row r="108" spans="1:49" ht="15.75" x14ac:dyDescent="0.25">
      <c r="A108" s="19"/>
      <c r="B108" s="20"/>
      <c r="C108" s="20"/>
      <c r="D108" s="21">
        <f t="shared" si="13"/>
        <v>1</v>
      </c>
      <c r="E108" s="22">
        <f t="shared" si="9"/>
        <v>0</v>
      </c>
      <c r="F108" s="23"/>
      <c r="G108" s="24">
        <f t="shared" si="8"/>
        <v>0</v>
      </c>
      <c r="H108" s="25"/>
      <c r="I108" s="25"/>
      <c r="J108" s="25"/>
      <c r="K108" s="25"/>
      <c r="L108" s="26"/>
      <c r="M108" s="25"/>
      <c r="N108" s="27">
        <f t="shared" si="10"/>
        <v>0</v>
      </c>
      <c r="O108" s="27" t="e">
        <f t="shared" si="12"/>
        <v>#DIV/0!</v>
      </c>
      <c r="P108" s="28"/>
      <c r="Q108" s="31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</row>
    <row r="109" spans="1:49" ht="15.75" x14ac:dyDescent="0.25">
      <c r="A109" s="19"/>
      <c r="B109" s="20"/>
      <c r="C109" s="20"/>
      <c r="D109" s="21">
        <f t="shared" si="13"/>
        <v>1</v>
      </c>
      <c r="E109" s="22">
        <f t="shared" si="9"/>
        <v>0</v>
      </c>
      <c r="F109" s="23"/>
      <c r="G109" s="24">
        <f t="shared" si="8"/>
        <v>0</v>
      </c>
      <c r="H109" s="25"/>
      <c r="I109" s="25"/>
      <c r="J109" s="25"/>
      <c r="K109" s="25"/>
      <c r="L109" s="25"/>
      <c r="M109" s="25"/>
      <c r="N109" s="27">
        <f t="shared" si="10"/>
        <v>0</v>
      </c>
      <c r="O109" s="27" t="e">
        <f t="shared" si="12"/>
        <v>#DIV/0!</v>
      </c>
      <c r="P109" s="28"/>
      <c r="Q109" s="31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</row>
    <row r="110" spans="1:49" ht="15.75" x14ac:dyDescent="0.25">
      <c r="A110" s="19"/>
      <c r="B110" s="20"/>
      <c r="C110" s="20"/>
      <c r="D110" s="21">
        <f t="shared" si="13"/>
        <v>1</v>
      </c>
      <c r="E110" s="22">
        <f t="shared" si="9"/>
        <v>0</v>
      </c>
      <c r="F110" s="23"/>
      <c r="G110" s="24">
        <f t="shared" si="8"/>
        <v>0</v>
      </c>
      <c r="H110" s="25"/>
      <c r="I110" s="25"/>
      <c r="J110" s="25"/>
      <c r="K110" s="25"/>
      <c r="L110" s="26"/>
      <c r="M110" s="25"/>
      <c r="N110" s="27">
        <f t="shared" si="10"/>
        <v>0</v>
      </c>
      <c r="O110" s="27" t="e">
        <f t="shared" si="12"/>
        <v>#DIV/0!</v>
      </c>
      <c r="P110" s="28"/>
      <c r="Q110" s="31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</row>
    <row r="111" spans="1:49" ht="15.75" x14ac:dyDescent="0.25">
      <c r="A111" s="19"/>
      <c r="B111" s="20"/>
      <c r="C111" s="20"/>
      <c r="D111" s="21">
        <f t="shared" si="13"/>
        <v>1</v>
      </c>
      <c r="E111" s="22">
        <f t="shared" si="9"/>
        <v>0</v>
      </c>
      <c r="F111" s="23"/>
      <c r="G111" s="24">
        <f t="shared" si="8"/>
        <v>0</v>
      </c>
      <c r="H111" s="25"/>
      <c r="I111" s="25"/>
      <c r="J111" s="25"/>
      <c r="K111" s="25"/>
      <c r="L111" s="26"/>
      <c r="M111" s="25"/>
      <c r="N111" s="27">
        <f t="shared" si="10"/>
        <v>0</v>
      </c>
      <c r="O111" s="27" t="e">
        <f t="shared" si="12"/>
        <v>#DIV/0!</v>
      </c>
      <c r="P111" s="28"/>
      <c r="Q111" s="31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</row>
    <row r="112" spans="1:49" ht="15.75" x14ac:dyDescent="0.25">
      <c r="A112" s="19"/>
      <c r="B112" s="40"/>
      <c r="C112" s="40"/>
      <c r="D112" s="21">
        <f t="shared" si="13"/>
        <v>1</v>
      </c>
      <c r="E112" s="22">
        <f t="shared" si="9"/>
        <v>0</v>
      </c>
      <c r="F112" s="23"/>
      <c r="G112" s="24">
        <f t="shared" si="8"/>
        <v>0</v>
      </c>
      <c r="H112" s="25"/>
      <c r="I112" s="25"/>
      <c r="J112" s="25"/>
      <c r="K112" s="25"/>
      <c r="L112" s="25"/>
      <c r="M112" s="25"/>
      <c r="N112" s="27">
        <f t="shared" si="10"/>
        <v>0</v>
      </c>
      <c r="O112" s="27" t="e">
        <f t="shared" si="12"/>
        <v>#DIV/0!</v>
      </c>
      <c r="P112" s="28"/>
      <c r="Q112" s="31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</row>
    <row r="113" spans="1:49" ht="15.75" x14ac:dyDescent="0.25">
      <c r="A113" s="42"/>
      <c r="B113" s="20"/>
      <c r="C113" s="20"/>
      <c r="D113" s="21">
        <f t="shared" si="13"/>
        <v>1</v>
      </c>
      <c r="E113" s="22">
        <f t="shared" si="9"/>
        <v>0</v>
      </c>
      <c r="F113" s="23"/>
      <c r="G113" s="24">
        <f t="shared" si="8"/>
        <v>0</v>
      </c>
      <c r="H113" s="25"/>
      <c r="I113" s="25"/>
      <c r="J113" s="25"/>
      <c r="K113" s="25"/>
      <c r="L113" s="26"/>
      <c r="M113" s="25"/>
      <c r="N113" s="27">
        <f t="shared" si="10"/>
        <v>0</v>
      </c>
      <c r="O113" s="27" t="e">
        <f t="shared" si="12"/>
        <v>#DIV/0!</v>
      </c>
      <c r="P113" s="28"/>
      <c r="Q113" s="31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</row>
    <row r="114" spans="1:49" ht="15.75" x14ac:dyDescent="0.25">
      <c r="A114" s="42"/>
      <c r="B114" s="20"/>
      <c r="C114" s="20"/>
      <c r="D114" s="21">
        <f t="shared" si="13"/>
        <v>1</v>
      </c>
      <c r="E114" s="22">
        <f t="shared" si="9"/>
        <v>0</v>
      </c>
      <c r="F114" s="23"/>
      <c r="G114" s="24">
        <f t="shared" si="8"/>
        <v>0</v>
      </c>
      <c r="H114" s="25"/>
      <c r="I114" s="25"/>
      <c r="J114" s="25"/>
      <c r="K114" s="25"/>
      <c r="L114" s="26"/>
      <c r="M114" s="25"/>
      <c r="N114" s="27">
        <f t="shared" si="10"/>
        <v>0</v>
      </c>
      <c r="O114" s="27" t="e">
        <f t="shared" si="12"/>
        <v>#DIV/0!</v>
      </c>
      <c r="P114" s="28"/>
      <c r="Q114" s="31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</row>
    <row r="115" spans="1:49" ht="15.75" x14ac:dyDescent="0.25">
      <c r="A115" s="42"/>
      <c r="B115" s="20"/>
      <c r="C115" s="20"/>
      <c r="D115" s="21">
        <f t="shared" si="13"/>
        <v>1</v>
      </c>
      <c r="E115" s="22">
        <f t="shared" si="9"/>
        <v>0</v>
      </c>
      <c r="F115" s="23"/>
      <c r="G115" s="24">
        <f t="shared" si="8"/>
        <v>0</v>
      </c>
      <c r="H115" s="25"/>
      <c r="I115" s="25"/>
      <c r="J115" s="25"/>
      <c r="K115" s="25"/>
      <c r="L115" s="26"/>
      <c r="M115" s="25"/>
      <c r="N115" s="27">
        <f t="shared" si="10"/>
        <v>0</v>
      </c>
      <c r="O115" s="27" t="e">
        <f t="shared" si="12"/>
        <v>#DIV/0!</v>
      </c>
      <c r="P115" s="28"/>
      <c r="Q115" s="31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15.75" x14ac:dyDescent="0.25">
      <c r="A116" s="42"/>
      <c r="B116" s="20"/>
      <c r="C116" s="20"/>
      <c r="D116" s="21">
        <f t="shared" si="13"/>
        <v>1</v>
      </c>
      <c r="E116" s="22">
        <f t="shared" si="9"/>
        <v>0</v>
      </c>
      <c r="F116" s="23"/>
      <c r="G116" s="24">
        <f t="shared" si="8"/>
        <v>0</v>
      </c>
      <c r="H116" s="25"/>
      <c r="I116" s="25"/>
      <c r="J116" s="25"/>
      <c r="K116" s="25"/>
      <c r="L116" s="26"/>
      <c r="M116" s="25"/>
      <c r="N116" s="27">
        <f t="shared" si="10"/>
        <v>0</v>
      </c>
      <c r="O116" s="27" t="e">
        <f t="shared" si="12"/>
        <v>#DIV/0!</v>
      </c>
      <c r="P116" s="28"/>
      <c r="Q116" s="31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15.75" x14ac:dyDescent="0.25">
      <c r="A117" s="42"/>
      <c r="B117" s="20"/>
      <c r="C117" s="20"/>
      <c r="D117" s="21">
        <f t="shared" si="13"/>
        <v>1</v>
      </c>
      <c r="E117" s="22">
        <f t="shared" si="9"/>
        <v>0</v>
      </c>
      <c r="F117" s="23"/>
      <c r="G117" s="24">
        <f t="shared" si="8"/>
        <v>0</v>
      </c>
      <c r="H117" s="25"/>
      <c r="I117" s="25"/>
      <c r="J117" s="25"/>
      <c r="K117" s="25"/>
      <c r="L117" s="26"/>
      <c r="M117" s="25"/>
      <c r="N117" s="27">
        <f t="shared" si="10"/>
        <v>0</v>
      </c>
      <c r="O117" s="27" t="e">
        <f t="shared" si="12"/>
        <v>#DIV/0!</v>
      </c>
      <c r="P117" s="28"/>
      <c r="Q117" s="31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15.75" x14ac:dyDescent="0.25">
      <c r="A118" s="42"/>
      <c r="B118" s="20"/>
      <c r="C118" s="20"/>
      <c r="D118" s="21">
        <f t="shared" si="13"/>
        <v>1</v>
      </c>
      <c r="E118" s="22">
        <f t="shared" si="9"/>
        <v>0</v>
      </c>
      <c r="F118" s="23"/>
      <c r="G118" s="24">
        <f t="shared" si="8"/>
        <v>0</v>
      </c>
      <c r="H118" s="25"/>
      <c r="I118" s="25"/>
      <c r="J118" s="25"/>
      <c r="K118" s="25"/>
      <c r="L118" s="26"/>
      <c r="M118" s="25"/>
      <c r="N118" s="27">
        <f t="shared" si="10"/>
        <v>0</v>
      </c>
      <c r="O118" s="27" t="e">
        <f t="shared" si="12"/>
        <v>#DIV/0!</v>
      </c>
      <c r="P118" s="28"/>
      <c r="Q118" s="31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15.75" x14ac:dyDescent="0.25">
      <c r="A119" s="42"/>
      <c r="B119" s="20"/>
      <c r="C119" s="20"/>
      <c r="D119" s="21">
        <f t="shared" si="13"/>
        <v>1</v>
      </c>
      <c r="E119" s="22">
        <f t="shared" si="9"/>
        <v>0</v>
      </c>
      <c r="F119" s="23"/>
      <c r="G119" s="24">
        <f t="shared" si="8"/>
        <v>0</v>
      </c>
      <c r="H119" s="25"/>
      <c r="I119" s="25"/>
      <c r="J119" s="25"/>
      <c r="K119" s="25"/>
      <c r="L119" s="26"/>
      <c r="M119" s="25"/>
      <c r="N119" s="27">
        <f t="shared" si="10"/>
        <v>0</v>
      </c>
      <c r="O119" s="27" t="e">
        <f t="shared" si="12"/>
        <v>#DIV/0!</v>
      </c>
      <c r="P119" s="28"/>
      <c r="Q119" s="31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s="34" customFormat="1" ht="15.75" x14ac:dyDescent="0.25">
      <c r="A120" s="42"/>
      <c r="B120" s="20"/>
      <c r="C120" s="20"/>
      <c r="D120" s="21">
        <f t="shared" si="13"/>
        <v>1</v>
      </c>
      <c r="E120" s="22">
        <f t="shared" si="9"/>
        <v>0</v>
      </c>
      <c r="F120" s="23"/>
      <c r="G120" s="24">
        <f t="shared" si="8"/>
        <v>0</v>
      </c>
      <c r="H120" s="25"/>
      <c r="I120" s="25"/>
      <c r="J120" s="25"/>
      <c r="K120" s="26"/>
      <c r="L120" s="25"/>
      <c r="M120" s="43"/>
      <c r="N120" s="27">
        <f t="shared" si="10"/>
        <v>0</v>
      </c>
      <c r="O120" s="31"/>
      <c r="P120" s="28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</row>
    <row r="121" spans="1:49" ht="15.75" x14ac:dyDescent="0.25">
      <c r="A121" s="42"/>
      <c r="B121" s="20"/>
      <c r="C121" s="20"/>
      <c r="D121" s="21">
        <f t="shared" si="13"/>
        <v>1</v>
      </c>
      <c r="E121" s="22">
        <f t="shared" si="9"/>
        <v>0</v>
      </c>
      <c r="F121" s="23"/>
      <c r="G121" s="24">
        <f t="shared" si="8"/>
        <v>0</v>
      </c>
      <c r="H121" s="25"/>
      <c r="I121" s="25"/>
      <c r="J121" s="25"/>
      <c r="K121" s="25"/>
      <c r="L121" s="26"/>
      <c r="M121" s="25"/>
      <c r="N121" s="27">
        <f t="shared" si="10"/>
        <v>0</v>
      </c>
      <c r="O121" s="27" t="e">
        <f t="shared" ref="O121:O127" si="14">+N121/G121</f>
        <v>#DIV/0!</v>
      </c>
      <c r="P121" s="28"/>
      <c r="Q121" s="31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</row>
    <row r="122" spans="1:49" ht="15.75" x14ac:dyDescent="0.25">
      <c r="A122" s="42"/>
      <c r="B122" s="20"/>
      <c r="C122" s="20"/>
      <c r="D122" s="21">
        <f t="shared" si="13"/>
        <v>1</v>
      </c>
      <c r="E122" s="22">
        <f t="shared" si="9"/>
        <v>0</v>
      </c>
      <c r="F122" s="23"/>
      <c r="G122" s="24">
        <f t="shared" si="8"/>
        <v>0</v>
      </c>
      <c r="H122" s="25"/>
      <c r="I122" s="25"/>
      <c r="J122" s="25"/>
      <c r="K122" s="25"/>
      <c r="L122" s="26"/>
      <c r="M122" s="25"/>
      <c r="N122" s="27">
        <f t="shared" si="10"/>
        <v>0</v>
      </c>
      <c r="O122" s="27" t="e">
        <f t="shared" si="14"/>
        <v>#DIV/0!</v>
      </c>
      <c r="P122" s="28"/>
      <c r="Q122" s="31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</row>
    <row r="123" spans="1:49" ht="15.75" x14ac:dyDescent="0.25">
      <c r="A123" s="19"/>
      <c r="B123" s="40"/>
      <c r="C123" s="40"/>
      <c r="D123" s="21">
        <f t="shared" si="13"/>
        <v>1</v>
      </c>
      <c r="E123" s="22">
        <f t="shared" si="9"/>
        <v>0</v>
      </c>
      <c r="F123" s="23"/>
      <c r="G123" s="24">
        <f t="shared" si="8"/>
        <v>0</v>
      </c>
      <c r="H123" s="25"/>
      <c r="I123" s="25"/>
      <c r="J123" s="25"/>
      <c r="K123" s="25"/>
      <c r="L123" s="26"/>
      <c r="M123" s="25"/>
      <c r="N123" s="27">
        <f t="shared" si="10"/>
        <v>0</v>
      </c>
      <c r="O123" s="27" t="e">
        <f t="shared" si="14"/>
        <v>#DIV/0!</v>
      </c>
      <c r="P123" s="28"/>
      <c r="Q123" s="31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</row>
    <row r="124" spans="1:49" ht="15.75" x14ac:dyDescent="0.25">
      <c r="A124" s="19"/>
      <c r="B124" s="40"/>
      <c r="C124" s="40"/>
      <c r="D124" s="21">
        <f t="shared" si="13"/>
        <v>1</v>
      </c>
      <c r="E124" s="22">
        <f t="shared" si="9"/>
        <v>0</v>
      </c>
      <c r="F124" s="23"/>
      <c r="G124" s="24">
        <f t="shared" si="8"/>
        <v>0</v>
      </c>
      <c r="H124" s="25"/>
      <c r="I124" s="25"/>
      <c r="J124" s="25"/>
      <c r="K124" s="25"/>
      <c r="L124" s="26"/>
      <c r="M124" s="25"/>
      <c r="N124" s="27">
        <f t="shared" si="10"/>
        <v>0</v>
      </c>
      <c r="O124" s="27" t="e">
        <f t="shared" si="14"/>
        <v>#DIV/0!</v>
      </c>
      <c r="P124" s="28"/>
      <c r="Q124" s="31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</row>
    <row r="125" spans="1:49" ht="15.75" x14ac:dyDescent="0.25">
      <c r="A125" s="19"/>
      <c r="B125" s="40"/>
      <c r="C125" s="40"/>
      <c r="D125" s="21">
        <f t="shared" si="13"/>
        <v>1</v>
      </c>
      <c r="E125" s="22">
        <f t="shared" si="9"/>
        <v>0</v>
      </c>
      <c r="F125" s="23"/>
      <c r="G125" s="24">
        <f t="shared" si="8"/>
        <v>0</v>
      </c>
      <c r="H125" s="25"/>
      <c r="I125" s="25"/>
      <c r="J125" s="25"/>
      <c r="K125" s="25"/>
      <c r="L125" s="26"/>
      <c r="M125" s="25"/>
      <c r="N125" s="27">
        <f t="shared" si="10"/>
        <v>0</v>
      </c>
      <c r="O125" s="27" t="e">
        <f t="shared" si="14"/>
        <v>#DIV/0!</v>
      </c>
      <c r="P125" s="28"/>
      <c r="Q125" s="31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</row>
    <row r="126" spans="1:49" ht="15.75" x14ac:dyDescent="0.25">
      <c r="A126" s="19"/>
      <c r="B126" s="40"/>
      <c r="C126" s="40"/>
      <c r="D126" s="21">
        <f t="shared" si="13"/>
        <v>1</v>
      </c>
      <c r="E126" s="22">
        <f t="shared" si="9"/>
        <v>0</v>
      </c>
      <c r="F126" s="23"/>
      <c r="G126" s="24">
        <f t="shared" si="8"/>
        <v>0</v>
      </c>
      <c r="H126" s="25"/>
      <c r="I126" s="25"/>
      <c r="J126" s="25"/>
      <c r="K126" s="25"/>
      <c r="L126" s="26"/>
      <c r="M126" s="25"/>
      <c r="N126" s="27">
        <f t="shared" si="10"/>
        <v>0</v>
      </c>
      <c r="O126" s="27" t="e">
        <f t="shared" si="14"/>
        <v>#DIV/0!</v>
      </c>
      <c r="P126" s="28"/>
      <c r="Q126" s="31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</row>
    <row r="127" spans="1:49" ht="15.75" x14ac:dyDescent="0.25">
      <c r="A127" s="44"/>
      <c r="B127" s="40"/>
      <c r="C127" s="40"/>
      <c r="D127" s="21">
        <f t="shared" si="13"/>
        <v>1</v>
      </c>
      <c r="E127" s="22">
        <f t="shared" si="9"/>
        <v>0</v>
      </c>
      <c r="F127" s="23"/>
      <c r="G127" s="24">
        <f>(F127-E127)/100</f>
        <v>0</v>
      </c>
      <c r="H127" s="25"/>
      <c r="I127" s="25"/>
      <c r="J127" s="25"/>
      <c r="K127" s="25"/>
      <c r="L127" s="26"/>
      <c r="M127" s="25"/>
      <c r="N127" s="27">
        <f t="shared" si="10"/>
        <v>0</v>
      </c>
      <c r="O127" s="27" t="e">
        <f t="shared" si="14"/>
        <v>#DIV/0!</v>
      </c>
      <c r="P127" s="28"/>
      <c r="Q127" s="31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</row>
    <row r="128" spans="1:49" ht="15.75" x14ac:dyDescent="0.25">
      <c r="A128" s="45"/>
      <c r="B128" s="46"/>
      <c r="C128" s="46"/>
      <c r="D128" s="47"/>
      <c r="E128" s="48"/>
      <c r="F128" s="49" t="s">
        <v>47</v>
      </c>
      <c r="G128" s="50">
        <f>SUM(G7:G127)</f>
        <v>-23355.43</v>
      </c>
      <c r="H128" s="51"/>
      <c r="I128" s="51"/>
      <c r="J128" s="52"/>
      <c r="K128" s="52"/>
      <c r="L128" s="53"/>
      <c r="M128" s="52"/>
      <c r="N128" s="50" t="e">
        <f>SUM(N7:N127)</f>
        <v>#VALUE!</v>
      </c>
      <c r="O128" s="54"/>
      <c r="P128" s="54"/>
      <c r="Q128" s="54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</row>
    <row r="129" spans="1:49" ht="15.75" x14ac:dyDescent="0.25">
      <c r="A129" s="45"/>
      <c r="B129" s="46"/>
      <c r="C129" s="46"/>
      <c r="D129" s="47"/>
      <c r="E129" s="48"/>
      <c r="F129" s="49" t="s">
        <v>48</v>
      </c>
      <c r="G129" s="50">
        <f>(G128*30)/720</f>
        <v>-973.14291666666668</v>
      </c>
      <c r="H129" s="51"/>
      <c r="I129" s="51"/>
      <c r="J129" s="52"/>
      <c r="K129" s="52"/>
      <c r="L129" s="53"/>
      <c r="M129" s="52"/>
      <c r="N129" s="55" t="e">
        <f>N128/1000</f>
        <v>#VALUE!</v>
      </c>
      <c r="O129" s="54"/>
      <c r="P129" s="54"/>
      <c r="Q129" s="54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</row>
    <row r="130" spans="1:49" ht="15.75" x14ac:dyDescent="0.25">
      <c r="A130" s="45"/>
      <c r="B130" s="46"/>
      <c r="C130" s="46"/>
      <c r="D130" s="47"/>
      <c r="E130" s="48"/>
      <c r="F130" s="56"/>
      <c r="G130" s="57"/>
      <c r="H130" s="51"/>
      <c r="I130" s="51"/>
      <c r="J130" s="52"/>
      <c r="K130" s="52"/>
      <c r="L130" s="53"/>
      <c r="M130" s="52"/>
      <c r="N130" s="54"/>
      <c r="O130" s="54"/>
      <c r="P130" s="54"/>
      <c r="Q130" s="54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</row>
    <row r="131" spans="1:49" ht="15.75" x14ac:dyDescent="0.25">
      <c r="A131" s="58"/>
      <c r="B131" s="59"/>
      <c r="C131" s="59"/>
      <c r="D131" s="60"/>
      <c r="E131" s="48"/>
      <c r="F131" s="56"/>
      <c r="G131" s="57"/>
      <c r="H131" s="51"/>
      <c r="I131" s="51"/>
      <c r="J131" s="52"/>
      <c r="K131" s="52"/>
      <c r="L131" s="53"/>
      <c r="M131" s="52"/>
      <c r="N131" s="54"/>
      <c r="O131" s="54"/>
      <c r="P131" s="54"/>
      <c r="Q131" s="54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</row>
    <row r="132" spans="1:49" ht="15.75" x14ac:dyDescent="0.25">
      <c r="A132" s="58"/>
      <c r="B132" s="59"/>
      <c r="C132" s="59"/>
      <c r="D132" s="60"/>
      <c r="E132" s="48"/>
      <c r="F132" s="56"/>
      <c r="G132" s="57"/>
      <c r="H132" s="51"/>
      <c r="I132" s="51"/>
      <c r="J132" s="52"/>
      <c r="K132" s="52"/>
      <c r="L132" s="53"/>
      <c r="M132" s="52"/>
      <c r="N132" s="54"/>
      <c r="O132" s="54"/>
      <c r="P132" s="54"/>
      <c r="Q132" s="54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</row>
    <row r="133" spans="1:49" ht="15.75" x14ac:dyDescent="0.25">
      <c r="A133" s="58"/>
      <c r="B133" s="59"/>
      <c r="C133" s="59"/>
      <c r="D133" s="60"/>
      <c r="E133" s="48"/>
      <c r="F133" s="56"/>
      <c r="G133" s="57"/>
      <c r="H133" s="51"/>
      <c r="I133" s="51"/>
      <c r="J133" s="52"/>
      <c r="K133" s="52"/>
      <c r="L133" s="53"/>
      <c r="M133" s="52"/>
      <c r="N133" s="54"/>
      <c r="O133" s="54"/>
      <c r="P133" s="54"/>
      <c r="Q133" s="54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</row>
    <row r="134" spans="1:49" ht="15.75" x14ac:dyDescent="0.25">
      <c r="A134" s="58"/>
      <c r="B134" s="59"/>
      <c r="C134" s="59"/>
      <c r="D134" s="60"/>
      <c r="E134" s="48"/>
      <c r="F134" s="56"/>
      <c r="G134" s="57"/>
      <c r="H134" s="51"/>
      <c r="I134" s="51"/>
      <c r="J134" s="52"/>
      <c r="K134" s="52"/>
      <c r="L134" s="53"/>
      <c r="M134" s="52"/>
      <c r="N134" s="54"/>
      <c r="O134" s="54"/>
      <c r="P134" s="54"/>
      <c r="Q134" s="54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</row>
    <row r="135" spans="1:49" ht="15.75" x14ac:dyDescent="0.25">
      <c r="A135" s="58"/>
      <c r="B135" s="59"/>
      <c r="C135" s="59"/>
      <c r="D135" s="60"/>
      <c r="E135" s="48"/>
      <c r="F135" s="56"/>
      <c r="G135" s="57"/>
      <c r="H135" s="51"/>
      <c r="I135" s="51"/>
      <c r="J135" s="52"/>
      <c r="K135" s="52"/>
      <c r="L135" s="53"/>
      <c r="M135" s="52"/>
      <c r="N135" s="54"/>
      <c r="O135" s="54"/>
      <c r="P135" s="54"/>
      <c r="Q135" s="54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</row>
    <row r="136" spans="1:49" ht="15.75" x14ac:dyDescent="0.25">
      <c r="A136" s="58"/>
      <c r="B136" s="61"/>
      <c r="C136" s="61"/>
      <c r="D136" s="62"/>
      <c r="E136" s="63"/>
      <c r="F136" s="64"/>
      <c r="G136" s="65"/>
      <c r="H136" s="55"/>
      <c r="I136" s="55"/>
      <c r="J136" s="54"/>
      <c r="K136" s="54"/>
      <c r="L136" s="66"/>
      <c r="M136" s="54"/>
      <c r="N136" s="54"/>
      <c r="O136" s="54"/>
      <c r="P136" s="54"/>
      <c r="Q136" s="54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</row>
    <row r="137" spans="1:49" ht="15.75" x14ac:dyDescent="0.25">
      <c r="A137" s="58"/>
      <c r="B137" s="61"/>
      <c r="C137" s="61"/>
      <c r="D137" s="62"/>
      <c r="E137" s="63"/>
      <c r="F137" s="64"/>
      <c r="G137" s="65"/>
      <c r="H137" s="55"/>
      <c r="I137" s="55"/>
      <c r="J137" s="54"/>
      <c r="K137" s="54"/>
      <c r="L137" s="66"/>
      <c r="M137" s="54"/>
      <c r="N137" s="54"/>
      <c r="O137" s="54"/>
      <c r="P137" s="54"/>
      <c r="Q137" s="54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</row>
    <row r="138" spans="1:49" ht="15.75" x14ac:dyDescent="0.25">
      <c r="A138" s="58"/>
      <c r="B138" s="61"/>
      <c r="C138" s="61"/>
      <c r="D138" s="62"/>
      <c r="E138" s="63"/>
      <c r="F138" s="64"/>
      <c r="G138" s="65"/>
      <c r="H138" s="55"/>
      <c r="I138" s="55"/>
      <c r="J138" s="54"/>
      <c r="K138" s="54"/>
      <c r="L138" s="66"/>
      <c r="M138" s="54"/>
      <c r="N138" s="54"/>
      <c r="O138" s="54"/>
      <c r="P138" s="54"/>
      <c r="Q138" s="54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</row>
    <row r="139" spans="1:49" ht="15.75" x14ac:dyDescent="0.25">
      <c r="A139" s="58"/>
      <c r="B139" s="61"/>
      <c r="C139" s="61"/>
      <c r="D139" s="62"/>
      <c r="E139" s="63"/>
      <c r="F139" s="64"/>
      <c r="G139" s="65"/>
      <c r="H139" s="55"/>
      <c r="I139" s="55"/>
      <c r="J139" s="54"/>
      <c r="K139" s="54"/>
      <c r="L139" s="66"/>
      <c r="M139" s="54"/>
      <c r="N139" s="54"/>
      <c r="O139" s="54"/>
      <c r="P139" s="54"/>
      <c r="Q139" s="54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</row>
    <row r="140" spans="1:49" x14ac:dyDescent="0.25">
      <c r="A140" s="58"/>
      <c r="B140" s="61"/>
      <c r="C140" s="61"/>
      <c r="D140" s="62"/>
      <c r="E140" s="67"/>
      <c r="F140" s="68"/>
      <c r="G140" s="69"/>
      <c r="H140" s="1"/>
      <c r="I140" s="1"/>
      <c r="J140" s="2"/>
      <c r="K140" s="2"/>
      <c r="L140" s="3"/>
      <c r="M140" s="2"/>
      <c r="N140" s="2"/>
      <c r="O140" s="2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</row>
    <row r="141" spans="1:49" x14ac:dyDescent="0.25">
      <c r="A141" s="58"/>
      <c r="B141" s="61"/>
      <c r="C141" s="61"/>
      <c r="D141" s="62"/>
      <c r="E141" s="67"/>
      <c r="F141" s="68"/>
      <c r="G141" s="2"/>
      <c r="H141" s="1"/>
      <c r="I141" s="1"/>
      <c r="J141" s="2"/>
      <c r="K141" s="2"/>
      <c r="L141" s="3"/>
      <c r="M141" s="2"/>
      <c r="N141" s="2"/>
      <c r="O141" s="2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</row>
    <row r="142" spans="1:49" x14ac:dyDescent="0.25">
      <c r="A142" s="58"/>
      <c r="B142" s="61"/>
      <c r="C142" s="61"/>
      <c r="D142" s="62"/>
      <c r="E142" s="67"/>
      <c r="F142" s="68"/>
      <c r="G142" s="2"/>
      <c r="H142" s="1"/>
      <c r="I142" s="1"/>
      <c r="J142" s="2"/>
      <c r="K142" s="2"/>
      <c r="L142" s="3"/>
      <c r="M142" s="2"/>
      <c r="N142" s="2"/>
      <c r="O142" s="2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</row>
    <row r="143" spans="1:49" x14ac:dyDescent="0.25">
      <c r="A143" s="58"/>
      <c r="B143" s="61"/>
      <c r="C143" s="61"/>
      <c r="D143" s="62"/>
      <c r="E143" s="67"/>
      <c r="F143" s="68"/>
      <c r="G143" s="2"/>
      <c r="H143" s="1"/>
      <c r="I143" s="1"/>
      <c r="J143" s="2"/>
      <c r="K143" s="2"/>
      <c r="L143" s="3"/>
      <c r="M143" s="2"/>
      <c r="N143" s="2"/>
      <c r="O143" s="2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</row>
    <row r="144" spans="1:49" x14ac:dyDescent="0.25">
      <c r="A144" s="58"/>
      <c r="B144" s="61"/>
      <c r="C144" s="61"/>
      <c r="D144" s="62"/>
      <c r="E144" s="67"/>
      <c r="F144" s="68"/>
      <c r="G144" s="2"/>
      <c r="H144" s="1"/>
      <c r="I144" s="1"/>
      <c r="J144" s="2"/>
      <c r="K144" s="2"/>
      <c r="L144" s="3"/>
      <c r="M144" s="2"/>
      <c r="N144" s="2"/>
      <c r="O144" s="2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</row>
    <row r="145" spans="1:49" x14ac:dyDescent="0.25">
      <c r="A145" s="58"/>
      <c r="B145" s="61"/>
      <c r="C145" s="61"/>
      <c r="D145" s="62"/>
      <c r="E145" s="67"/>
      <c r="F145" s="68"/>
      <c r="G145" s="2"/>
      <c r="H145" s="1"/>
      <c r="I145" s="1"/>
      <c r="J145" s="2"/>
      <c r="K145" s="2"/>
      <c r="L145" s="3"/>
      <c r="M145" s="2"/>
      <c r="N145" s="2"/>
      <c r="O145" s="2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</row>
    <row r="146" spans="1:49" x14ac:dyDescent="0.25">
      <c r="A146" s="2"/>
      <c r="B146" s="70"/>
      <c r="C146" s="70"/>
      <c r="D146" s="71"/>
      <c r="E146" s="72"/>
      <c r="F146" s="73"/>
      <c r="G146" s="74"/>
      <c r="H146" s="75"/>
      <c r="I146" s="75"/>
      <c r="J146" s="70"/>
      <c r="K146" s="70"/>
      <c r="L146" s="76"/>
      <c r="M146" s="70"/>
      <c r="N146" s="70"/>
      <c r="O146" s="70"/>
      <c r="P146" s="77"/>
      <c r="Q146" s="77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</row>
    <row r="147" spans="1:49" x14ac:dyDescent="0.25">
      <c r="A147" s="2"/>
      <c r="B147" s="70"/>
      <c r="C147" s="70"/>
      <c r="D147" s="71"/>
      <c r="E147" s="72"/>
      <c r="F147" s="73"/>
      <c r="G147" s="74"/>
      <c r="H147" s="75"/>
      <c r="I147" s="75"/>
      <c r="J147" s="70"/>
      <c r="K147" s="70"/>
      <c r="L147" s="76"/>
      <c r="M147" s="70"/>
      <c r="N147" s="70"/>
      <c r="O147" s="70"/>
      <c r="P147" s="77"/>
      <c r="Q147" s="77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</row>
    <row r="148" spans="1:49" x14ac:dyDescent="0.25">
      <c r="A148" s="2"/>
      <c r="B148" s="70"/>
      <c r="C148" s="70"/>
      <c r="D148" s="71"/>
      <c r="E148" s="72"/>
      <c r="F148" s="73"/>
      <c r="G148" s="74"/>
      <c r="H148" s="75"/>
      <c r="I148" s="75"/>
      <c r="J148" s="70"/>
      <c r="K148" s="70"/>
      <c r="L148" s="76"/>
      <c r="M148" s="70"/>
      <c r="N148" s="70"/>
      <c r="O148" s="70"/>
      <c r="P148" s="77"/>
      <c r="Q148" s="77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</row>
    <row r="149" spans="1:49" x14ac:dyDescent="0.25">
      <c r="A149" s="2"/>
      <c r="B149" s="70"/>
      <c r="C149" s="70"/>
      <c r="D149" s="71"/>
      <c r="E149" s="72"/>
      <c r="F149" s="73"/>
      <c r="G149" s="74"/>
      <c r="H149" s="75"/>
      <c r="I149" s="75"/>
      <c r="J149" s="70"/>
      <c r="K149" s="70"/>
      <c r="L149" s="76"/>
      <c r="M149" s="70"/>
      <c r="N149" s="70"/>
      <c r="O149" s="70"/>
      <c r="P149" s="77"/>
      <c r="Q149" s="77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</row>
    <row r="150" spans="1:49" x14ac:dyDescent="0.25">
      <c r="A150" s="2"/>
      <c r="B150" s="70"/>
      <c r="C150" s="70"/>
      <c r="D150" s="71"/>
      <c r="E150" s="72"/>
      <c r="F150" s="73"/>
      <c r="G150" s="74"/>
      <c r="H150" s="75"/>
      <c r="I150" s="75"/>
      <c r="J150" s="70"/>
      <c r="K150" s="70"/>
      <c r="L150" s="76"/>
      <c r="M150" s="70"/>
      <c r="N150" s="70"/>
      <c r="O150" s="70"/>
      <c r="P150" s="77"/>
      <c r="Q150" s="77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</row>
    <row r="151" spans="1:49" x14ac:dyDescent="0.25">
      <c r="A151" s="2"/>
      <c r="B151" s="70"/>
      <c r="C151" s="70"/>
      <c r="D151" s="71"/>
      <c r="E151" s="72"/>
      <c r="F151" s="73"/>
      <c r="G151" s="74"/>
      <c r="H151" s="75"/>
      <c r="I151" s="75"/>
      <c r="J151" s="70"/>
      <c r="K151" s="70"/>
      <c r="L151" s="76"/>
      <c r="M151" s="70"/>
      <c r="N151" s="70"/>
      <c r="O151" s="70"/>
      <c r="P151" s="77"/>
      <c r="Q151" s="77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</row>
    <row r="152" spans="1:49" x14ac:dyDescent="0.25">
      <c r="A152" s="2"/>
      <c r="B152" s="70"/>
      <c r="C152" s="70"/>
      <c r="D152" s="71"/>
      <c r="E152" s="72"/>
      <c r="F152" s="73"/>
      <c r="G152" s="74"/>
      <c r="H152" s="75"/>
      <c r="I152" s="75"/>
      <c r="J152" s="70"/>
      <c r="K152" s="70"/>
      <c r="L152" s="76"/>
      <c r="M152" s="70"/>
      <c r="N152" s="70"/>
      <c r="O152" s="70"/>
      <c r="P152" s="77"/>
      <c r="Q152" s="77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</row>
    <row r="153" spans="1:49" x14ac:dyDescent="0.25">
      <c r="A153" s="2"/>
      <c r="B153" s="70"/>
      <c r="C153" s="70"/>
      <c r="D153" s="71"/>
      <c r="E153" s="72"/>
      <c r="F153" s="73"/>
      <c r="G153" s="74"/>
      <c r="H153" s="75"/>
      <c r="I153" s="75"/>
      <c r="J153" s="70"/>
      <c r="K153" s="70"/>
      <c r="L153" s="76"/>
      <c r="M153" s="70"/>
      <c r="N153" s="70"/>
      <c r="O153" s="70"/>
      <c r="P153" s="77"/>
      <c r="Q153" s="77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</row>
    <row r="154" spans="1:49" x14ac:dyDescent="0.25">
      <c r="A154" s="2"/>
      <c r="B154" s="70"/>
      <c r="C154" s="70"/>
      <c r="D154" s="71"/>
      <c r="E154" s="72"/>
      <c r="F154" s="73"/>
      <c r="G154" s="74"/>
      <c r="H154" s="75"/>
      <c r="I154" s="75"/>
      <c r="J154" s="70"/>
      <c r="K154" s="70"/>
      <c r="L154" s="76"/>
      <c r="M154" s="70"/>
      <c r="N154" s="70"/>
      <c r="O154" s="70"/>
      <c r="P154" s="77"/>
      <c r="Q154" s="77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</row>
    <row r="155" spans="1:49" x14ac:dyDescent="0.25">
      <c r="A155" s="2"/>
      <c r="B155" s="70"/>
      <c r="C155" s="70"/>
      <c r="D155" s="71"/>
      <c r="E155" s="72"/>
      <c r="F155" s="73"/>
      <c r="G155" s="74"/>
      <c r="H155" s="75"/>
      <c r="I155" s="75"/>
      <c r="J155" s="70"/>
      <c r="K155" s="70"/>
      <c r="L155" s="76"/>
      <c r="M155" s="70"/>
      <c r="N155" s="70"/>
      <c r="O155" s="70"/>
      <c r="P155" s="77"/>
      <c r="Q155" s="77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</row>
    <row r="156" spans="1:49" x14ac:dyDescent="0.25">
      <c r="A156" s="2"/>
      <c r="B156" s="70"/>
      <c r="C156" s="70"/>
      <c r="D156" s="71"/>
      <c r="E156" s="72"/>
      <c r="F156" s="73"/>
      <c r="G156" s="74"/>
      <c r="H156" s="75"/>
      <c r="I156" s="75"/>
      <c r="J156" s="70"/>
      <c r="K156" s="70"/>
      <c r="L156" s="76"/>
      <c r="M156" s="70"/>
      <c r="N156" s="70"/>
      <c r="O156" s="70"/>
      <c r="P156" s="77"/>
      <c r="Q156" s="77"/>
    </row>
    <row r="157" spans="1:49" x14ac:dyDescent="0.25">
      <c r="A157" s="2"/>
      <c r="B157" s="70"/>
      <c r="C157" s="70"/>
      <c r="D157" s="71"/>
      <c r="E157" s="72"/>
      <c r="F157" s="73"/>
      <c r="G157" s="74"/>
      <c r="H157" s="75"/>
      <c r="I157" s="75"/>
      <c r="J157" s="70"/>
      <c r="K157" s="70"/>
      <c r="L157" s="76"/>
      <c r="M157" s="70"/>
      <c r="N157" s="70"/>
      <c r="O157" s="70"/>
      <c r="P157" s="77"/>
      <c r="Q157" s="77"/>
    </row>
    <row r="158" spans="1:49" x14ac:dyDescent="0.25">
      <c r="A158" s="2"/>
      <c r="B158" s="70"/>
      <c r="C158" s="70"/>
      <c r="D158" s="71"/>
      <c r="E158" s="72"/>
      <c r="F158" s="73"/>
      <c r="G158" s="74"/>
      <c r="H158" s="75"/>
      <c r="I158" s="75"/>
      <c r="J158" s="70"/>
      <c r="K158" s="70"/>
      <c r="L158" s="76"/>
      <c r="M158" s="70"/>
      <c r="N158" s="70"/>
      <c r="O158" s="70"/>
      <c r="P158" s="77"/>
      <c r="Q158" s="77"/>
    </row>
    <row r="159" spans="1:49" x14ac:dyDescent="0.25">
      <c r="A159" s="2"/>
      <c r="B159" s="70"/>
      <c r="C159" s="70"/>
      <c r="D159" s="71"/>
      <c r="E159" s="72"/>
      <c r="F159" s="73"/>
      <c r="G159" s="74"/>
      <c r="H159" s="75"/>
      <c r="I159" s="75"/>
      <c r="J159" s="70"/>
      <c r="K159" s="70"/>
      <c r="L159" s="76"/>
      <c r="M159" s="70"/>
      <c r="N159" s="70"/>
      <c r="O159" s="70"/>
      <c r="P159" s="77"/>
      <c r="Q159" s="77"/>
    </row>
    <row r="160" spans="1:49" x14ac:dyDescent="0.25">
      <c r="A160" s="2"/>
      <c r="B160" s="70"/>
      <c r="C160" s="70"/>
      <c r="D160" s="71"/>
      <c r="E160" s="72"/>
      <c r="F160" s="73"/>
      <c r="G160" s="74"/>
      <c r="H160" s="75"/>
      <c r="I160" s="75"/>
      <c r="J160" s="70"/>
      <c r="K160" s="70"/>
      <c r="L160" s="76"/>
      <c r="M160" s="70"/>
      <c r="N160" s="70"/>
      <c r="O160" s="70"/>
      <c r="P160" s="77"/>
      <c r="Q160" s="77"/>
    </row>
    <row r="161" spans="1:17" x14ac:dyDescent="0.25">
      <c r="A161" s="2"/>
      <c r="B161" s="70"/>
      <c r="C161" s="70"/>
      <c r="D161" s="71"/>
      <c r="E161" s="72"/>
      <c r="F161" s="73"/>
      <c r="G161" s="74"/>
      <c r="H161" s="75"/>
      <c r="I161" s="75"/>
      <c r="J161" s="70"/>
      <c r="K161" s="70"/>
      <c r="L161" s="76"/>
      <c r="M161" s="70"/>
      <c r="N161" s="70"/>
      <c r="O161" s="70"/>
      <c r="P161" s="77"/>
      <c r="Q161" s="77"/>
    </row>
    <row r="162" spans="1:17" x14ac:dyDescent="0.25">
      <c r="A162" s="2"/>
      <c r="B162" s="70"/>
      <c r="C162" s="70"/>
      <c r="D162" s="71"/>
      <c r="E162" s="72"/>
      <c r="F162" s="73"/>
      <c r="G162" s="74"/>
      <c r="H162" s="75"/>
      <c r="I162" s="75"/>
      <c r="J162" s="70"/>
      <c r="K162" s="70"/>
      <c r="L162" s="76"/>
      <c r="M162" s="70"/>
      <c r="N162" s="70"/>
      <c r="O162" s="70"/>
      <c r="P162" s="77"/>
      <c r="Q162" s="77"/>
    </row>
    <row r="163" spans="1:17" x14ac:dyDescent="0.25">
      <c r="A163" s="2"/>
      <c r="B163" s="70"/>
      <c r="C163" s="70"/>
      <c r="D163" s="71"/>
      <c r="E163" s="72"/>
      <c r="F163" s="73"/>
      <c r="G163" s="74"/>
      <c r="H163" s="75"/>
      <c r="I163" s="75"/>
      <c r="J163" s="70"/>
      <c r="K163" s="70"/>
      <c r="L163" s="76"/>
      <c r="M163" s="70"/>
      <c r="N163" s="70"/>
      <c r="O163" s="70"/>
      <c r="P163" s="77"/>
      <c r="Q163" s="77"/>
    </row>
    <row r="164" spans="1:17" x14ac:dyDescent="0.25">
      <c r="A164" s="2"/>
      <c r="B164" s="70"/>
      <c r="C164" s="70"/>
      <c r="D164" s="71"/>
      <c r="E164" s="72"/>
      <c r="F164" s="73"/>
      <c r="G164" s="74"/>
      <c r="H164" s="75"/>
      <c r="I164" s="75"/>
      <c r="J164" s="70"/>
      <c r="K164" s="70"/>
      <c r="L164" s="76"/>
      <c r="M164" s="70"/>
      <c r="N164" s="70"/>
      <c r="O164" s="70"/>
      <c r="P164" s="77"/>
      <c r="Q164" s="77"/>
    </row>
    <row r="165" spans="1:17" x14ac:dyDescent="0.25">
      <c r="A165" s="2"/>
      <c r="B165" s="70"/>
      <c r="C165" s="70"/>
      <c r="D165" s="71"/>
      <c r="E165" s="72"/>
      <c r="F165" s="73"/>
      <c r="G165" s="74"/>
      <c r="H165" s="75"/>
      <c r="I165" s="75"/>
      <c r="J165" s="70"/>
      <c r="K165" s="70"/>
      <c r="L165" s="76"/>
      <c r="M165" s="70"/>
      <c r="N165" s="70"/>
      <c r="O165" s="70"/>
      <c r="P165" s="77"/>
      <c r="Q165" s="77"/>
    </row>
    <row r="166" spans="1:17" x14ac:dyDescent="0.25">
      <c r="A166" s="2"/>
      <c r="B166" s="70"/>
      <c r="C166" s="70"/>
      <c r="D166" s="71"/>
      <c r="E166" s="72"/>
      <c r="F166" s="73"/>
      <c r="G166" s="74"/>
      <c r="H166" s="75"/>
      <c r="I166" s="75"/>
      <c r="J166" s="70"/>
      <c r="K166" s="70"/>
      <c r="L166" s="76"/>
      <c r="M166" s="70"/>
      <c r="N166" s="70"/>
      <c r="O166" s="70"/>
      <c r="P166" s="77"/>
      <c r="Q166" s="77"/>
    </row>
    <row r="167" spans="1:17" x14ac:dyDescent="0.25">
      <c r="A167" s="2"/>
      <c r="B167" s="70"/>
      <c r="C167" s="70"/>
      <c r="D167" s="71"/>
      <c r="E167" s="72"/>
      <c r="F167" s="73"/>
      <c r="G167" s="74"/>
      <c r="H167" s="75"/>
      <c r="I167" s="75"/>
      <c r="J167" s="70"/>
      <c r="K167" s="70"/>
      <c r="L167" s="76"/>
      <c r="M167" s="70"/>
      <c r="N167" s="70"/>
      <c r="O167" s="70"/>
      <c r="P167" s="77"/>
      <c r="Q167" s="77"/>
    </row>
    <row r="168" spans="1:17" x14ac:dyDescent="0.25">
      <c r="A168" s="2"/>
      <c r="B168" s="70"/>
      <c r="C168" s="70"/>
      <c r="D168" s="71"/>
      <c r="E168" s="72"/>
      <c r="F168" s="73"/>
      <c r="G168" s="74"/>
      <c r="H168" s="75"/>
      <c r="I168" s="75"/>
      <c r="J168" s="70"/>
      <c r="K168" s="70"/>
      <c r="L168" s="76"/>
      <c r="M168" s="70"/>
      <c r="N168" s="70"/>
      <c r="O168" s="70"/>
      <c r="P168" s="77"/>
      <c r="Q168" s="77"/>
    </row>
    <row r="169" spans="1:17" x14ac:dyDescent="0.25">
      <c r="A169" s="2"/>
      <c r="B169" s="70"/>
      <c r="C169" s="70"/>
      <c r="D169" s="71"/>
      <c r="E169" s="72"/>
      <c r="F169" s="73"/>
      <c r="G169" s="74"/>
      <c r="H169" s="75"/>
      <c r="I169" s="75"/>
      <c r="J169" s="70"/>
      <c r="K169" s="70"/>
      <c r="L169" s="76"/>
      <c r="M169" s="70"/>
      <c r="N169" s="70"/>
      <c r="O169" s="70"/>
      <c r="P169" s="77"/>
      <c r="Q169" s="77"/>
    </row>
    <row r="170" spans="1:17" x14ac:dyDescent="0.25">
      <c r="A170" s="2"/>
      <c r="B170" s="70"/>
      <c r="C170" s="70"/>
      <c r="D170" s="71"/>
      <c r="E170" s="72"/>
      <c r="F170" s="73"/>
      <c r="G170" s="74"/>
      <c r="H170" s="75"/>
      <c r="I170" s="75"/>
      <c r="J170" s="70"/>
      <c r="K170" s="70"/>
      <c r="L170" s="76"/>
      <c r="M170" s="70"/>
      <c r="N170" s="70"/>
      <c r="O170" s="70"/>
      <c r="P170" s="77"/>
      <c r="Q170" s="77"/>
    </row>
    <row r="171" spans="1:17" x14ac:dyDescent="0.25">
      <c r="A171" s="2"/>
      <c r="B171" s="70"/>
      <c r="C171" s="70"/>
      <c r="D171" s="71"/>
      <c r="E171" s="72"/>
      <c r="F171" s="73"/>
      <c r="G171" s="74"/>
      <c r="H171" s="75"/>
      <c r="I171" s="75"/>
      <c r="J171" s="70"/>
      <c r="K171" s="70"/>
      <c r="L171" s="76"/>
      <c r="M171" s="70"/>
      <c r="N171" s="70"/>
      <c r="O171" s="70"/>
      <c r="P171" s="77"/>
      <c r="Q171" s="77"/>
    </row>
    <row r="172" spans="1:17" x14ac:dyDescent="0.25">
      <c r="A172" s="2"/>
      <c r="B172" s="70"/>
      <c r="C172" s="70"/>
      <c r="D172" s="71"/>
      <c r="E172" s="72"/>
      <c r="F172" s="73"/>
      <c r="G172" s="74"/>
      <c r="H172" s="75"/>
      <c r="I172" s="75"/>
      <c r="J172" s="70"/>
      <c r="K172" s="70"/>
      <c r="L172" s="76"/>
      <c r="M172" s="70"/>
      <c r="N172" s="70"/>
      <c r="O172" s="70"/>
      <c r="P172" s="77"/>
      <c r="Q172" s="77"/>
    </row>
    <row r="173" spans="1:17" x14ac:dyDescent="0.25">
      <c r="A173" s="2"/>
      <c r="B173" s="70"/>
      <c r="C173" s="70"/>
      <c r="D173" s="71"/>
      <c r="E173" s="72"/>
      <c r="F173" s="73"/>
      <c r="G173" s="74"/>
      <c r="H173" s="75"/>
      <c r="I173" s="75"/>
      <c r="J173" s="70"/>
      <c r="K173" s="70"/>
      <c r="L173" s="76"/>
      <c r="M173" s="70"/>
      <c r="N173" s="70"/>
      <c r="O173" s="70"/>
      <c r="P173" s="77"/>
      <c r="Q173" s="77"/>
    </row>
    <row r="174" spans="1:17" x14ac:dyDescent="0.25">
      <c r="A174" s="2"/>
      <c r="B174" s="70"/>
      <c r="C174" s="70"/>
      <c r="D174" s="71"/>
      <c r="E174" s="72"/>
      <c r="F174" s="73"/>
      <c r="G174" s="74"/>
      <c r="H174" s="75"/>
      <c r="I174" s="75"/>
      <c r="J174" s="70"/>
      <c r="K174" s="70"/>
      <c r="L174" s="76"/>
      <c r="M174" s="70"/>
      <c r="N174" s="70"/>
      <c r="O174" s="70"/>
      <c r="P174" s="77"/>
      <c r="Q174" s="77"/>
    </row>
    <row r="175" spans="1:17" x14ac:dyDescent="0.25">
      <c r="A175" s="2"/>
      <c r="B175" s="70"/>
      <c r="C175" s="70"/>
      <c r="D175" s="71"/>
      <c r="E175" s="72"/>
      <c r="F175" s="73"/>
      <c r="G175" s="74"/>
      <c r="H175" s="75"/>
      <c r="I175" s="75"/>
      <c r="J175" s="70"/>
      <c r="K175" s="70"/>
      <c r="L175" s="76"/>
      <c r="M175" s="70"/>
      <c r="N175" s="70"/>
      <c r="O175" s="70"/>
      <c r="P175" s="77"/>
      <c r="Q175" s="77"/>
    </row>
    <row r="176" spans="1:17" x14ac:dyDescent="0.25">
      <c r="A176" s="2"/>
      <c r="B176" s="70"/>
      <c r="C176" s="70"/>
      <c r="D176" s="71"/>
      <c r="E176" s="72"/>
      <c r="F176" s="73"/>
      <c r="G176" s="74"/>
      <c r="H176" s="75"/>
      <c r="I176" s="75"/>
      <c r="J176" s="70"/>
      <c r="K176" s="70"/>
      <c r="L176" s="76"/>
      <c r="M176" s="70"/>
      <c r="N176" s="70"/>
      <c r="O176" s="70"/>
      <c r="P176" s="77"/>
      <c r="Q176" s="77"/>
    </row>
    <row r="177" spans="1:17" x14ac:dyDescent="0.25">
      <c r="A177" s="2"/>
      <c r="B177" s="70"/>
      <c r="C177" s="70"/>
      <c r="D177" s="71"/>
      <c r="E177" s="72"/>
      <c r="F177" s="73"/>
      <c r="G177" s="74"/>
      <c r="H177" s="75"/>
      <c r="I177" s="75"/>
      <c r="J177" s="70"/>
      <c r="K177" s="70"/>
      <c r="L177" s="76"/>
      <c r="M177" s="70"/>
      <c r="N177" s="70"/>
      <c r="O177" s="70"/>
      <c r="P177" s="77"/>
      <c r="Q177" s="77"/>
    </row>
    <row r="178" spans="1:17" x14ac:dyDescent="0.25">
      <c r="A178" s="2"/>
      <c r="B178" s="70"/>
      <c r="C178" s="70"/>
      <c r="D178" s="71"/>
      <c r="E178" s="72"/>
      <c r="F178" s="73"/>
      <c r="G178" s="74"/>
      <c r="H178" s="75"/>
      <c r="I178" s="75"/>
      <c r="J178" s="70"/>
      <c r="K178" s="70"/>
      <c r="L178" s="76"/>
      <c r="M178" s="70"/>
      <c r="N178" s="70"/>
      <c r="O178" s="70"/>
      <c r="P178" s="77"/>
      <c r="Q178" s="77"/>
    </row>
    <row r="179" spans="1:17" x14ac:dyDescent="0.25">
      <c r="A179" s="2"/>
      <c r="B179" s="70"/>
      <c r="C179" s="70"/>
      <c r="D179" s="71"/>
      <c r="E179" s="72"/>
      <c r="F179" s="73"/>
      <c r="G179" s="74"/>
      <c r="H179" s="75"/>
      <c r="I179" s="75"/>
      <c r="J179" s="70"/>
      <c r="K179" s="70"/>
      <c r="L179" s="76"/>
      <c r="M179" s="70"/>
      <c r="N179" s="70"/>
      <c r="O179" s="70"/>
      <c r="P179" s="77"/>
      <c r="Q179" s="77"/>
    </row>
    <row r="180" spans="1:17" x14ac:dyDescent="0.25">
      <c r="A180" s="2"/>
      <c r="B180" s="70"/>
      <c r="C180" s="70"/>
      <c r="D180" s="71"/>
      <c r="E180" s="72"/>
      <c r="F180" s="73"/>
      <c r="G180" s="74"/>
      <c r="H180" s="75"/>
      <c r="I180" s="75"/>
      <c r="J180" s="70"/>
      <c r="K180" s="70"/>
      <c r="L180" s="76"/>
      <c r="M180" s="70"/>
      <c r="N180" s="70"/>
      <c r="O180" s="70"/>
      <c r="P180" s="77"/>
      <c r="Q180" s="77"/>
    </row>
    <row r="181" spans="1:17" x14ac:dyDescent="0.25">
      <c r="A181" s="2"/>
      <c r="B181" s="70"/>
      <c r="C181" s="70"/>
      <c r="D181" s="71"/>
      <c r="E181" s="72"/>
      <c r="F181" s="73"/>
      <c r="G181" s="74"/>
      <c r="H181" s="75"/>
      <c r="I181" s="75"/>
      <c r="J181" s="70"/>
      <c r="K181" s="70"/>
      <c r="L181" s="76"/>
      <c r="M181" s="70"/>
      <c r="N181" s="70"/>
      <c r="O181" s="70"/>
      <c r="P181" s="77"/>
      <c r="Q181" s="77"/>
    </row>
    <row r="182" spans="1:17" x14ac:dyDescent="0.25">
      <c r="A182" s="2"/>
      <c r="B182" s="70"/>
      <c r="C182" s="70"/>
      <c r="D182" s="71"/>
      <c r="E182" s="72"/>
      <c r="F182" s="73"/>
      <c r="G182" s="74"/>
      <c r="H182" s="75"/>
      <c r="I182" s="75"/>
      <c r="J182" s="70"/>
      <c r="K182" s="70"/>
      <c r="L182" s="76"/>
      <c r="M182" s="70"/>
      <c r="N182" s="70"/>
      <c r="O182" s="70"/>
      <c r="P182" s="77"/>
      <c r="Q182" s="77"/>
    </row>
    <row r="183" spans="1:17" x14ac:dyDescent="0.25">
      <c r="A183" s="2"/>
      <c r="B183" s="70"/>
      <c r="C183" s="70"/>
      <c r="D183" s="71"/>
      <c r="E183" s="72"/>
      <c r="F183" s="73"/>
      <c r="G183" s="74"/>
      <c r="H183" s="75"/>
      <c r="I183" s="75"/>
      <c r="J183" s="70"/>
      <c r="K183" s="70"/>
      <c r="L183" s="76"/>
      <c r="M183" s="70"/>
      <c r="N183" s="70"/>
      <c r="O183" s="70"/>
      <c r="P183" s="77"/>
      <c r="Q183" s="77"/>
    </row>
    <row r="184" spans="1:17" x14ac:dyDescent="0.25">
      <c r="A184" s="2"/>
      <c r="B184" s="70"/>
      <c r="C184" s="70"/>
      <c r="D184" s="71"/>
      <c r="E184" s="72"/>
      <c r="F184" s="73"/>
      <c r="G184" s="74"/>
      <c r="H184" s="75"/>
      <c r="I184" s="75"/>
      <c r="J184" s="70"/>
      <c r="K184" s="70"/>
      <c r="L184" s="76"/>
      <c r="M184" s="70"/>
      <c r="N184" s="70"/>
      <c r="O184" s="70"/>
      <c r="P184" s="77"/>
      <c r="Q184" s="77"/>
    </row>
    <row r="185" spans="1:17" x14ac:dyDescent="0.25">
      <c r="A185" s="2"/>
      <c r="B185" s="70"/>
      <c r="C185" s="70"/>
      <c r="D185" s="71"/>
      <c r="E185" s="72"/>
      <c r="F185" s="73"/>
      <c r="G185" s="74"/>
      <c r="H185" s="75"/>
      <c r="I185" s="75"/>
      <c r="J185" s="70"/>
      <c r="K185" s="70"/>
      <c r="L185" s="76"/>
      <c r="M185" s="70"/>
      <c r="N185" s="70"/>
      <c r="O185" s="70"/>
      <c r="P185" s="77"/>
      <c r="Q185" s="77"/>
    </row>
    <row r="186" spans="1:17" x14ac:dyDescent="0.25">
      <c r="A186" s="2"/>
      <c r="B186" s="70"/>
      <c r="C186" s="70"/>
      <c r="D186" s="71"/>
      <c r="E186" s="72"/>
      <c r="F186" s="73"/>
      <c r="G186" s="74"/>
      <c r="H186" s="75"/>
      <c r="I186" s="75"/>
      <c r="J186" s="70"/>
      <c r="K186" s="70"/>
      <c r="L186" s="76"/>
      <c r="M186" s="70"/>
      <c r="N186" s="70"/>
      <c r="O186" s="70"/>
      <c r="P186" s="77"/>
      <c r="Q186" s="77"/>
    </row>
    <row r="187" spans="1:17" x14ac:dyDescent="0.25">
      <c r="A187" s="2"/>
      <c r="B187" s="70"/>
      <c r="C187" s="70"/>
      <c r="D187" s="71"/>
      <c r="E187" s="72"/>
      <c r="F187" s="73"/>
      <c r="G187" s="74"/>
      <c r="H187" s="75"/>
      <c r="I187" s="75"/>
      <c r="J187" s="70"/>
      <c r="K187" s="70"/>
      <c r="L187" s="76"/>
      <c r="M187" s="70"/>
      <c r="N187" s="70"/>
      <c r="O187" s="70"/>
      <c r="P187" s="77"/>
      <c r="Q187" s="77"/>
    </row>
    <row r="188" spans="1:17" x14ac:dyDescent="0.25">
      <c r="A188" s="2"/>
      <c r="B188" s="70"/>
      <c r="C188" s="70"/>
      <c r="D188" s="71"/>
      <c r="E188" s="72"/>
      <c r="F188" s="73"/>
      <c r="G188" s="74"/>
      <c r="H188" s="75"/>
      <c r="I188" s="75"/>
      <c r="J188" s="70"/>
      <c r="K188" s="70"/>
      <c r="L188" s="76"/>
      <c r="M188" s="70"/>
      <c r="N188" s="70"/>
      <c r="O188" s="70"/>
      <c r="P188" s="77"/>
      <c r="Q188" s="77"/>
    </row>
    <row r="189" spans="1:17" x14ac:dyDescent="0.25">
      <c r="A189" s="2"/>
      <c r="B189" s="70"/>
      <c r="C189" s="70"/>
      <c r="D189" s="71"/>
      <c r="E189" s="72"/>
      <c r="F189" s="73"/>
      <c r="G189" s="74"/>
      <c r="H189" s="75"/>
      <c r="I189" s="75"/>
      <c r="J189" s="70"/>
      <c r="K189" s="70"/>
      <c r="L189" s="76"/>
      <c r="M189" s="70"/>
      <c r="N189" s="70"/>
      <c r="O189" s="70"/>
      <c r="P189" s="77"/>
      <c r="Q189" s="77"/>
    </row>
    <row r="190" spans="1:17" x14ac:dyDescent="0.25">
      <c r="A190" s="2"/>
      <c r="B190" s="70"/>
      <c r="C190" s="70"/>
      <c r="D190" s="71"/>
      <c r="E190" s="72"/>
      <c r="F190" s="73"/>
      <c r="G190" s="74"/>
      <c r="H190" s="75"/>
      <c r="I190" s="75"/>
      <c r="J190" s="70"/>
      <c r="K190" s="70"/>
      <c r="L190" s="76"/>
      <c r="M190" s="70"/>
      <c r="N190" s="70"/>
      <c r="O190" s="70"/>
      <c r="P190" s="77"/>
      <c r="Q190" s="77"/>
    </row>
    <row r="191" spans="1:17" x14ac:dyDescent="0.25">
      <c r="A191" s="2"/>
      <c r="B191" s="70"/>
      <c r="C191" s="70"/>
      <c r="D191" s="71"/>
      <c r="E191" s="72"/>
      <c r="F191" s="73"/>
      <c r="G191" s="74"/>
      <c r="H191" s="75"/>
      <c r="I191" s="75"/>
      <c r="J191" s="70"/>
      <c r="K191" s="70"/>
      <c r="L191" s="76"/>
      <c r="M191" s="70"/>
      <c r="N191" s="70"/>
      <c r="O191" s="70"/>
      <c r="P191" s="77"/>
      <c r="Q191" s="77"/>
    </row>
    <row r="192" spans="1:17" x14ac:dyDescent="0.25">
      <c r="A192" s="2"/>
      <c r="B192" s="70"/>
      <c r="C192" s="70"/>
      <c r="D192" s="71"/>
      <c r="E192" s="72"/>
      <c r="F192" s="73"/>
      <c r="G192" s="74"/>
      <c r="H192" s="75"/>
      <c r="I192" s="75"/>
      <c r="J192" s="70"/>
      <c r="K192" s="70"/>
      <c r="L192" s="76"/>
      <c r="M192" s="70"/>
      <c r="N192" s="70"/>
      <c r="O192" s="70"/>
      <c r="P192" s="77"/>
      <c r="Q192" s="77"/>
    </row>
    <row r="193" spans="1:17" x14ac:dyDescent="0.25">
      <c r="A193" s="2"/>
      <c r="B193" s="70"/>
      <c r="C193" s="70"/>
      <c r="D193" s="71"/>
      <c r="E193" s="72"/>
      <c r="F193" s="73"/>
      <c r="G193" s="74"/>
      <c r="H193" s="75"/>
      <c r="I193" s="75"/>
      <c r="J193" s="70"/>
      <c r="K193" s="70"/>
      <c r="L193" s="76"/>
      <c r="M193" s="70"/>
      <c r="N193" s="70"/>
      <c r="O193" s="70"/>
      <c r="P193" s="77"/>
      <c r="Q193" s="77"/>
    </row>
    <row r="194" spans="1:17" x14ac:dyDescent="0.25">
      <c r="A194" s="2"/>
      <c r="B194" s="70"/>
      <c r="C194" s="70"/>
      <c r="D194" s="71"/>
      <c r="E194" s="72"/>
      <c r="F194" s="73"/>
      <c r="G194" s="74"/>
      <c r="H194" s="75"/>
      <c r="I194" s="75"/>
      <c r="J194" s="70"/>
      <c r="K194" s="70"/>
      <c r="L194" s="76"/>
      <c r="M194" s="70"/>
      <c r="N194" s="70"/>
      <c r="O194" s="70"/>
      <c r="P194" s="77"/>
      <c r="Q194" s="77"/>
    </row>
    <row r="195" spans="1:17" x14ac:dyDescent="0.25">
      <c r="A195" s="2"/>
      <c r="B195" s="70"/>
      <c r="C195" s="70"/>
      <c r="D195" s="71"/>
      <c r="E195" s="72"/>
      <c r="F195" s="73"/>
      <c r="G195" s="74"/>
      <c r="H195" s="75"/>
      <c r="I195" s="75"/>
      <c r="J195" s="70"/>
      <c r="K195" s="70"/>
      <c r="L195" s="76"/>
      <c r="M195" s="70"/>
      <c r="N195" s="70"/>
      <c r="O195" s="70"/>
      <c r="P195" s="77"/>
      <c r="Q195" s="77"/>
    </row>
    <row r="196" spans="1:17" x14ac:dyDescent="0.25">
      <c r="A196" s="2"/>
      <c r="B196" s="70"/>
      <c r="C196" s="70"/>
      <c r="D196" s="71"/>
      <c r="E196" s="72"/>
      <c r="F196" s="73"/>
      <c r="G196" s="74"/>
      <c r="H196" s="75"/>
      <c r="I196" s="75"/>
      <c r="J196" s="70"/>
      <c r="K196" s="70"/>
      <c r="L196" s="76"/>
      <c r="M196" s="70"/>
      <c r="N196" s="70"/>
      <c r="O196" s="70"/>
      <c r="P196" s="77"/>
      <c r="Q196" s="77"/>
    </row>
    <row r="197" spans="1:17" x14ac:dyDescent="0.25">
      <c r="A197" s="2"/>
      <c r="B197" s="70"/>
      <c r="C197" s="70"/>
      <c r="D197" s="71"/>
      <c r="E197" s="72"/>
      <c r="F197" s="73"/>
      <c r="G197" s="74"/>
      <c r="H197" s="75"/>
      <c r="I197" s="75"/>
      <c r="J197" s="70"/>
      <c r="K197" s="70"/>
      <c r="L197" s="76"/>
      <c r="M197" s="70"/>
      <c r="N197" s="70"/>
      <c r="O197" s="70"/>
      <c r="P197" s="77"/>
      <c r="Q197" s="77"/>
    </row>
    <row r="198" spans="1:17" x14ac:dyDescent="0.25">
      <c r="A198" s="2"/>
      <c r="B198" s="70"/>
      <c r="C198" s="70"/>
      <c r="D198" s="71"/>
      <c r="E198" s="72"/>
      <c r="F198" s="73"/>
      <c r="G198" s="74"/>
      <c r="H198" s="75"/>
      <c r="I198" s="75"/>
      <c r="J198" s="70"/>
      <c r="K198" s="70"/>
      <c r="L198" s="76"/>
      <c r="M198" s="70"/>
      <c r="N198" s="70"/>
      <c r="O198" s="70"/>
      <c r="P198" s="77"/>
      <c r="Q198" s="77"/>
    </row>
    <row r="199" spans="1:17" x14ac:dyDescent="0.25">
      <c r="A199" s="2"/>
      <c r="B199" s="70"/>
      <c r="C199" s="70"/>
      <c r="D199" s="71"/>
      <c r="E199" s="72"/>
      <c r="F199" s="73"/>
      <c r="G199" s="74"/>
      <c r="H199" s="75"/>
      <c r="I199" s="75"/>
      <c r="J199" s="70"/>
      <c r="K199" s="70"/>
      <c r="L199" s="76"/>
      <c r="M199" s="70"/>
      <c r="N199" s="70"/>
      <c r="O199" s="70"/>
      <c r="P199" s="77"/>
      <c r="Q199" s="77"/>
    </row>
    <row r="200" spans="1:17" x14ac:dyDescent="0.25">
      <c r="A200" s="2"/>
      <c r="B200" s="70"/>
      <c r="C200" s="70"/>
      <c r="D200" s="71"/>
      <c r="E200" s="72"/>
      <c r="F200" s="73"/>
      <c r="G200" s="74"/>
      <c r="H200" s="75"/>
      <c r="I200" s="75"/>
      <c r="J200" s="70"/>
      <c r="K200" s="70"/>
      <c r="L200" s="76"/>
      <c r="M200" s="70"/>
      <c r="N200" s="70"/>
      <c r="O200" s="70"/>
      <c r="P200" s="77"/>
      <c r="Q200" s="77"/>
    </row>
    <row r="201" spans="1:17" x14ac:dyDescent="0.25">
      <c r="A201" s="2"/>
      <c r="B201" s="70"/>
      <c r="C201" s="70"/>
      <c r="D201" s="71"/>
      <c r="E201" s="72"/>
      <c r="F201" s="73"/>
      <c r="G201" s="74"/>
      <c r="H201" s="75"/>
      <c r="I201" s="75"/>
      <c r="J201" s="70"/>
      <c r="K201" s="70"/>
      <c r="L201" s="76"/>
      <c r="M201" s="70"/>
      <c r="N201" s="70"/>
      <c r="O201" s="70"/>
      <c r="P201" s="77"/>
      <c r="Q201" s="77"/>
    </row>
    <row r="202" spans="1:17" x14ac:dyDescent="0.25">
      <c r="A202" s="2"/>
      <c r="B202" s="70"/>
      <c r="C202" s="70"/>
      <c r="D202" s="71"/>
      <c r="E202" s="72"/>
      <c r="F202" s="73"/>
      <c r="G202" s="74"/>
      <c r="H202" s="75"/>
      <c r="I202" s="75"/>
      <c r="J202" s="70"/>
      <c r="K202" s="70"/>
      <c r="L202" s="76"/>
      <c r="M202" s="70"/>
      <c r="N202" s="70"/>
      <c r="O202" s="70"/>
      <c r="P202" s="77"/>
      <c r="Q202" s="77"/>
    </row>
    <row r="203" spans="1:17" x14ac:dyDescent="0.25">
      <c r="A203" s="2"/>
      <c r="B203" s="70"/>
      <c r="C203" s="70"/>
      <c r="D203" s="71"/>
      <c r="E203" s="72"/>
      <c r="F203" s="73"/>
      <c r="G203" s="74"/>
      <c r="H203" s="75"/>
      <c r="I203" s="75"/>
      <c r="J203" s="70"/>
      <c r="K203" s="70"/>
      <c r="L203" s="76"/>
      <c r="M203" s="70"/>
      <c r="N203" s="70"/>
      <c r="O203" s="70"/>
      <c r="P203" s="77"/>
      <c r="Q203" s="77"/>
    </row>
    <row r="204" spans="1:17" x14ac:dyDescent="0.25">
      <c r="A204" s="2"/>
      <c r="B204" s="70"/>
      <c r="C204" s="70"/>
      <c r="D204" s="71"/>
      <c r="E204" s="72"/>
      <c r="F204" s="73"/>
      <c r="G204" s="74"/>
      <c r="H204" s="75"/>
      <c r="I204" s="75"/>
      <c r="J204" s="70"/>
      <c r="K204" s="70"/>
      <c r="L204" s="76"/>
      <c r="M204" s="70"/>
      <c r="N204" s="70"/>
      <c r="O204" s="70"/>
      <c r="P204" s="77"/>
      <c r="Q204" s="77"/>
    </row>
    <row r="205" spans="1:17" x14ac:dyDescent="0.25">
      <c r="A205" s="2"/>
      <c r="B205" s="70"/>
      <c r="C205" s="70"/>
      <c r="D205" s="71"/>
      <c r="E205" s="72"/>
      <c r="F205" s="73"/>
      <c r="G205" s="74"/>
      <c r="H205" s="75"/>
      <c r="I205" s="75"/>
      <c r="J205" s="70"/>
      <c r="K205" s="70"/>
      <c r="L205" s="76"/>
      <c r="M205" s="70"/>
      <c r="N205" s="70"/>
      <c r="O205" s="70"/>
      <c r="P205" s="77"/>
      <c r="Q205" s="77"/>
    </row>
    <row r="206" spans="1:17" x14ac:dyDescent="0.25">
      <c r="A206" s="2"/>
      <c r="B206" s="70"/>
      <c r="C206" s="70"/>
      <c r="D206" s="71"/>
      <c r="E206" s="72"/>
      <c r="F206" s="73"/>
      <c r="G206" s="74"/>
      <c r="H206" s="75"/>
      <c r="I206" s="75"/>
      <c r="J206" s="70"/>
      <c r="K206" s="70"/>
      <c r="L206" s="76"/>
      <c r="M206" s="70"/>
      <c r="N206" s="70"/>
      <c r="O206" s="70"/>
      <c r="P206" s="77"/>
      <c r="Q206" s="77"/>
    </row>
    <row r="207" spans="1:17" x14ac:dyDescent="0.25">
      <c r="A207" s="2"/>
      <c r="B207" s="70"/>
      <c r="C207" s="70"/>
      <c r="D207" s="71"/>
      <c r="E207" s="72"/>
      <c r="F207" s="73"/>
      <c r="G207" s="74"/>
      <c r="H207" s="75"/>
      <c r="I207" s="75"/>
      <c r="J207" s="70"/>
      <c r="K207" s="70"/>
      <c r="L207" s="76"/>
      <c r="M207" s="70"/>
      <c r="N207" s="70"/>
      <c r="O207" s="70"/>
      <c r="P207" s="77"/>
      <c r="Q207" s="77"/>
    </row>
    <row r="208" spans="1:17" x14ac:dyDescent="0.25">
      <c r="A208" s="2"/>
      <c r="B208" s="70"/>
      <c r="C208" s="70"/>
      <c r="D208" s="71"/>
      <c r="E208" s="72"/>
      <c r="F208" s="73"/>
      <c r="G208" s="74"/>
      <c r="H208" s="75"/>
      <c r="I208" s="75"/>
      <c r="J208" s="70"/>
      <c r="K208" s="70"/>
      <c r="L208" s="76"/>
      <c r="M208" s="70"/>
      <c r="N208" s="70"/>
      <c r="O208" s="70"/>
      <c r="P208" s="77"/>
      <c r="Q208" s="77"/>
    </row>
    <row r="209" spans="1:17" x14ac:dyDescent="0.25">
      <c r="A209" s="2"/>
      <c r="B209" s="70"/>
      <c r="C209" s="70"/>
      <c r="D209" s="71"/>
      <c r="E209" s="72"/>
      <c r="F209" s="73"/>
      <c r="G209" s="74"/>
      <c r="H209" s="75"/>
      <c r="I209" s="75"/>
      <c r="J209" s="70"/>
      <c r="K209" s="70"/>
      <c r="L209" s="76"/>
      <c r="M209" s="70"/>
      <c r="N209" s="70"/>
      <c r="O209" s="70"/>
      <c r="P209" s="77"/>
      <c r="Q209" s="77"/>
    </row>
    <row r="210" spans="1:17" x14ac:dyDescent="0.25">
      <c r="A210" s="2"/>
      <c r="B210" s="70"/>
      <c r="C210" s="70"/>
      <c r="D210" s="71"/>
      <c r="E210" s="72"/>
      <c r="F210" s="73"/>
      <c r="G210" s="74"/>
      <c r="H210" s="75"/>
      <c r="I210" s="75"/>
      <c r="J210" s="70"/>
      <c r="K210" s="70"/>
      <c r="L210" s="76"/>
      <c r="M210" s="70"/>
      <c r="N210" s="70"/>
      <c r="O210" s="70"/>
      <c r="P210" s="77"/>
      <c r="Q210" s="77"/>
    </row>
    <row r="211" spans="1:17" x14ac:dyDescent="0.25">
      <c r="A211" s="2"/>
      <c r="B211" s="70"/>
      <c r="C211" s="70"/>
      <c r="D211" s="71"/>
      <c r="E211" s="72"/>
      <c r="F211" s="73"/>
      <c r="G211" s="74"/>
      <c r="H211" s="75"/>
      <c r="I211" s="75"/>
      <c r="J211" s="70"/>
      <c r="K211" s="70"/>
      <c r="L211" s="76"/>
      <c r="M211" s="70"/>
      <c r="N211" s="70"/>
      <c r="O211" s="70"/>
      <c r="P211" s="77"/>
      <c r="Q211" s="77"/>
    </row>
    <row r="212" spans="1:17" x14ac:dyDescent="0.25">
      <c r="A212" s="2"/>
      <c r="B212" s="70"/>
      <c r="C212" s="70"/>
      <c r="D212" s="71"/>
      <c r="E212" s="72"/>
      <c r="F212" s="73"/>
      <c r="G212" s="74"/>
      <c r="H212" s="75"/>
      <c r="I212" s="75"/>
      <c r="J212" s="70"/>
      <c r="K212" s="70"/>
      <c r="L212" s="76"/>
      <c r="M212" s="70"/>
      <c r="N212" s="70"/>
      <c r="O212" s="70"/>
      <c r="P212" s="77"/>
      <c r="Q212" s="77"/>
    </row>
    <row r="213" spans="1:17" x14ac:dyDescent="0.25">
      <c r="A213" s="2"/>
      <c r="B213" s="70"/>
      <c r="C213" s="70"/>
      <c r="D213" s="71"/>
      <c r="E213" s="72"/>
      <c r="F213" s="73"/>
      <c r="G213" s="74"/>
      <c r="H213" s="75"/>
      <c r="I213" s="75"/>
      <c r="J213" s="70"/>
      <c r="K213" s="70"/>
      <c r="L213" s="76"/>
      <c r="M213" s="70"/>
      <c r="N213" s="70"/>
      <c r="O213" s="70"/>
      <c r="P213" s="77"/>
      <c r="Q213" s="77"/>
    </row>
    <row r="214" spans="1:17" x14ac:dyDescent="0.25">
      <c r="A214" s="2"/>
      <c r="B214" s="70"/>
      <c r="C214" s="70"/>
      <c r="D214" s="71"/>
      <c r="E214" s="72"/>
      <c r="F214" s="73"/>
      <c r="G214" s="74"/>
      <c r="H214" s="75"/>
      <c r="I214" s="75"/>
      <c r="J214" s="70"/>
      <c r="K214" s="70"/>
      <c r="L214" s="76"/>
      <c r="M214" s="70"/>
      <c r="N214" s="70"/>
      <c r="O214" s="70"/>
      <c r="P214" s="77"/>
      <c r="Q214" s="77"/>
    </row>
    <row r="215" spans="1:17" x14ac:dyDescent="0.25">
      <c r="A215" s="2"/>
      <c r="B215" s="70"/>
      <c r="C215" s="70"/>
      <c r="D215" s="71"/>
      <c r="E215" s="72"/>
      <c r="F215" s="73"/>
      <c r="G215" s="74"/>
      <c r="H215" s="75"/>
      <c r="I215" s="75"/>
      <c r="J215" s="70"/>
      <c r="K215" s="70"/>
      <c r="L215" s="76"/>
      <c r="M215" s="70"/>
      <c r="N215" s="70"/>
      <c r="O215" s="70"/>
      <c r="P215" s="77"/>
      <c r="Q215" s="77"/>
    </row>
    <row r="216" spans="1:17" x14ac:dyDescent="0.25">
      <c r="A216" s="2"/>
      <c r="B216" s="70"/>
      <c r="C216" s="70"/>
      <c r="D216" s="71"/>
      <c r="E216" s="72"/>
      <c r="F216" s="73"/>
      <c r="G216" s="74"/>
      <c r="H216" s="75"/>
      <c r="I216" s="75"/>
      <c r="J216" s="70"/>
      <c r="K216" s="70"/>
      <c r="L216" s="76"/>
      <c r="M216" s="70"/>
      <c r="N216" s="70"/>
      <c r="O216" s="70"/>
      <c r="P216" s="77"/>
      <c r="Q216" s="77"/>
    </row>
    <row r="217" spans="1:17" x14ac:dyDescent="0.25">
      <c r="A217" s="2"/>
      <c r="B217" s="70"/>
      <c r="C217" s="70"/>
      <c r="D217" s="71"/>
      <c r="E217" s="72"/>
      <c r="F217" s="73"/>
      <c r="G217" s="74"/>
      <c r="H217" s="75"/>
      <c r="I217" s="75"/>
      <c r="J217" s="70"/>
      <c r="K217" s="70"/>
      <c r="L217" s="76"/>
      <c r="M217" s="70"/>
      <c r="N217" s="70"/>
      <c r="O217" s="70"/>
      <c r="P217" s="77"/>
      <c r="Q217" s="77"/>
    </row>
    <row r="218" spans="1:17" x14ac:dyDescent="0.25">
      <c r="A218" s="2"/>
      <c r="B218" s="70"/>
      <c r="C218" s="70"/>
      <c r="D218" s="71"/>
      <c r="E218" s="72"/>
      <c r="F218" s="73"/>
      <c r="G218" s="74"/>
      <c r="H218" s="75"/>
      <c r="I218" s="75"/>
      <c r="J218" s="70"/>
      <c r="K218" s="70"/>
      <c r="L218" s="76"/>
      <c r="M218" s="70"/>
      <c r="N218" s="70"/>
      <c r="O218" s="70"/>
      <c r="P218" s="77"/>
      <c r="Q218" s="77"/>
    </row>
    <row r="219" spans="1:17" x14ac:dyDescent="0.25">
      <c r="A219" s="2"/>
      <c r="B219" s="70"/>
      <c r="C219" s="70"/>
      <c r="D219" s="71"/>
      <c r="E219" s="72"/>
      <c r="F219" s="73"/>
      <c r="G219" s="74"/>
      <c r="H219" s="75"/>
      <c r="I219" s="75"/>
      <c r="J219" s="70"/>
      <c r="K219" s="70"/>
      <c r="L219" s="76"/>
      <c r="M219" s="70"/>
      <c r="N219" s="70"/>
      <c r="O219" s="70"/>
      <c r="P219" s="77"/>
      <c r="Q219" s="77"/>
    </row>
    <row r="220" spans="1:17" x14ac:dyDescent="0.25">
      <c r="A220" s="2"/>
      <c r="B220" s="70"/>
      <c r="C220" s="70"/>
      <c r="D220" s="71"/>
      <c r="E220" s="72"/>
      <c r="F220" s="73"/>
      <c r="G220" s="74"/>
      <c r="H220" s="75"/>
      <c r="I220" s="75"/>
      <c r="J220" s="70"/>
      <c r="K220" s="70"/>
      <c r="L220" s="76"/>
      <c r="M220" s="70"/>
      <c r="N220" s="70"/>
      <c r="O220" s="70"/>
      <c r="P220" s="77"/>
      <c r="Q220" s="77"/>
    </row>
    <row r="221" spans="1:17" x14ac:dyDescent="0.25">
      <c r="A221" s="2"/>
      <c r="B221" s="70"/>
      <c r="C221" s="70"/>
      <c r="D221" s="71"/>
      <c r="E221" s="72"/>
      <c r="F221" s="73"/>
      <c r="G221" s="74"/>
      <c r="H221" s="75"/>
      <c r="I221" s="75"/>
      <c r="J221" s="70"/>
      <c r="K221" s="70"/>
      <c r="L221" s="76"/>
      <c r="M221" s="70"/>
      <c r="N221" s="70"/>
      <c r="O221" s="70"/>
      <c r="P221" s="77"/>
      <c r="Q221" s="77"/>
    </row>
    <row r="222" spans="1:17" x14ac:dyDescent="0.25">
      <c r="A222" s="2"/>
      <c r="B222" s="70"/>
      <c r="C222" s="70"/>
      <c r="D222" s="71"/>
      <c r="E222" s="72"/>
      <c r="F222" s="73"/>
      <c r="G222" s="74"/>
      <c r="H222" s="75"/>
      <c r="I222" s="75"/>
      <c r="J222" s="70"/>
      <c r="K222" s="70"/>
      <c r="L222" s="76"/>
      <c r="M222" s="70"/>
      <c r="N222" s="70"/>
      <c r="O222" s="70"/>
      <c r="P222" s="77"/>
      <c r="Q222" s="77"/>
    </row>
    <row r="223" spans="1:17" x14ac:dyDescent="0.25">
      <c r="A223" s="2"/>
      <c r="B223" s="70"/>
      <c r="C223" s="70"/>
      <c r="D223" s="71"/>
      <c r="E223" s="72"/>
      <c r="F223" s="73"/>
      <c r="G223" s="74"/>
      <c r="H223" s="75"/>
      <c r="I223" s="75"/>
      <c r="J223" s="70"/>
      <c r="K223" s="70"/>
      <c r="L223" s="76"/>
      <c r="M223" s="70"/>
      <c r="N223" s="70"/>
      <c r="O223" s="70"/>
      <c r="P223" s="77"/>
      <c r="Q223" s="77"/>
    </row>
    <row r="224" spans="1:17" x14ac:dyDescent="0.25">
      <c r="A224" s="2"/>
      <c r="B224" s="70"/>
      <c r="C224" s="70"/>
      <c r="D224" s="71"/>
      <c r="E224" s="72"/>
      <c r="F224" s="73"/>
      <c r="G224" s="74"/>
      <c r="H224" s="75"/>
      <c r="I224" s="75"/>
      <c r="J224" s="70"/>
      <c r="K224" s="70"/>
      <c r="L224" s="76"/>
      <c r="M224" s="70"/>
      <c r="N224" s="70"/>
      <c r="O224" s="70"/>
      <c r="P224" s="77"/>
      <c r="Q224" s="77"/>
    </row>
    <row r="225" spans="1:17" x14ac:dyDescent="0.25">
      <c r="A225" s="2"/>
      <c r="B225" s="70"/>
      <c r="C225" s="70"/>
      <c r="D225" s="71"/>
      <c r="E225" s="72"/>
      <c r="F225" s="73"/>
      <c r="G225" s="74"/>
      <c r="H225" s="75"/>
      <c r="I225" s="75"/>
      <c r="J225" s="70"/>
      <c r="K225" s="70"/>
      <c r="L225" s="76"/>
      <c r="M225" s="70"/>
      <c r="N225" s="70"/>
      <c r="O225" s="70"/>
      <c r="P225" s="77"/>
      <c r="Q225" s="77"/>
    </row>
    <row r="226" spans="1:17" x14ac:dyDescent="0.25">
      <c r="A226" s="2"/>
      <c r="B226" s="70"/>
      <c r="C226" s="70"/>
      <c r="D226" s="71"/>
      <c r="E226" s="72"/>
      <c r="F226" s="73"/>
      <c r="G226" s="74"/>
      <c r="H226" s="75"/>
      <c r="I226" s="75"/>
      <c r="J226" s="70"/>
      <c r="K226" s="70"/>
      <c r="L226" s="76"/>
      <c r="M226" s="70"/>
      <c r="N226" s="70"/>
      <c r="O226" s="70"/>
      <c r="P226" s="77"/>
      <c r="Q226" s="77"/>
    </row>
    <row r="227" spans="1:17" x14ac:dyDescent="0.25">
      <c r="A227" s="2"/>
      <c r="B227" s="70"/>
      <c r="C227" s="70"/>
      <c r="D227" s="71"/>
      <c r="E227" s="72"/>
      <c r="F227" s="73"/>
      <c r="G227" s="74"/>
      <c r="H227" s="75"/>
      <c r="I227" s="75"/>
      <c r="J227" s="70"/>
      <c r="K227" s="70"/>
      <c r="L227" s="76"/>
      <c r="M227" s="70"/>
      <c r="N227" s="70"/>
      <c r="O227" s="70"/>
      <c r="P227" s="77"/>
      <c r="Q227" s="77"/>
    </row>
    <row r="228" spans="1:17" x14ac:dyDescent="0.25">
      <c r="A228" s="2"/>
      <c r="B228" s="70"/>
      <c r="C228" s="70"/>
      <c r="D228" s="71"/>
      <c r="E228" s="72"/>
      <c r="F228" s="73"/>
      <c r="G228" s="74"/>
      <c r="H228" s="75"/>
      <c r="I228" s="75"/>
      <c r="J228" s="70"/>
      <c r="K228" s="70"/>
      <c r="L228" s="76"/>
      <c r="M228" s="70"/>
      <c r="N228" s="70"/>
      <c r="O228" s="70"/>
      <c r="P228" s="77"/>
      <c r="Q228" s="77"/>
    </row>
    <row r="229" spans="1:17" x14ac:dyDescent="0.25">
      <c r="A229" s="2"/>
      <c r="B229" s="70"/>
      <c r="C229" s="70"/>
      <c r="D229" s="71"/>
      <c r="E229" s="72"/>
      <c r="F229" s="73"/>
      <c r="G229" s="74"/>
      <c r="H229" s="75"/>
      <c r="I229" s="75"/>
      <c r="J229" s="70"/>
      <c r="K229" s="70"/>
      <c r="L229" s="76"/>
      <c r="M229" s="70"/>
      <c r="N229" s="70"/>
      <c r="O229" s="70"/>
      <c r="P229" s="77"/>
      <c r="Q229" s="77"/>
    </row>
    <row r="230" spans="1:17" x14ac:dyDescent="0.25">
      <c r="A230" s="2"/>
      <c r="B230" s="70"/>
      <c r="C230" s="70"/>
      <c r="D230" s="71"/>
      <c r="E230" s="72"/>
      <c r="F230" s="73"/>
      <c r="G230" s="74"/>
      <c r="H230" s="75"/>
      <c r="I230" s="75"/>
      <c r="J230" s="70"/>
      <c r="K230" s="70"/>
      <c r="L230" s="76"/>
      <c r="M230" s="70"/>
      <c r="N230" s="70"/>
      <c r="O230" s="70"/>
      <c r="P230" s="77"/>
      <c r="Q230" s="77"/>
    </row>
    <row r="231" spans="1:17" x14ac:dyDescent="0.25">
      <c r="A231" s="2"/>
      <c r="B231" s="70"/>
      <c r="C231" s="70"/>
      <c r="D231" s="71"/>
      <c r="E231" s="72"/>
      <c r="F231" s="73"/>
      <c r="G231" s="74"/>
      <c r="H231" s="75"/>
      <c r="I231" s="75"/>
      <c r="J231" s="70"/>
      <c r="K231" s="70"/>
      <c r="L231" s="76"/>
      <c r="M231" s="70"/>
      <c r="N231" s="70"/>
      <c r="O231" s="70"/>
      <c r="P231" s="77"/>
      <c r="Q231" s="77"/>
    </row>
    <row r="232" spans="1:17" x14ac:dyDescent="0.25">
      <c r="A232" s="2"/>
      <c r="B232" s="70"/>
      <c r="C232" s="70"/>
      <c r="D232" s="71"/>
      <c r="E232" s="72"/>
      <c r="F232" s="73"/>
      <c r="G232" s="74"/>
      <c r="H232" s="75"/>
      <c r="I232" s="75"/>
      <c r="J232" s="70"/>
      <c r="K232" s="70"/>
      <c r="L232" s="76"/>
      <c r="M232" s="70"/>
      <c r="N232" s="70"/>
      <c r="O232" s="70"/>
      <c r="P232" s="77"/>
      <c r="Q232" s="77"/>
    </row>
    <row r="233" spans="1:17" x14ac:dyDescent="0.25">
      <c r="A233" s="2"/>
      <c r="B233" s="70"/>
      <c r="C233" s="70"/>
      <c r="D233" s="71"/>
      <c r="E233" s="72"/>
      <c r="F233" s="73"/>
      <c r="G233" s="74"/>
      <c r="H233" s="75"/>
      <c r="I233" s="75"/>
      <c r="J233" s="70"/>
      <c r="K233" s="70"/>
      <c r="L233" s="76"/>
      <c r="M233" s="70"/>
      <c r="N233" s="70"/>
      <c r="O233" s="70"/>
      <c r="P233" s="77"/>
      <c r="Q233" s="77"/>
    </row>
    <row r="234" spans="1:17" x14ac:dyDescent="0.25">
      <c r="A234" s="2"/>
      <c r="B234" s="70"/>
      <c r="C234" s="70"/>
      <c r="D234" s="71"/>
      <c r="E234" s="72"/>
      <c r="F234" s="73"/>
      <c r="G234" s="74"/>
      <c r="H234" s="75"/>
      <c r="I234" s="75"/>
      <c r="J234" s="70"/>
      <c r="K234" s="70"/>
      <c r="L234" s="76"/>
      <c r="M234" s="70"/>
      <c r="N234" s="70"/>
      <c r="O234" s="70"/>
      <c r="P234" s="77"/>
      <c r="Q234" s="77"/>
    </row>
    <row r="235" spans="1:17" x14ac:dyDescent="0.25">
      <c r="A235" s="2"/>
      <c r="B235" s="70"/>
      <c r="C235" s="70"/>
      <c r="D235" s="71"/>
      <c r="E235" s="72"/>
      <c r="F235" s="73"/>
      <c r="G235" s="74"/>
      <c r="H235" s="75"/>
      <c r="I235" s="75"/>
      <c r="J235" s="70"/>
      <c r="K235" s="70"/>
      <c r="L235" s="76"/>
      <c r="M235" s="70"/>
      <c r="N235" s="70"/>
      <c r="O235" s="70"/>
      <c r="P235" s="77"/>
      <c r="Q235" s="77"/>
    </row>
    <row r="1048574" spans="1:1" ht="15.75" x14ac:dyDescent="0.25">
      <c r="A1048574" s="19"/>
    </row>
  </sheetData>
  <mergeCells count="8">
    <mergeCell ref="H4:O4"/>
    <mergeCell ref="P4:Q4"/>
    <mergeCell ref="A1:D1"/>
    <mergeCell ref="E1:G3"/>
    <mergeCell ref="A2:D2"/>
    <mergeCell ref="A3:D3"/>
    <mergeCell ref="B4:D4"/>
    <mergeCell ref="E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2026-03-27T21:51:45Z</dcterms:created>
  <dcterms:modified xsi:type="dcterms:W3CDTF">2026-03-27T22:00:22Z</dcterms:modified>
</cp:coreProperties>
</file>