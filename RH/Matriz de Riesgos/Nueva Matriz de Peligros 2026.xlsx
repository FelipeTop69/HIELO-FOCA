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JA1\Documents\FOCA\Matriz de Riesgos\"/>
    </mc:Choice>
  </mc:AlternateContent>
  <xr:revisionPtr revIDLastSave="0" documentId="13_ncr:1_{539AB6B1-CFBC-44D1-ADBA-0EC234E4979D}" xr6:coauthVersionLast="47" xr6:coauthVersionMax="47" xr10:uidLastSave="{00000000-0000-0000-0000-000000000000}"/>
  <bookViews>
    <workbookView xWindow="-120" yWindow="-120" windowWidth="20730" windowHeight="11160" xr2:uid="{7F85D652-B6C0-4FAD-A3DB-AA6EB0065367}"/>
  </bookViews>
  <sheets>
    <sheet name="Matriz de Riesgos Cofrio" sheetId="2" r:id="rId1"/>
    <sheet name="Config" sheetId="6" r:id="rId2"/>
    <sheet name="Resumen Matriz" sheetId="7" r:id="rId3"/>
    <sheet name="Instrucciones Formato" sheetId="8" r:id="rId4"/>
    <sheet name="Hoja4" sheetId="4" r:id="rId5"/>
    <sheet name="PASO 2" sheetId="3" r:id="rId6"/>
  </sheets>
  <externalReferences>
    <externalReference r:id="rId7"/>
  </externalReferences>
  <definedNames>
    <definedName name="Rango1">'[1]Instrucciones Formato'!$CG$495:$CH$505</definedName>
    <definedName name="Rango2">'[1]Instrucciones Formato'!$CJ$495:$CL$517</definedName>
    <definedName name="Rango3">'[1]Instrucciones Formato'!$CJ$495:$CL$517</definedName>
    <definedName name="Rodrigo">'[1]Instrucciones Formato'!#REF!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" l="1"/>
  <c r="O6" i="2"/>
  <c r="O7" i="2"/>
  <c r="O8" i="2"/>
  <c r="O9" i="2"/>
  <c r="O10" i="2"/>
  <c r="O11" i="2"/>
  <c r="O12" i="2"/>
  <c r="O13" i="2"/>
  <c r="O14" i="2"/>
  <c r="O15" i="2"/>
  <c r="N6" i="2"/>
  <c r="N7" i="2"/>
  <c r="N8" i="2"/>
  <c r="N9" i="2"/>
  <c r="N10" i="2"/>
  <c r="N11" i="2"/>
  <c r="N12" i="2"/>
  <c r="N13" i="2"/>
  <c r="N14" i="2"/>
  <c r="N15" i="2"/>
  <c r="M6" i="2"/>
  <c r="M7" i="2"/>
  <c r="M8" i="2"/>
  <c r="M9" i="2"/>
  <c r="M10" i="2"/>
  <c r="M11" i="2"/>
  <c r="M12" i="2"/>
  <c r="M13" i="2"/>
  <c r="M14" i="2"/>
  <c r="M15" i="2"/>
  <c r="K7" i="2"/>
  <c r="K8" i="2"/>
  <c r="K9" i="2"/>
  <c r="K10" i="2"/>
  <c r="K11" i="2"/>
  <c r="K12" i="2"/>
  <c r="K13" i="2"/>
  <c r="K14" i="2"/>
  <c r="K15" i="2"/>
  <c r="J5" i="2"/>
  <c r="K5" i="2" s="1"/>
  <c r="J6" i="2"/>
  <c r="J7" i="2"/>
  <c r="J8" i="2"/>
  <c r="J9" i="2"/>
  <c r="J10" i="2"/>
  <c r="J11" i="2"/>
  <c r="J12" i="2"/>
  <c r="J13" i="2"/>
  <c r="J14" i="2"/>
  <c r="J15" i="2"/>
  <c r="J4" i="2"/>
  <c r="K4" i="2" s="1"/>
  <c r="M5" i="2" l="1"/>
  <c r="N5" i="2" s="1"/>
  <c r="O5" i="2"/>
  <c r="M4" i="2"/>
  <c r="O4" i="2" s="1"/>
  <c r="N4" i="2" l="1"/>
</calcChain>
</file>

<file path=xl/sharedStrings.xml><?xml version="1.0" encoding="utf-8"?>
<sst xmlns="http://schemas.openxmlformats.org/spreadsheetml/2006/main" count="364" uniqueCount="291">
  <si>
    <t xml:space="preserve">MATRIZ DE IDENTIFICACION DE PELIGROS 
COMPAÑÍA OPOITA DE FRIOS SAS </t>
  </si>
  <si>
    <t xml:space="preserve">PROCESO </t>
  </si>
  <si>
    <t>Actividad</t>
  </si>
  <si>
    <t>Peligro</t>
  </si>
  <si>
    <t xml:space="preserve">Tipo de peligro </t>
  </si>
  <si>
    <t xml:space="preserve">Fuente </t>
  </si>
  <si>
    <t xml:space="preserve">Consecuencia </t>
  </si>
  <si>
    <t>ND (Nivel Deficiencia)</t>
  </si>
  <si>
    <t>NE (Nivel Exposicion)</t>
  </si>
  <si>
    <t>NP (Nivel de Probabilidad)</t>
  </si>
  <si>
    <t>INP (Interpretacion)</t>
  </si>
  <si>
    <t>NC (Nivel de Consecuencia)</t>
  </si>
  <si>
    <t>NR (Nivel del Riesgo)</t>
  </si>
  <si>
    <t>NTERPRETACIÓN DEL NIVEL DE RIESGO (NR)</t>
  </si>
  <si>
    <t xml:space="preserve">Aceptabilidad </t>
  </si>
  <si>
    <t>Controles</t>
  </si>
  <si>
    <t xml:space="preserve">Controles a implementar  </t>
  </si>
  <si>
    <t xml:space="preserve">Responsable </t>
  </si>
  <si>
    <t xml:space="preserve">fecha </t>
  </si>
  <si>
    <t xml:space="preserve">Producción de hielo y agua </t>
  </si>
  <si>
    <t>Manejo de cloro</t>
  </si>
  <si>
    <t>Sustancias químicas</t>
  </si>
  <si>
    <t>Químico</t>
  </si>
  <si>
    <t>Cloro</t>
  </si>
  <si>
    <t xml:space="preserve">Intoxicacion, Quemaduras </t>
  </si>
  <si>
    <t>Sustitución, EPP, capacitación</t>
  </si>
  <si>
    <t>SST</t>
  </si>
  <si>
    <t>Operación de bombas</t>
  </si>
  <si>
    <t>Partes móviles</t>
  </si>
  <si>
    <t>Mecánico</t>
  </si>
  <si>
    <t>Guardas, mantenimiento</t>
  </si>
  <si>
    <t>Áreas húmedas</t>
  </si>
  <si>
    <t>Piso resbaloso</t>
  </si>
  <si>
    <t>Locativo</t>
  </si>
  <si>
    <t>Señalización</t>
  </si>
  <si>
    <t>Operación de compresores</t>
  </si>
  <si>
    <t>Fuga de amoníaco</t>
  </si>
  <si>
    <t>Detectores NH₃, ventilación</t>
  </si>
  <si>
    <t>Mantenimiento</t>
  </si>
  <si>
    <t>Contacto NH₃</t>
  </si>
  <si>
    <t>Permisos, SCBA</t>
  </si>
  <si>
    <t xml:space="preserve">ingreso a cuartos frios </t>
  </si>
  <si>
    <t>Bajas temperaturas</t>
  </si>
  <si>
    <t>Físico</t>
  </si>
  <si>
    <t>Ropa térmica</t>
  </si>
  <si>
    <t>comercializacion</t>
  </si>
  <si>
    <t>Tránsito interno</t>
  </si>
  <si>
    <t>Atropellamiento</t>
  </si>
  <si>
    <t>Demarcación</t>
  </si>
  <si>
    <t>Conducción moto</t>
  </si>
  <si>
    <t>Accidente de tránsito</t>
  </si>
  <si>
    <t>Vial</t>
  </si>
  <si>
    <t>PESV, casco certificado</t>
  </si>
  <si>
    <t>Conducción vehículo</t>
  </si>
  <si>
    <t>Colisión</t>
  </si>
  <si>
    <t>Fatiga</t>
  </si>
  <si>
    <t>Jornadas extensas</t>
  </si>
  <si>
    <t>Psicosocial</t>
  </si>
  <si>
    <t>Pausas</t>
  </si>
  <si>
    <t xml:space="preserve">limpieza y desinfeccion </t>
  </si>
  <si>
    <t>Uso de químicos</t>
  </si>
  <si>
    <t>Vapores</t>
  </si>
  <si>
    <t>EPP, ventilación</t>
  </si>
  <si>
    <t xml:space="preserve">mantenimiento </t>
  </si>
  <si>
    <t>Trabajo en altura</t>
  </si>
  <si>
    <t>Caídas</t>
  </si>
  <si>
    <t>Escaleras certificadas</t>
  </si>
  <si>
    <t>INTERPRETACIÓN NIVEL DEL PROBALIDAD</t>
  </si>
  <si>
    <t>INTERPTETACION NIVEL DE RIESGO Y ACEPTABILIDAD</t>
  </si>
  <si>
    <t>Rango Min</t>
  </si>
  <si>
    <t>Rango Max</t>
  </si>
  <si>
    <t>Interpretación (INP)</t>
  </si>
  <si>
    <t>Valor Min</t>
  </si>
  <si>
    <t>Nivel</t>
  </si>
  <si>
    <t>Interpretación del Riesgo</t>
  </si>
  <si>
    <t>Aceptabilidad</t>
  </si>
  <si>
    <t>Bajo</t>
  </si>
  <si>
    <t>IV</t>
  </si>
  <si>
    <t>IV. Mantener las medidas de control existentes, pero se deberían considerar soluciones o mejoras y se deben hacer comprobaciones periódicas para asegurar que el riesgo aún es tolerable.</t>
  </si>
  <si>
    <t>Aceptable</t>
  </si>
  <si>
    <t>Medio</t>
  </si>
  <si>
    <t>III</t>
  </si>
  <si>
    <t xml:space="preserve">III. Mejorar si es posible.  Sería conveniente justificar la intervención y su rentabilidad. </t>
  </si>
  <si>
    <t>Alto</t>
  </si>
  <si>
    <t>II</t>
  </si>
  <si>
    <t>II .Corregir y adoptar medidas de control inmediato.  Sin embargo, suspenda actividades si el nivel de consecuencia está por encima de 60.</t>
  </si>
  <si>
    <t>No Aceptable</t>
  </si>
  <si>
    <t>Muy Alto</t>
  </si>
  <si>
    <t>I</t>
  </si>
  <si>
    <t>I. Situación crítica.  Suspender actividades hasta que el riesgo esté bajo control.  Intervención urgente.</t>
  </si>
  <si>
    <t xml:space="preserve">MATRIZ DE IDENTIFICACIÓN DE PELIGROS </t>
  </si>
  <si>
    <t>COFRIO SAS</t>
  </si>
  <si>
    <r>
      <rPr>
        <b/>
        <sz val="14"/>
        <rFont val="Arial"/>
        <family val="2"/>
      </rPr>
      <t>Revisión inicial:</t>
    </r>
    <r>
      <rPr>
        <sz val="14"/>
        <rFont val="Arial"/>
        <family val="2"/>
      </rPr>
      <t xml:space="preserve">  07/02/2022</t>
    </r>
  </si>
  <si>
    <r>
      <rPr>
        <b/>
        <sz val="14"/>
        <rFont val="Arial"/>
        <family val="2"/>
      </rPr>
      <t xml:space="preserve">Actualización: </t>
    </r>
    <r>
      <rPr>
        <sz val="14"/>
        <rFont val="Arial"/>
        <family val="2"/>
      </rPr>
      <t>Cada año o cuando existan cambios en el proceso.</t>
    </r>
  </si>
  <si>
    <t>Nivel de Riesgo y de intervención NR = NP X NC</t>
  </si>
  <si>
    <t>Nivel de Probabilidad (NP)</t>
  </si>
  <si>
    <t>40-24</t>
  </si>
  <si>
    <t>20-10</t>
  </si>
  <si>
    <t>8-6</t>
  </si>
  <si>
    <t>4-2</t>
  </si>
  <si>
    <t>Nivel de Consecuencias (NC)</t>
  </si>
  <si>
    <t>I
4000 -2400</t>
  </si>
  <si>
    <t>I
2000-1200</t>
  </si>
  <si>
    <t>I
800-600</t>
  </si>
  <si>
    <t>II
400-200</t>
  </si>
  <si>
    <t>I
2400-1440</t>
  </si>
  <si>
    <t>I
1200-600</t>
  </si>
  <si>
    <r>
      <t xml:space="preserve">II
480-360                                                 </t>
    </r>
    <r>
      <rPr>
        <sz val="10"/>
        <color indexed="8"/>
        <rFont val="Arial"/>
        <family val="2"/>
      </rPr>
      <t xml:space="preserve">                                                  </t>
    </r>
  </si>
  <si>
    <t>II 240 - III 120</t>
  </si>
  <si>
    <t xml:space="preserve">I
1000-600                      </t>
  </si>
  <si>
    <t>II
500-250</t>
  </si>
  <si>
    <t>II
200-150</t>
  </si>
  <si>
    <t>III
100-50</t>
  </si>
  <si>
    <t>II
400-240</t>
  </si>
  <si>
    <t>II 200 - III 100</t>
  </si>
  <si>
    <t>III
80-60</t>
  </si>
  <si>
    <t>III 40 - VI 20</t>
  </si>
  <si>
    <t>De acuerdo a la resolución1072 DE 2015, la organización determina el riesgo y el nivel de riesgo para los peligros psicosociales a través de la aplicación de las baterías.</t>
  </si>
  <si>
    <t>INSTRUCCIONES PARA DILIGENCIAR EL FORMATO MATRIZ DE PELIGROS</t>
  </si>
  <si>
    <r>
      <rPr>
        <b/>
        <sz val="10"/>
        <color indexed="8"/>
        <rFont val="Arial"/>
        <family val="2"/>
      </rPr>
      <t>PROCESO:</t>
    </r>
    <r>
      <rPr>
        <sz val="10"/>
        <color indexed="8"/>
        <rFont val="Arial"/>
        <family val="2"/>
      </rPr>
      <t xml:space="preserve"> Especifique el proceso donde se están identificando las condiciones de trabajo.</t>
    </r>
  </si>
  <si>
    <t>Nivel de Deficiencia</t>
  </si>
  <si>
    <t>ND</t>
  </si>
  <si>
    <t>Significado</t>
  </si>
  <si>
    <t>Muy Alto (MA)</t>
  </si>
  <si>
    <t>Se han detectado peligros que determinan como muy posible la generación de incidentes, o la eficacia del conjunto de medidas preventivas existentes respecto al riesgo es nula o no existe o ambos.</t>
  </si>
  <si>
    <r>
      <rPr>
        <b/>
        <sz val="10"/>
        <color indexed="8"/>
        <rFont val="Arial"/>
        <family val="2"/>
      </rPr>
      <t>ACTIVIDAD:</t>
    </r>
    <r>
      <rPr>
        <sz val="10"/>
        <color indexed="8"/>
        <rFont val="Arial"/>
        <family val="2"/>
      </rPr>
      <t xml:space="preserve"> Marque con un X el tipo de actividad.</t>
    </r>
  </si>
  <si>
    <r>
      <rPr>
        <b/>
        <sz val="10"/>
        <color indexed="8"/>
        <rFont val="Arial"/>
        <family val="2"/>
      </rPr>
      <t>ACTIVIDAD RUTINARIA:</t>
    </r>
    <r>
      <rPr>
        <sz val="10"/>
        <color indexed="8"/>
        <rFont val="Arial"/>
        <family val="2"/>
      </rPr>
      <t xml:space="preserve"> Actividad que forma parte de la operación normal de la organización, se ha planificado y es estandarizable.</t>
    </r>
  </si>
  <si>
    <t>Alto (A)</t>
  </si>
  <si>
    <t>Se han detectado algunos peligros que pueden dar lugar a consecuencias significativas, o la eficacia del conjunto de medidas preventivas existentes es baja, o ambos.</t>
  </si>
  <si>
    <r>
      <rPr>
        <b/>
        <sz val="10"/>
        <color indexed="8"/>
        <rFont val="Arial"/>
        <family val="2"/>
      </rPr>
      <t>ACTIVIDAD NO RUTINARIA:</t>
    </r>
    <r>
      <rPr>
        <sz val="10"/>
        <color indexed="8"/>
        <rFont val="Arial"/>
        <family val="2"/>
      </rPr>
      <t xml:space="preserve"> Actividad que no forma parte de la operación normal de la organización, que no estandarizable debido a la diversidad de escenarios y condiciones bajo las cuales pudiera presentarse.</t>
    </r>
  </si>
  <si>
    <t>Medio (M)</t>
  </si>
  <si>
    <t>Se han detectado peligros que pueden dar lugar a consecuencias poco significativas o de menor importancia, o la eficacia del conjunto de medidas preventivas existentes es moderada, o ambos.</t>
  </si>
  <si>
    <r>
      <rPr>
        <b/>
        <sz val="10"/>
        <color indexed="8"/>
        <rFont val="Arial"/>
        <family val="2"/>
      </rPr>
      <t>EXPUESTOS</t>
    </r>
    <r>
      <rPr>
        <sz val="10"/>
        <color indexed="8"/>
        <rFont val="Arial"/>
        <family val="2"/>
      </rPr>
      <t>: Escriba el número de personas expuestas directa a un(os) peligro(s).  Especifique si son de vinculados, temporales, de cooperativas o independientes.</t>
    </r>
  </si>
  <si>
    <t>Bajo (B)</t>
  </si>
  <si>
    <t>No se asigna valor</t>
  </si>
  <si>
    <t>No se ha detectado anomalía destacable alguna, o la eficacia del conjunto de medidas preventivas existentes es alta, o ambos.  El riesgo está controlado.</t>
  </si>
  <si>
    <r>
      <rPr>
        <b/>
        <sz val="10"/>
        <color indexed="8"/>
        <rFont val="Arial"/>
        <family val="2"/>
      </rPr>
      <t>PELIGRO:</t>
    </r>
    <r>
      <rPr>
        <sz val="10"/>
        <color indexed="8"/>
        <rFont val="Arial"/>
        <family val="2"/>
      </rPr>
      <t xml:space="preserve"> Fuente, situación o acto con potencial de daño en términos de enfermedad o lesión a las personas, o una combinación de estos (NTC OHSAS 18001).</t>
    </r>
  </si>
  <si>
    <r>
      <rPr>
        <b/>
        <sz val="10"/>
        <color indexed="8"/>
        <rFont val="Arial"/>
        <family val="2"/>
      </rPr>
      <t>RIESGO</t>
    </r>
    <r>
      <rPr>
        <sz val="10"/>
        <color indexed="8"/>
        <rFont val="Arial"/>
        <family val="2"/>
      </rPr>
      <t>: . Combinación de la probabilidad de que ocurra un(os) evento(s)  o exposición(es) peligroso(s), y la severidad de lesión o enfermedad, que puede ser causado  por el (los) evento(s) o la(s) exposición(es) (NTC-OHSAS 18001).</t>
    </r>
  </si>
  <si>
    <t>Nivel de Exposición (NE)</t>
  </si>
  <si>
    <t>NE</t>
  </si>
  <si>
    <t>Continua (EC)</t>
  </si>
  <si>
    <t>La situación de exposición se presenta sin interrupción o varias veces con tiempo prolongado durante la jornada laboral.</t>
  </si>
  <si>
    <r>
      <rPr>
        <b/>
        <sz val="10"/>
        <color indexed="8"/>
        <rFont val="Arial"/>
        <family val="2"/>
      </rPr>
      <t>EFECTOS POSIBLES:</t>
    </r>
    <r>
      <rPr>
        <sz val="10"/>
        <color indexed="8"/>
        <rFont val="Arial"/>
        <family val="2"/>
      </rPr>
      <t xml:space="preserve"> Describa los efectos que reflejen las consecuencias de cada peligro identificado, es decir que se tengan en cuenta consecuencias a corto plazo como los de seguridad (accidente de trabajo), y las de largo plazo como las enfermedades.</t>
    </r>
  </si>
  <si>
    <t>Frecuente (EF)</t>
  </si>
  <si>
    <t>La situación de exposición se presenta varias veces durante la jornada laboral por tiempos cortos.</t>
  </si>
  <si>
    <t>Ocasional (EO)</t>
  </si>
  <si>
    <t>La situación de exposición se presenta alguna vez durante la jornada laboral y por un periodo de tiempo corto.</t>
  </si>
  <si>
    <t>Esporádica (EE)</t>
  </si>
  <si>
    <t>La situación de exposición se presenta de manera eventual.</t>
  </si>
  <si>
    <r>
      <rPr>
        <b/>
        <sz val="10"/>
        <color indexed="8"/>
        <rFont val="Arial"/>
        <family val="2"/>
      </rPr>
      <t>CONDICIONES DE HIGIENE:</t>
    </r>
    <r>
      <rPr>
        <sz val="10"/>
        <color indexed="8"/>
        <rFont val="Arial"/>
        <family val="2"/>
      </rPr>
      <t xml:space="preserve"> Son los peligros físicos, químicos, y biológicos que puedan generar enfermedades.</t>
    </r>
  </si>
  <si>
    <t>NP</t>
  </si>
  <si>
    <r>
      <rPr>
        <b/>
        <sz val="10"/>
        <color indexed="8"/>
        <rFont val="Arial"/>
        <family val="2"/>
      </rPr>
      <t>CONDICIONES PSICOSOCIALES:</t>
    </r>
    <r>
      <rPr>
        <sz val="10"/>
        <color indexed="8"/>
        <rFont val="Arial"/>
        <family val="2"/>
      </rPr>
      <t xml:space="preserve">  Comprenden los aspectos intralaborales, los extralaborales o externos de la organización y las condiciones individuales o características intrínsecas del trabajador, los cuales en una interrelación dinámica, mediante percepciones y experiencias, influyen en la salud y el desempeño de las personas. Para el objeto de este instrumento no se incluirá la identificación de factor de riesgo sicosocial pues esta requiere el uso de otras herramientas especializadas.</t>
    </r>
  </si>
  <si>
    <t>Entre 40 y 24</t>
  </si>
  <si>
    <t>Situación deficiente con exposición continua, o muy deficiente con exposición frecuente.  Normalmente la materialización del riesgo ocurre con frecuencia.</t>
  </si>
  <si>
    <t>Entre 20 y 10</t>
  </si>
  <si>
    <t>Situación deficiente con exposición frecuente u ocasional, o bien situación muy deficiente con exposición ocasional o esporádica.  La materialización del riesgo es posible que suceda varias veces en la vida laboral.</t>
  </si>
  <si>
    <r>
      <rPr>
        <b/>
        <sz val="10"/>
        <color indexed="8"/>
        <rFont val="Arial"/>
        <family val="2"/>
      </rPr>
      <t>CONDICIONES BIOMECÁNICAS:</t>
    </r>
    <r>
      <rPr>
        <sz val="10"/>
        <color indexed="8"/>
        <rFont val="Arial"/>
        <family val="2"/>
      </rPr>
      <t xml:space="preserve"> Son los peligros de carga dinámica o estática que pueden desencadenar incidentes y enfermedades.</t>
    </r>
  </si>
  <si>
    <t>Entre 8 y 10</t>
  </si>
  <si>
    <t>Situación deficiente con exposición esporádica, o bien situación mejorable con exposición continuada o frecuente.  Es posible que suceda el daño alguna vez.</t>
  </si>
  <si>
    <r>
      <rPr>
        <b/>
        <sz val="10"/>
        <color indexed="8"/>
        <rFont val="Arial"/>
        <family val="2"/>
      </rPr>
      <t>CONDICIONES DE SEGURIDAD:</t>
    </r>
    <r>
      <rPr>
        <sz val="10"/>
        <color indexed="8"/>
        <rFont val="Arial"/>
        <family val="2"/>
      </rPr>
      <t xml:space="preserve"> Son los peligros mecánicos, eléctricos, locativos, tecnológicos y de tránsito que puedan desencadenar incidentes.</t>
    </r>
  </si>
  <si>
    <t>Entre 4 y 2</t>
  </si>
  <si>
    <t xml:space="preserve">Situación mejorable con exposición ocasional o esporádica, o situación sin anomalía destacable con cualquier nivel de exposición.  No es esperable que se materialice el riesgo, aunque puede ser concebible. </t>
  </si>
  <si>
    <r>
      <t xml:space="preserve">RENDIMIENTOS NATURALES: </t>
    </r>
    <r>
      <rPr>
        <sz val="10"/>
        <color indexed="8"/>
        <rFont val="Arial"/>
        <family val="2"/>
      </rPr>
      <t>Son los fenómenos naturales que afectan la seguridad y bienestar de las personas en el desarrollo de una actividad.</t>
    </r>
  </si>
  <si>
    <t>NC</t>
  </si>
  <si>
    <t>Significado
Daños Personales</t>
  </si>
  <si>
    <t>CONDICIONES DE HIGIENE</t>
  </si>
  <si>
    <t>CONDICIONES PSICOSOCIALES</t>
  </si>
  <si>
    <t>CONDICIONES BIOMECÁNICAS</t>
  </si>
  <si>
    <t>Mortal o catastrófico (M)</t>
  </si>
  <si>
    <t>Muerte (s).</t>
  </si>
  <si>
    <t>Muy Grave</t>
  </si>
  <si>
    <t>Lesiones graves irreparables (incapacidad permanente parcial o invalidez).</t>
  </si>
  <si>
    <t>BIOLÓGICO</t>
  </si>
  <si>
    <t>Gestión organizacional (estilo de mando, pago, contratación, participación, inducción y capacitación, bienestar social, evaluación del desempeño, manejo de cambios)</t>
  </si>
  <si>
    <t>Postura (prolongada mantenida, forzada, antigravitaciones)</t>
  </si>
  <si>
    <t>Grave</t>
  </si>
  <si>
    <t>Lesiones con incapacidad laboral temporal.</t>
  </si>
  <si>
    <t>Virus</t>
  </si>
  <si>
    <t>Leve</t>
  </si>
  <si>
    <t>Lesiones que no requieren hospitalización.</t>
  </si>
  <si>
    <t>Bacterias</t>
  </si>
  <si>
    <t>Esfuerzo</t>
  </si>
  <si>
    <t>Hongos</t>
  </si>
  <si>
    <t>Movimiento repetitivo</t>
  </si>
  <si>
    <t>Ricketsias</t>
  </si>
  <si>
    <t>Manipulación manual de cargas</t>
  </si>
  <si>
    <t>Parásitos</t>
  </si>
  <si>
    <t>CONDICIONES DE SEGURIDAD</t>
  </si>
  <si>
    <t>Picaduras</t>
  </si>
  <si>
    <t>Características de la organización del trabajo (comunicación, tecnología, organización del trabajo, demandas cualitativas y cuantitativas de la labor)</t>
  </si>
  <si>
    <t>Mecánico (elementos de máquinas, herramientas, piezas a trabajar, materiales proyectados sólidos o fluídos)</t>
  </si>
  <si>
    <t>II
480-360</t>
  </si>
  <si>
    <t>II - III</t>
  </si>
  <si>
    <t>Mordeduras</t>
  </si>
  <si>
    <t>I
1000-600</t>
  </si>
  <si>
    <t>Fluidos o excrementos</t>
  </si>
  <si>
    <t>III - IV</t>
  </si>
  <si>
    <t>FÍSICO</t>
  </si>
  <si>
    <t>Ruido (impacto, intermitente y continuo)</t>
  </si>
  <si>
    <t>Eléctrico (alta y baja tensión, estática)</t>
  </si>
  <si>
    <t>Nivel de Riesgo y de intervención</t>
  </si>
  <si>
    <t>NR</t>
  </si>
  <si>
    <t>Iluminación (luz visible por exceso o deficiencia)</t>
  </si>
  <si>
    <t>Características del grupo social del trabajo (relaciones, cohesión, calidad de interacciones, trabajo en equipo)</t>
  </si>
  <si>
    <t>Locativo (trabajo en alturas, trabajo en espacios confinados, almacenamiento, superficies de trabajo (irregularidades, deslizantes, con diferencia de nivel, condiciones de orden y aseo, caída de objetos)</t>
  </si>
  <si>
    <t>4000-600</t>
  </si>
  <si>
    <t>Situación crítica.  Suspender actividades hasta que el riesgo esté bajo control.  Intervención urgente.</t>
  </si>
  <si>
    <t>500-150</t>
  </si>
  <si>
    <t>Corregir y adoptar medidas de control inmediato.  Sin embargo, suspenda actividades si el nivel de consecuencia está por encima de 60.</t>
  </si>
  <si>
    <t>Vibración (cuerpo entero, segmentaria)</t>
  </si>
  <si>
    <t>120-40</t>
  </si>
  <si>
    <t xml:space="preserve">Mejorar si es posible.  Sería conveniente justificar la intervención y su rentabilidad. </t>
  </si>
  <si>
    <t>Mantener las medidas de control existentes, pero se deberían considerar soluciones o mejoras y se deben hacer comprobaciones periódicas para asegurar que el riesgo aún es tolerable.</t>
  </si>
  <si>
    <t>Temperaturas externas (calor y frío)</t>
  </si>
  <si>
    <t>Condiciones de la tarea (carga mental, contenido de la tarea, demandas emocionales, sistemas de control, definición de roles)</t>
  </si>
  <si>
    <t>ACEPTABILIDAD DEL RIESGO:</t>
  </si>
  <si>
    <t>Presión atmosférica (normal y ajustada)</t>
  </si>
  <si>
    <t>Tecnológico (explosión, fuga, derrame, incendio)</t>
  </si>
  <si>
    <t>Nivel de Riesgo (NR)</t>
  </si>
  <si>
    <t>Radiaciones ionizantes (rayos x, gama, beta y alfa)</t>
  </si>
  <si>
    <t>Público (tránsito, delincuencia común, agresiones)</t>
  </si>
  <si>
    <t>Interfase persona tarea (conocimientos, habilidades con relación a la demanda de la tarea, iniciativa, autonomía y reconocimiento, identificación de la persona con la tarea y la organización)</t>
  </si>
  <si>
    <t>Radiaciones no ionizantes (láser, ultravioleta, infraroja)</t>
  </si>
  <si>
    <t>RENDIMIENTOS NATURALES</t>
  </si>
  <si>
    <t>Sismo</t>
  </si>
  <si>
    <t>Disconfor térmico</t>
  </si>
  <si>
    <t>Terremoto</t>
  </si>
  <si>
    <r>
      <rPr>
        <b/>
        <sz val="10"/>
        <color indexed="8"/>
        <rFont val="Arial"/>
        <family val="2"/>
      </rPr>
      <t>MEDIDAS DE INTERVENCIÓN:</t>
    </r>
    <r>
      <rPr>
        <sz val="10"/>
        <color indexed="8"/>
        <rFont val="Arial"/>
        <family val="2"/>
      </rPr>
      <t xml:space="preserve"> Describa si se necesitan controles nuevos o mejorados según la jerarquía descrita considerando los costos relativos, los beneficios de la reducción de riesgos y la confiabilidad de las opciones disponibles.  Algunos ejemplos de estos son:</t>
    </r>
  </si>
  <si>
    <t>QUÍMICO</t>
  </si>
  <si>
    <t>Vendaval</t>
  </si>
  <si>
    <t>Polvos orgánicos e inorgánicos</t>
  </si>
  <si>
    <t>Inundación</t>
  </si>
  <si>
    <r>
      <rPr>
        <b/>
        <sz val="10"/>
        <color indexed="8"/>
        <rFont val="Arial"/>
        <family val="2"/>
      </rPr>
      <t>ELIMINACIÓN:</t>
    </r>
    <r>
      <rPr>
        <sz val="10"/>
        <color indexed="8"/>
        <rFont val="Arial"/>
        <family val="2"/>
      </rPr>
      <t xml:space="preserve"> Modificar un diseño para eliminar el peligro, por ejemplo, introducir dispositivos mecánicos de alzamiento para eliminar el peligro de manipulación manual.</t>
    </r>
  </si>
  <si>
    <t>Fibras</t>
  </si>
  <si>
    <t>Derrumbe</t>
  </si>
  <si>
    <r>
      <rPr>
        <b/>
        <sz val="10"/>
        <color indexed="8"/>
        <rFont val="Arial"/>
        <family val="2"/>
      </rPr>
      <t>SUSTITUCIÓN:</t>
    </r>
    <r>
      <rPr>
        <sz val="10"/>
        <color indexed="8"/>
        <rFont val="Arial"/>
        <family val="2"/>
      </rPr>
      <t xml:space="preserve"> Sustituir por un material menos peligroso o reducir la energía del sistema (por ejemplo, reducir la fuerza, el amperaje, la presión, la temperatura, etc.).</t>
    </r>
  </si>
  <si>
    <t>Líquidos (nieblas y rocíos)</t>
  </si>
  <si>
    <t>Jornada de trabajo (pausas, trabajo nocturno, rotación, horas extras, descansos)</t>
  </si>
  <si>
    <t>Precipitaciones (lluvias, granizadas, heladas)</t>
  </si>
  <si>
    <r>
      <rPr>
        <b/>
        <sz val="10"/>
        <color indexed="8"/>
        <rFont val="Arial"/>
        <family val="2"/>
      </rPr>
      <t xml:space="preserve">CONTROLES DE INGENIERÍA: </t>
    </r>
    <r>
      <rPr>
        <sz val="10"/>
        <color indexed="8"/>
        <rFont val="Arial"/>
        <family val="2"/>
      </rPr>
      <t>Instalar sistemas de ventilación, protección para las máquinas, enclavamiento, cerramientos acústicos, etc.</t>
    </r>
  </si>
  <si>
    <t>Gases y vapores</t>
  </si>
  <si>
    <r>
      <rPr>
        <b/>
        <sz val="10"/>
        <color indexed="8"/>
        <rFont val="Arial"/>
        <family val="2"/>
      </rPr>
      <t>SEÑALIZACIÓN, ADVERTENCIAS, Y/O CONTROLES ADMINISTRATIVOS:</t>
    </r>
    <r>
      <rPr>
        <sz val="10"/>
        <color indexed="8"/>
        <rFont val="Arial"/>
        <family val="2"/>
      </rPr>
      <t xml:space="preserve"> Instalación de alarmas, procedimientos de seguridad, inspecciones de los equipos, controles de acceso, capacitación del personal.</t>
    </r>
  </si>
  <si>
    <t>Humos metálicos y no metálicos</t>
  </si>
  <si>
    <t>Material particulado</t>
  </si>
  <si>
    <r>
      <rPr>
        <b/>
        <sz val="10"/>
        <color indexed="8"/>
        <rFont val="Arial"/>
        <family val="2"/>
      </rPr>
      <t>EQUIPOS DE PROTECCIÓN PERSONAL:</t>
    </r>
    <r>
      <rPr>
        <sz val="10"/>
        <color indexed="8"/>
        <rFont val="Arial"/>
        <family val="2"/>
      </rPr>
      <t xml:space="preserve"> Gafas de seguridad, protección auditiva, máscaras faciales, sistemas de detención de caídas, respiradores y guantes.</t>
    </r>
  </si>
  <si>
    <r>
      <rPr>
        <b/>
        <sz val="10"/>
        <color indexed="8"/>
        <rFont val="Arial"/>
        <family val="2"/>
      </rPr>
      <t>MEDIDAS DE CONTROL:</t>
    </r>
    <r>
      <rPr>
        <sz val="10"/>
        <color indexed="8"/>
        <rFont val="Arial"/>
        <family val="2"/>
      </rPr>
      <t xml:space="preserve"> Describa las medidas implementadas en la fuente, medio o persona con el fin de minimizar la ocurrencia de incidentes.</t>
    </r>
  </si>
  <si>
    <r>
      <rPr>
        <b/>
        <sz val="10"/>
        <color indexed="8"/>
        <rFont val="Arial"/>
        <family val="2"/>
      </rPr>
      <t>NIVEL DE RIESGO:</t>
    </r>
    <r>
      <rPr>
        <sz val="10"/>
        <color indexed="8"/>
        <rFont val="Arial"/>
        <family val="2"/>
      </rPr>
      <t xml:space="preserve"> Magnitud de un riesgo resultante del producto del Nivel de Probabilidad (NP) por el Nivel de Consecuencia (NC).</t>
    </r>
  </si>
  <si>
    <r>
      <rPr>
        <b/>
        <sz val="10"/>
        <color indexed="8"/>
        <rFont val="Arial"/>
        <family val="2"/>
      </rPr>
      <t>EVALUACIÓN DEL RIESGO:</t>
    </r>
    <r>
      <rPr>
        <sz val="10"/>
        <color indexed="8"/>
        <rFont val="Arial"/>
        <family val="2"/>
      </rPr>
      <t xml:space="preserve"> Proceso para determinar el nivel de riesgo asociado al nivel de probabilidad y el nivel de consecuencia. </t>
    </r>
  </si>
  <si>
    <r>
      <rPr>
        <b/>
        <sz val="10"/>
        <color indexed="8"/>
        <rFont val="Arial"/>
        <family val="2"/>
      </rPr>
      <t>NIVEL DE DEFICIENCIA (ND):</t>
    </r>
    <r>
      <rPr>
        <sz val="10"/>
        <color indexed="8"/>
        <rFont val="Arial"/>
        <family val="2"/>
      </rPr>
      <t xml:space="preserve"> Es la magnitud de la relación esperable entre (1) el conjunto de peligros detectados y su relación causal directa con posibles incidentes y (2) con la eficacia de las medidas preventivas existentes en un lugar de trabajo. </t>
    </r>
  </si>
  <si>
    <r>
      <rPr>
        <b/>
        <sz val="10"/>
        <color indexed="8"/>
        <rFont val="Arial"/>
        <family val="2"/>
      </rPr>
      <t>NIVEL DE EXPOSICIÓN (NE):</t>
    </r>
    <r>
      <rPr>
        <sz val="10"/>
        <color indexed="8"/>
        <rFont val="Arial"/>
        <family val="2"/>
      </rPr>
      <t xml:space="preserve"> Es la situación de exposición a un riesgo que se presenta en un tiempo determinado durante la jornada laboral.</t>
    </r>
  </si>
  <si>
    <r>
      <rPr>
        <b/>
        <sz val="10"/>
        <color indexed="8"/>
        <rFont val="Arial"/>
        <family val="2"/>
      </rPr>
      <t>NIVEL DE PROBABILIDAD (NP):</t>
    </r>
    <r>
      <rPr>
        <sz val="10"/>
        <color indexed="8"/>
        <rFont val="Arial"/>
        <family val="2"/>
      </rPr>
      <t xml:space="preserve"> Es el producto del Nivel de Deficiencia (ND) por el Nivel de Exposición (NE).</t>
    </r>
  </si>
  <si>
    <r>
      <rPr>
        <b/>
        <sz val="10"/>
        <color indexed="8"/>
        <rFont val="Arial"/>
        <family val="2"/>
      </rPr>
      <t>NIVEL DE CONSECUENCIA (NC):</t>
    </r>
    <r>
      <rPr>
        <sz val="10"/>
        <color indexed="8"/>
        <rFont val="Arial"/>
        <family val="2"/>
      </rPr>
      <t xml:space="preserve"> Es una medida de la severidad de las consecuencias.</t>
    </r>
  </si>
  <si>
    <t>PROCESO</t>
  </si>
  <si>
    <t>ACTIVIDAD</t>
  </si>
  <si>
    <t>TAREA</t>
  </si>
  <si>
    <t>PELIGRO</t>
  </si>
  <si>
    <t>TIPO DE PELIGRO</t>
  </si>
  <si>
    <t>FUENTE</t>
  </si>
  <si>
    <t>CONSECUENCIA</t>
  </si>
  <si>
    <t>ND =I4*I2</t>
  </si>
  <si>
    <t>NIVEL DE RIESGO</t>
  </si>
  <si>
    <t>ACEPTABILIDAD</t>
  </si>
  <si>
    <t>CONTROLES EXISTENTES</t>
  </si>
  <si>
    <t>CONTROLES A IMPLEMENTAR</t>
  </si>
  <si>
    <t>RESPONSABLE</t>
  </si>
  <si>
    <t>FECHA</t>
  </si>
  <si>
    <t xml:space="preserve">PLAN DE INTERVENCION </t>
  </si>
  <si>
    <t xml:space="preserve">PRODUCCION DE AGUA </t>
  </si>
  <si>
    <t xml:space="preserve">TRATAMIENTO </t>
  </si>
  <si>
    <t xml:space="preserve">MANEJO DE CLORO </t>
  </si>
  <si>
    <t xml:space="preserve">SUSTANCIAS QUIMICAS </t>
  </si>
  <si>
    <t>QUIMICO</t>
  </si>
  <si>
    <t>CLORO</t>
  </si>
  <si>
    <t xml:space="preserve">INTOXICACION, QUEMADURAS </t>
  </si>
  <si>
    <t xml:space="preserve">MUY ALTO </t>
  </si>
  <si>
    <t xml:space="preserve">NO ACEPTABLE </t>
  </si>
  <si>
    <t>FDS</t>
  </si>
  <si>
    <t>EPP, VENTILACION/CAPACITACION</t>
  </si>
  <si>
    <t>VENTILACION/CAPACITACION</t>
  </si>
  <si>
    <t>Proceso | Actividad | Tarea | Peligro | Tipo de Peligro | Fuente | Consecuencia | ND | NE | NP | NC | NR | Nivel de Riesgo | Aceptabilidad | Controles Existentes | Controles a Implementar | Responsable | Fecha</t>
  </si>
  <si>
    <t>Producción de agua | Tratamiento | Manejo de cloro | Sustancias químicas | Químico | Cloro | Intoxicación, quemaduras | 6 | 3 | 18 | 60 | 1080 | Muy Alto | No Aceptable | FDS | EPP, ventilación, capacitación | SST | 2026</t>
  </si>
  <si>
    <t>Producción de agua | Operación | Bombas | Partes móviles | Mecánico | Equipos | Golpes, atrapamientos | 2 | 3 | 6 | 25 | 150 | Medio | Aceptable con control | Guardas | Mantenimiento | SST | 2026</t>
  </si>
  <si>
    <t>Producción de agua | Limpieza | Pisos húmedos | Superficies resbalosas | Locativo | Agua | Caídas | 2 | 3 | 6 | 25 | 150 | Medio | Aceptable con control | Drenajes | Señalización | SST | 2026</t>
  </si>
  <si>
    <t>Producción de hielo | Operación | Compresores | Fuga de amoníaco | Químico | NH3 | Asfixia, muerte | 10 | 3 | 30 | 100 | 3000 | Muy Alto | No Aceptable | Mantenimiento | Detectores, ventilación | SST | 2026</t>
  </si>
  <si>
    <t>Producción de hielo | Mantenimiento | Tuberías | Contacto NH3 | Químico | NH3 | Quemaduras químicas | 10 | 2 | 20 | 100 | 2000 | Muy Alto | No Aceptable | Procedimientos | SCBA, permisos | SST | 2026</t>
  </si>
  <si>
    <t>Producción de hielo | Operación | Cámaras frías | Bajas temperaturas | Físico | Frío | Hipotermia | 6 | 3 | 18 | 60 | 1080 | Muy Alto | No Aceptable | Ropa térmica | Pausas, rotación | SST | 2026</t>
  </si>
  <si>
    <t>Bodega | Estiba | Apilamiento | Caída de objetos | Mecánico | Carga | Golpes | 6 | 2 | 12 | 25 | 300 | Alto | No Aceptable | Estantería | Capacitación | SST | 2026</t>
  </si>
  <si>
    <t>Bodega | Tránsito | Movilización | Atropellamiento | Locativo | Vehículos | Trauma | 6 | 2 | 12 | 60 | 720 | Alto | No Aceptable | Demarcación | Señalización | SST | 2026</t>
  </si>
  <si>
    <t>Distribución | Conducción | Moto | Accidente vial | Vial | Tránsito | Muerte | 10 | 3 | 30 | 100 | 3000 | Muy Alto | No Aceptable | Licencia | PESV, casco | SST | 2026</t>
  </si>
  <si>
    <t>Distribución | Conducción | Vehículo | Colisión | Vial | Tránsito | Lesiones graves | 6 | 3 | 18 | 100 | 1800 | Muy Alto | No Aceptable | Mantenimiento | Pausas activas | SST | 2026</t>
  </si>
  <si>
    <t>Distribución | Jornada | Fatiga | Cansancio | Psicosocial | Turnos | Accidente | 6 | 2 | 12 | 60 | 720 | Alto | No Aceptable | Horarios | Control jornadas | SST |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</si>
</sst>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0"/>
      <name val="Arial"/>
      <family val="2"/>
    </font>
    <font>
      <b/>
      <i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Arial"/>
      <family val="2"/>
    </font>
    <font>
      <b/>
      <sz val="14"/>
      <color indexed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4"/>
      <color indexed="8"/>
      <name val="Arial"/>
      <family val="2"/>
    </font>
    <font>
      <sz val="10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6" fillId="0" borderId="7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6" fillId="0" borderId="8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4" fillId="0" borderId="10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justify" vertical="top" wrapText="1"/>
    </xf>
    <xf numFmtId="0" fontId="10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justify" vertical="top" wrapText="1"/>
    </xf>
    <xf numFmtId="0" fontId="11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justify" vertical="top" wrapText="1"/>
    </xf>
    <xf numFmtId="0" fontId="9" fillId="0" borderId="0" xfId="0" applyFont="1" applyAlignment="1">
      <alignment vertical="top" wrapText="1"/>
    </xf>
    <xf numFmtId="0" fontId="9" fillId="0" borderId="24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justify" vertical="center" wrapText="1"/>
    </xf>
    <xf numFmtId="0" fontId="11" fillId="5" borderId="1" xfId="0" applyFont="1" applyFill="1" applyBorder="1" applyAlignment="1">
      <alignment horizontal="justify" vertical="top" wrapText="1"/>
    </xf>
    <xf numFmtId="0" fontId="18" fillId="0" borderId="0" xfId="0" applyFont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9" fillId="5" borderId="0" xfId="0" applyFont="1" applyFill="1" applyAlignment="1">
      <alignment vertical="top" wrapText="1"/>
    </xf>
    <xf numFmtId="0" fontId="11" fillId="5" borderId="0" xfId="0" applyFont="1" applyFill="1" applyAlignment="1">
      <alignment horizontal="justify" vertical="top" wrapText="1"/>
    </xf>
    <xf numFmtId="0" fontId="9" fillId="5" borderId="0" xfId="0" applyFont="1" applyFill="1" applyAlignment="1">
      <alignment horizontal="justify" vertical="top" wrapText="1"/>
    </xf>
    <xf numFmtId="0" fontId="0" fillId="0" borderId="1" xfId="0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justify" vertical="top" wrapText="1"/>
    </xf>
    <xf numFmtId="0" fontId="11" fillId="5" borderId="26" xfId="0" applyFont="1" applyFill="1" applyBorder="1" applyAlignment="1">
      <alignment horizontal="center" vertical="center" wrapText="1"/>
    </xf>
    <xf numFmtId="0" fontId="11" fillId="5" borderId="25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5" borderId="0" xfId="0" applyFont="1" applyFill="1" applyAlignment="1">
      <alignment horizontal="justify" vertical="top" wrapText="1"/>
    </xf>
    <xf numFmtId="0" fontId="9" fillId="0" borderId="0" xfId="0" applyFont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11" fillId="0" borderId="28" xfId="0" applyFont="1" applyBorder="1" applyAlignment="1">
      <alignment horizontal="justify" vertical="top" wrapText="1"/>
    </xf>
    <xf numFmtId="0" fontId="11" fillId="0" borderId="1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0" xfId="0" applyFont="1" applyAlignment="1">
      <alignment horizontal="justify" vertical="top" wrapText="1"/>
    </xf>
    <xf numFmtId="0" fontId="11" fillId="0" borderId="24" xfId="0" applyFont="1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22" xfId="0" applyFont="1" applyBorder="1" applyAlignment="1">
      <alignment horizontal="center" vertical="top" wrapText="1"/>
    </xf>
    <xf numFmtId="0" fontId="11" fillId="5" borderId="0" xfId="0" applyFont="1" applyFill="1" applyAlignment="1">
      <alignment horizontal="justify" vertical="top" wrapText="1"/>
    </xf>
    <xf numFmtId="0" fontId="9" fillId="5" borderId="1" xfId="0" applyFont="1" applyFill="1" applyBorder="1" applyAlignment="1">
      <alignment horizontal="justify" vertical="top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0" fontId="9" fillId="5" borderId="19" xfId="0" applyFont="1" applyFill="1" applyBorder="1" applyAlignment="1">
      <alignment horizontal="justify" vertical="center" wrapText="1"/>
    </xf>
    <xf numFmtId="0" fontId="9" fillId="5" borderId="2" xfId="0" applyFont="1" applyFill="1" applyBorder="1" applyAlignment="1">
      <alignment horizontal="justify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9" fillId="0" borderId="2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1" indent="0" justifyLastLine="0" shrinkToFit="0" readingOrder="1"/>
    </dxf>
    <dxf>
      <alignment horizontal="center" vertical="center" textRotation="0" wrapText="1" indent="0" justifyLastLine="0" shrinkToFit="0" readingOrder="1"/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 val="0"/>
        <i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ARACTERIZACION%20ANGEL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ción"/>
      <sheetName val="Instrucciones Formato"/>
      <sheetName val="Matriz de Riesgos"/>
      <sheetName val="Resumen Matriz"/>
      <sheetName val="CONTROL DE CAMBIOS"/>
      <sheetName val="GESTION ADMINISTRATIVA "/>
      <sheetName val="MANTENIMIENTO"/>
      <sheetName val="Matriz de Peligros"/>
      <sheetName val="GESTION ESTRATEGICA"/>
      <sheetName val="GESTION INTEGRADA "/>
      <sheetName val="PRIORITARIOS EN SALUD "/>
      <sheetName val="OPERACIONES "/>
      <sheetName val="SERVICIOS GENERALES "/>
      <sheetName val="INSTRUCTIVO"/>
      <sheetName val="CARACTERIZACIÓN DE OFICIOS "/>
      <sheetName val="EJEMPL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510F42-5CD9-4409-845C-73EE1D515DC8}" name="Tabla3" displayName="Tabla3" ref="B3:D7" totalsRowShown="0" headerRowDxfId="16" dataDxfId="15" headerRowBorderDxfId="13" tableBorderDxfId="14" totalsRowBorderDxfId="12">
  <autoFilter ref="B3:D7" xr:uid="{C9510F42-5CD9-4409-845C-73EE1D515DC8}"/>
  <sortState xmlns:xlrd2="http://schemas.microsoft.com/office/spreadsheetml/2017/richdata2" ref="B4:D7">
    <sortCondition ref="B3:B7"/>
  </sortState>
  <tableColumns count="3">
    <tableColumn id="1" xr3:uid="{0BDCCB7B-81FD-4612-83BD-EB53CFAFA95E}" name="Rango Min" dataDxfId="11"/>
    <tableColumn id="2" xr3:uid="{B0F7232F-EDED-4205-B215-F63B9A1E771B}" name="Rango Max" dataDxfId="10"/>
    <tableColumn id="3" xr3:uid="{89B814D5-F68F-4FD4-B532-100F3ABC3CAD}" name="Interpretación (INP)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E2FF4A-D417-4B4F-85CB-A1B8B49500CC}" name="Tabla5" displayName="Tabla5" ref="F3:I7" totalsRowShown="0" headerRowDxfId="8" dataDxfId="7" headerRowBorderDxfId="5" tableBorderDxfId="6" totalsRowBorderDxfId="4">
  <autoFilter ref="F3:I7" xr:uid="{05E2FF4A-D417-4B4F-85CB-A1B8B49500CC}"/>
  <sortState xmlns:xlrd2="http://schemas.microsoft.com/office/spreadsheetml/2017/richdata2" ref="F4:I7">
    <sortCondition ref="F3:F7"/>
  </sortState>
  <tableColumns count="4">
    <tableColumn id="1" xr3:uid="{1B3DC34E-EC86-4DCF-9494-3335D1F9897C}" name="Valor Min" dataDxfId="3"/>
    <tableColumn id="2" xr3:uid="{03201CA4-D02D-4F88-BFA1-CB8909A52BB6}" name="Nivel" dataDxfId="2"/>
    <tableColumn id="3" xr3:uid="{7E3FF6B6-BCD8-4C5C-847A-F3263FA9A4C5}" name="Interpretación del Riesgo" dataDxfId="1"/>
    <tableColumn id="4" xr3:uid="{E9EC47F8-033F-4792-8EE7-8DEE81DE857F}" name="Aceptabilid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0376-28C7-4C7F-8687-0F9C2F2BDC6D}">
  <dimension ref="B1:T15"/>
  <sheetViews>
    <sheetView tabSelected="1" zoomScale="80" zoomScaleNormal="80" workbookViewId="0">
      <selection activeCell="F11" sqref="F11"/>
    </sheetView>
  </sheetViews>
  <sheetFormatPr defaultColWidth="11.42578125" defaultRowHeight="15"/>
  <cols>
    <col min="2" max="2" width="19" customWidth="1"/>
    <col min="3" max="3" width="13.140625" customWidth="1"/>
    <col min="7" max="7" width="14.140625" customWidth="1"/>
    <col min="10" max="11" width="15" customWidth="1"/>
    <col min="14" max="14" width="35.5703125" customWidth="1"/>
    <col min="15" max="15" width="15.5703125" customWidth="1"/>
    <col min="16" max="16" width="13.5703125" customWidth="1"/>
    <col min="17" max="17" width="17.5703125" customWidth="1"/>
    <col min="18" max="18" width="14.28515625" customWidth="1"/>
  </cols>
  <sheetData>
    <row r="1" spans="2:20" ht="14.45" customHeight="1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2:20"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2:20" ht="60">
      <c r="B3" s="5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</row>
    <row r="4" spans="2:20" ht="60">
      <c r="B4" s="9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>
        <v>6</v>
      </c>
      <c r="I4" s="2">
        <v>3</v>
      </c>
      <c r="J4" s="2">
        <f>H4*I4</f>
        <v>18</v>
      </c>
      <c r="K4" s="2" t="str">
        <f>VLOOKUP(J4, Config!$B$4:$D$7, 3, 1)</f>
        <v>Alto</v>
      </c>
      <c r="L4" s="2">
        <v>60</v>
      </c>
      <c r="M4" s="24">
        <f>J4*L4</f>
        <v>1080</v>
      </c>
      <c r="N4" s="2" t="str">
        <f>VLOOKUP(M4, Config!$F$4:$I$7, 3, 1)</f>
        <v>I. Situación crítica.  Suspender actividades hasta que el riesgo esté bajo control.  Intervención urgente.</v>
      </c>
      <c r="O4" s="2" t="str">
        <f>VLOOKUP(M4, Config!$F$4:$I$7, 4, 1)</f>
        <v>No Aceptable</v>
      </c>
      <c r="P4" s="6"/>
      <c r="Q4" s="6" t="s">
        <v>25</v>
      </c>
      <c r="R4" s="2" t="s">
        <v>26</v>
      </c>
      <c r="S4" s="7">
        <v>2026</v>
      </c>
    </row>
    <row r="5" spans="2:20" ht="60">
      <c r="B5" s="9" t="s">
        <v>19</v>
      </c>
      <c r="C5" s="2" t="s">
        <v>27</v>
      </c>
      <c r="D5" s="2" t="s">
        <v>28</v>
      </c>
      <c r="E5" s="2" t="s">
        <v>29</v>
      </c>
      <c r="F5" s="2"/>
      <c r="G5" s="2"/>
      <c r="H5" s="2">
        <v>2</v>
      </c>
      <c r="I5" s="2">
        <v>3</v>
      </c>
      <c r="J5" s="2">
        <f t="shared" ref="J5:J15" si="0">H5*I5</f>
        <v>6</v>
      </c>
      <c r="K5" s="2" t="str">
        <f>VLOOKUP(J5, Config!$B$4:$D$7, 3, 1)</f>
        <v>Bajo</v>
      </c>
      <c r="L5" s="2">
        <v>25</v>
      </c>
      <c r="M5" s="2">
        <f t="shared" ref="M5:M15" si="1">J5*L5</f>
        <v>150</v>
      </c>
      <c r="N5" s="2" t="str">
        <f>VLOOKUP(M5, Config!$F$4:$I$7, 3, 1)</f>
        <v>II .Corregir y adoptar medidas de control inmediato.  Sin embargo, suspenda actividades si el nivel de consecuencia está por encima de 60.</v>
      </c>
      <c r="O5" s="2" t="str">
        <f>VLOOKUP(M5, Config!$F$4:$I$7, 4, 1)</f>
        <v>No Aceptable</v>
      </c>
      <c r="P5" s="2"/>
      <c r="Q5" s="2" t="s">
        <v>30</v>
      </c>
      <c r="R5" s="2" t="s">
        <v>26</v>
      </c>
      <c r="S5" s="7">
        <v>2026</v>
      </c>
    </row>
    <row r="6" spans="2:20" ht="60">
      <c r="B6" s="9" t="s">
        <v>19</v>
      </c>
      <c r="C6" s="2" t="s">
        <v>31</v>
      </c>
      <c r="D6" s="2" t="s">
        <v>32</v>
      </c>
      <c r="E6" s="2" t="s">
        <v>33</v>
      </c>
      <c r="F6" s="2"/>
      <c r="G6" s="2"/>
      <c r="H6" s="2">
        <v>2</v>
      </c>
      <c r="I6" s="2">
        <v>3</v>
      </c>
      <c r="J6" s="2">
        <f t="shared" si="0"/>
        <v>6</v>
      </c>
      <c r="K6" s="2" t="str">
        <f>VLOOKUP(J6, Config!$B$4:$D$7, 3, 1)</f>
        <v>Bajo</v>
      </c>
      <c r="L6" s="2">
        <v>25</v>
      </c>
      <c r="M6" s="2">
        <f t="shared" si="1"/>
        <v>150</v>
      </c>
      <c r="N6" s="2" t="str">
        <f>VLOOKUP(M6, Config!$F$4:$I$7, 3, 1)</f>
        <v>II .Corregir y adoptar medidas de control inmediato.  Sin embargo, suspenda actividades si el nivel de consecuencia está por encima de 60.</v>
      </c>
      <c r="O6" s="2" t="str">
        <f>VLOOKUP(M6, Config!$F$4:$I$7, 4, 1)</f>
        <v>No Aceptable</v>
      </c>
      <c r="P6" s="2"/>
      <c r="Q6" s="2" t="s">
        <v>34</v>
      </c>
      <c r="R6" s="2" t="s">
        <v>26</v>
      </c>
      <c r="S6" s="7">
        <v>2026</v>
      </c>
    </row>
    <row r="7" spans="2:20" ht="45">
      <c r="B7" s="9" t="s">
        <v>19</v>
      </c>
      <c r="C7" s="2" t="s">
        <v>35</v>
      </c>
      <c r="D7" s="2" t="s">
        <v>36</v>
      </c>
      <c r="E7" s="2" t="s">
        <v>22</v>
      </c>
      <c r="F7" s="2"/>
      <c r="G7" s="2"/>
      <c r="H7" s="2">
        <v>10</v>
      </c>
      <c r="I7" s="2">
        <v>3</v>
      </c>
      <c r="J7" s="2">
        <f t="shared" si="0"/>
        <v>30</v>
      </c>
      <c r="K7" s="2" t="str">
        <f>VLOOKUP(J7, Config!$B$4:$D$7, 3, 1)</f>
        <v>Muy Alto</v>
      </c>
      <c r="L7" s="2">
        <v>100</v>
      </c>
      <c r="M7" s="2">
        <f t="shared" si="1"/>
        <v>3000</v>
      </c>
      <c r="N7" s="2" t="str">
        <f>VLOOKUP(M7, Config!$F$4:$I$7, 3, 1)</f>
        <v>I. Situación crítica.  Suspender actividades hasta que el riesgo esté bajo control.  Intervención urgente.</v>
      </c>
      <c r="O7" s="2" t="str">
        <f>VLOOKUP(M7, Config!$F$4:$I$7, 4, 1)</f>
        <v>No Aceptable</v>
      </c>
      <c r="P7" s="2"/>
      <c r="Q7" s="2" t="s">
        <v>37</v>
      </c>
      <c r="R7" s="2" t="s">
        <v>26</v>
      </c>
      <c r="S7" s="7">
        <v>2026</v>
      </c>
    </row>
    <row r="8" spans="2:20" ht="45">
      <c r="B8" s="9" t="s">
        <v>19</v>
      </c>
      <c r="C8" s="2" t="s">
        <v>38</v>
      </c>
      <c r="D8" s="2" t="s">
        <v>39</v>
      </c>
      <c r="E8" s="2" t="s">
        <v>22</v>
      </c>
      <c r="F8" s="2"/>
      <c r="G8" s="2"/>
      <c r="H8" s="2">
        <v>10</v>
      </c>
      <c r="I8" s="2">
        <v>2</v>
      </c>
      <c r="J8" s="2">
        <f t="shared" si="0"/>
        <v>20</v>
      </c>
      <c r="K8" s="2" t="str">
        <f>VLOOKUP(J8, Config!$B$4:$D$7, 3, 1)</f>
        <v>Alto</v>
      </c>
      <c r="L8" s="2">
        <v>100</v>
      </c>
      <c r="M8" s="2">
        <f t="shared" si="1"/>
        <v>2000</v>
      </c>
      <c r="N8" s="2" t="str">
        <f>VLOOKUP(M8, Config!$F$4:$I$7, 3, 1)</f>
        <v>I. Situación crítica.  Suspender actividades hasta que el riesgo esté bajo control.  Intervención urgente.</v>
      </c>
      <c r="O8" s="2" t="str">
        <f>VLOOKUP(M8, Config!$F$4:$I$7, 4, 1)</f>
        <v>No Aceptable</v>
      </c>
      <c r="P8" s="2"/>
      <c r="Q8" s="2" t="s">
        <v>40</v>
      </c>
      <c r="R8" s="2" t="s">
        <v>26</v>
      </c>
      <c r="S8" s="7">
        <v>2026</v>
      </c>
    </row>
    <row r="9" spans="2:20" ht="45">
      <c r="B9" s="9" t="s">
        <v>19</v>
      </c>
      <c r="C9" s="2" t="s">
        <v>41</v>
      </c>
      <c r="D9" s="2" t="s">
        <v>42</v>
      </c>
      <c r="E9" s="2" t="s">
        <v>43</v>
      </c>
      <c r="F9" s="2"/>
      <c r="G9" s="2"/>
      <c r="H9" s="2">
        <v>6</v>
      </c>
      <c r="I9" s="2">
        <v>3</v>
      </c>
      <c r="J9" s="2">
        <f t="shared" si="0"/>
        <v>18</v>
      </c>
      <c r="K9" s="2" t="str">
        <f>VLOOKUP(J9, Config!$B$4:$D$7, 3, 1)</f>
        <v>Alto</v>
      </c>
      <c r="L9" s="2">
        <v>60</v>
      </c>
      <c r="M9" s="2">
        <f t="shared" si="1"/>
        <v>1080</v>
      </c>
      <c r="N9" s="2" t="str">
        <f>VLOOKUP(M9, Config!$F$4:$I$7, 3, 1)</f>
        <v>I. Situación crítica.  Suspender actividades hasta que el riesgo esté bajo control.  Intervención urgente.</v>
      </c>
      <c r="O9" s="2" t="str">
        <f>VLOOKUP(M9, Config!$F$4:$I$7, 4, 1)</f>
        <v>No Aceptable</v>
      </c>
      <c r="P9" s="2"/>
      <c r="Q9" s="2" t="s">
        <v>44</v>
      </c>
      <c r="R9" s="2" t="s">
        <v>26</v>
      </c>
      <c r="S9" s="7">
        <v>2026</v>
      </c>
    </row>
    <row r="10" spans="2:20" ht="45">
      <c r="B10" s="25" t="s">
        <v>45</v>
      </c>
      <c r="C10" s="2" t="s">
        <v>46</v>
      </c>
      <c r="D10" s="2" t="s">
        <v>47</v>
      </c>
      <c r="E10" s="2" t="s">
        <v>33</v>
      </c>
      <c r="F10" s="2"/>
      <c r="G10" s="2"/>
      <c r="H10" s="2">
        <v>6</v>
      </c>
      <c r="I10" s="2">
        <v>2</v>
      </c>
      <c r="J10" s="2">
        <f t="shared" si="0"/>
        <v>12</v>
      </c>
      <c r="K10" s="2" t="str">
        <f>VLOOKUP(J10, Config!$B$4:$D$7, 3, 1)</f>
        <v>Alto</v>
      </c>
      <c r="L10" s="2">
        <v>60</v>
      </c>
      <c r="M10" s="2">
        <f t="shared" si="1"/>
        <v>720</v>
      </c>
      <c r="N10" s="2" t="str">
        <f>VLOOKUP(M10, Config!$F$4:$I$7, 3, 1)</f>
        <v>I. Situación crítica.  Suspender actividades hasta que el riesgo esté bajo control.  Intervención urgente.</v>
      </c>
      <c r="O10" s="2" t="str">
        <f>VLOOKUP(M10, Config!$F$4:$I$7, 4, 1)</f>
        <v>No Aceptable</v>
      </c>
      <c r="P10" s="2"/>
      <c r="Q10" s="2" t="s">
        <v>48</v>
      </c>
      <c r="R10" s="2" t="s">
        <v>26</v>
      </c>
      <c r="S10" s="7">
        <v>2026</v>
      </c>
    </row>
    <row r="11" spans="2:20" ht="45">
      <c r="B11" s="25" t="s">
        <v>45</v>
      </c>
      <c r="C11" s="2" t="s">
        <v>49</v>
      </c>
      <c r="D11" s="2" t="s">
        <v>50</v>
      </c>
      <c r="E11" s="2" t="s">
        <v>51</v>
      </c>
      <c r="F11" s="2"/>
      <c r="G11" s="2"/>
      <c r="H11" s="2">
        <v>10</v>
      </c>
      <c r="I11" s="2">
        <v>3</v>
      </c>
      <c r="J11" s="2">
        <f t="shared" si="0"/>
        <v>30</v>
      </c>
      <c r="K11" s="2" t="str">
        <f>VLOOKUP(J11, Config!$B$4:$D$7, 3, 1)</f>
        <v>Muy Alto</v>
      </c>
      <c r="L11" s="2">
        <v>100</v>
      </c>
      <c r="M11" s="2">
        <f t="shared" si="1"/>
        <v>3000</v>
      </c>
      <c r="N11" s="2" t="str">
        <f>VLOOKUP(M11, Config!$F$4:$I$7, 3, 1)</f>
        <v>I. Situación crítica.  Suspender actividades hasta que el riesgo esté bajo control.  Intervención urgente.</v>
      </c>
      <c r="O11" s="2" t="str">
        <f>VLOOKUP(M11, Config!$F$4:$I$7, 4, 1)</f>
        <v>No Aceptable</v>
      </c>
      <c r="P11" s="2"/>
      <c r="Q11" s="2" t="s">
        <v>52</v>
      </c>
      <c r="R11" s="2" t="s">
        <v>26</v>
      </c>
      <c r="S11" s="7">
        <v>2026</v>
      </c>
    </row>
    <row r="12" spans="2:20" ht="45">
      <c r="B12" s="25" t="s">
        <v>45</v>
      </c>
      <c r="C12" s="2" t="s">
        <v>53</v>
      </c>
      <c r="D12" s="2" t="s">
        <v>54</v>
      </c>
      <c r="E12" s="2" t="s">
        <v>51</v>
      </c>
      <c r="F12" s="2"/>
      <c r="G12" s="2"/>
      <c r="H12" s="2">
        <v>6</v>
      </c>
      <c r="I12" s="2">
        <v>3</v>
      </c>
      <c r="J12" s="2">
        <f t="shared" si="0"/>
        <v>18</v>
      </c>
      <c r="K12" s="2" t="str">
        <f>VLOOKUP(J12, Config!$B$4:$D$7, 3, 1)</f>
        <v>Alto</v>
      </c>
      <c r="L12" s="2">
        <v>100</v>
      </c>
      <c r="M12" s="2">
        <f t="shared" si="1"/>
        <v>1800</v>
      </c>
      <c r="N12" s="2" t="str">
        <f>VLOOKUP(M12, Config!$F$4:$I$7, 3, 1)</f>
        <v>I. Situación crítica.  Suspender actividades hasta que el riesgo esté bajo control.  Intervención urgente.</v>
      </c>
      <c r="O12" s="2" t="str">
        <f>VLOOKUP(M12, Config!$F$4:$I$7, 4, 1)</f>
        <v>No Aceptable</v>
      </c>
      <c r="P12" s="2"/>
      <c r="Q12" s="2" t="s">
        <v>38</v>
      </c>
      <c r="R12" s="2" t="s">
        <v>26</v>
      </c>
      <c r="S12" s="7">
        <v>2026</v>
      </c>
    </row>
    <row r="13" spans="2:20" ht="45">
      <c r="B13" s="25" t="s">
        <v>45</v>
      </c>
      <c r="C13" s="2" t="s">
        <v>55</v>
      </c>
      <c r="D13" s="2" t="s">
        <v>56</v>
      </c>
      <c r="E13" s="2" t="s">
        <v>57</v>
      </c>
      <c r="F13" s="2"/>
      <c r="G13" s="2"/>
      <c r="H13" s="2">
        <v>6</v>
      </c>
      <c r="I13" s="2">
        <v>2</v>
      </c>
      <c r="J13" s="2">
        <f t="shared" si="0"/>
        <v>12</v>
      </c>
      <c r="K13" s="2" t="str">
        <f>VLOOKUP(J13, Config!$B$4:$D$7, 3, 1)</f>
        <v>Alto</v>
      </c>
      <c r="L13" s="2">
        <v>60</v>
      </c>
      <c r="M13" s="2">
        <f t="shared" si="1"/>
        <v>720</v>
      </c>
      <c r="N13" s="2" t="str">
        <f>VLOOKUP(M13, Config!$F$4:$I$7, 3, 1)</f>
        <v>I. Situación crítica.  Suspender actividades hasta que el riesgo esté bajo control.  Intervención urgente.</v>
      </c>
      <c r="O13" s="2" t="str">
        <f>VLOOKUP(M13, Config!$F$4:$I$7, 4, 1)</f>
        <v>No Aceptable</v>
      </c>
      <c r="P13" s="2"/>
      <c r="Q13" s="2" t="s">
        <v>58</v>
      </c>
      <c r="R13" s="2" t="s">
        <v>26</v>
      </c>
      <c r="S13" s="7">
        <v>2026</v>
      </c>
    </row>
    <row r="14" spans="2:20" ht="45">
      <c r="B14" s="25" t="s">
        <v>59</v>
      </c>
      <c r="C14" s="2" t="s">
        <v>60</v>
      </c>
      <c r="D14" s="2" t="s">
        <v>61</v>
      </c>
      <c r="E14" s="2" t="s">
        <v>22</v>
      </c>
      <c r="F14" s="2"/>
      <c r="G14" s="2"/>
      <c r="H14" s="2">
        <v>6</v>
      </c>
      <c r="I14" s="2">
        <v>3</v>
      </c>
      <c r="J14" s="2">
        <f t="shared" si="0"/>
        <v>18</v>
      </c>
      <c r="K14" s="2" t="str">
        <f>VLOOKUP(J14, Config!$B$4:$D$7, 3, 1)</f>
        <v>Alto</v>
      </c>
      <c r="L14" s="2">
        <v>60</v>
      </c>
      <c r="M14" s="2">
        <f t="shared" si="1"/>
        <v>1080</v>
      </c>
      <c r="N14" s="2" t="str">
        <f>VLOOKUP(M14, Config!$F$4:$I$7, 3, 1)</f>
        <v>I. Situación crítica.  Suspender actividades hasta que el riesgo esté bajo control.  Intervención urgente.</v>
      </c>
      <c r="O14" s="2" t="str">
        <f>VLOOKUP(M14, Config!$F$4:$I$7, 4, 1)</f>
        <v>No Aceptable</v>
      </c>
      <c r="P14" s="2"/>
      <c r="Q14" s="2" t="s">
        <v>62</v>
      </c>
      <c r="R14" s="2" t="s">
        <v>26</v>
      </c>
      <c r="S14" s="7">
        <v>2026</v>
      </c>
    </row>
    <row r="15" spans="2:20" ht="45">
      <c r="B15" s="25" t="s">
        <v>63</v>
      </c>
      <c r="C15" s="2" t="s">
        <v>64</v>
      </c>
      <c r="D15" s="2" t="s">
        <v>65</v>
      </c>
      <c r="E15" s="2" t="s">
        <v>33</v>
      </c>
      <c r="F15" s="2"/>
      <c r="G15" s="2"/>
      <c r="H15" s="2">
        <v>6</v>
      </c>
      <c r="I15" s="2">
        <v>2</v>
      </c>
      <c r="J15" s="2">
        <f t="shared" si="0"/>
        <v>12</v>
      </c>
      <c r="K15" s="2" t="str">
        <f>VLOOKUP(J15, Config!$B$4:$D$7, 3, 1)</f>
        <v>Alto</v>
      </c>
      <c r="L15" s="2">
        <v>60</v>
      </c>
      <c r="M15" s="2">
        <f t="shared" si="1"/>
        <v>720</v>
      </c>
      <c r="N15" s="2" t="str">
        <f>VLOOKUP(M15, Config!$F$4:$I$7, 3, 1)</f>
        <v>I. Situación crítica.  Suspender actividades hasta que el riesgo esté bajo control.  Intervención urgente.</v>
      </c>
      <c r="O15" s="2" t="str">
        <f>VLOOKUP(M15, Config!$F$4:$I$7, 4, 1)</f>
        <v>No Aceptable</v>
      </c>
      <c r="P15" s="2"/>
      <c r="Q15" s="2" t="s">
        <v>66</v>
      </c>
      <c r="R15" s="2" t="s">
        <v>26</v>
      </c>
      <c r="S15" s="7">
        <v>2026</v>
      </c>
    </row>
  </sheetData>
  <mergeCells count="1">
    <mergeCell ref="B1:T2"/>
  </mergeCells>
  <conditionalFormatting sqref="M4:M1048576">
    <cfRule type="expression" dxfId="19" priority="1">
      <formula>AND($M4&gt;=20, $M4&lt;=120)</formula>
    </cfRule>
    <cfRule type="expression" dxfId="18" priority="2">
      <formula>AND($M4&gt;=150, $M4&lt;=500)</formula>
    </cfRule>
    <cfRule type="expression" dxfId="17" priority="3">
      <formula>AND($M4&gt;=600, $M4&lt;=4000)</formula>
    </cfRule>
  </conditionalFormatting>
  <dataValidations count="3">
    <dataValidation type="list" allowBlank="1" showInputMessage="1" showErrorMessage="1" errorTitle="Valor Incorrecto" error="Solo se permite: 1, 2, 3, 4" sqref="I4:I1048576" xr:uid="{9C0A5669-B68B-4365-9AE0-E295A4DFDDD2}">
      <formula1>"1, 2, 3, 4"</formula1>
    </dataValidation>
    <dataValidation type="list" allowBlank="1" showInputMessage="1" showErrorMessage="1" errorTitle="Valor Incorrecto" error="Solo se Permite: 2, 6, 10" sqref="H4:H1048576" xr:uid="{0B0B5020-6890-4BFC-A8F2-F71E4443398B}">
      <formula1>"2, 6, 10"</formula1>
    </dataValidation>
    <dataValidation type="list" allowBlank="1" showInputMessage="1" showErrorMessage="1" errorTitle="Valor Incorrecto" error="Solo se permite: 10, 25, 60; 100" sqref="L4:L1048576" xr:uid="{EBB69ECA-F7A4-49C9-8E5E-A2B1DA9B7EA0}">
      <formula1>"10, 25, 60, 100"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2821-1584-4A34-8858-5FC72A20514C}">
  <dimension ref="B1:I8"/>
  <sheetViews>
    <sheetView workbookViewId="0">
      <selection activeCell="F4" sqref="F4"/>
    </sheetView>
  </sheetViews>
  <sheetFormatPr defaultColWidth="11.42578125" defaultRowHeight="15"/>
  <cols>
    <col min="2" max="2" width="16.42578125" bestFit="1" customWidth="1"/>
    <col min="3" max="3" width="16.85546875" bestFit="1" customWidth="1"/>
    <col min="4" max="4" width="25.5703125" bestFit="1" customWidth="1"/>
    <col min="6" max="6" width="15" bestFit="1" customWidth="1"/>
    <col min="7" max="7" width="10.85546875" bestFit="1" customWidth="1"/>
    <col min="8" max="8" width="31.7109375" bestFit="1" customWidth="1"/>
    <col min="9" max="9" width="19.140625" bestFit="1" customWidth="1"/>
  </cols>
  <sheetData>
    <row r="1" spans="2:9" ht="15.75" thickBot="1"/>
    <row r="2" spans="2:9" ht="21" customHeight="1" thickBot="1">
      <c r="B2" s="55" t="s">
        <v>67</v>
      </c>
      <c r="C2" s="56"/>
      <c r="D2" s="57"/>
      <c r="F2" s="58" t="s">
        <v>68</v>
      </c>
      <c r="G2" s="59"/>
      <c r="H2" s="59"/>
      <c r="I2" s="60"/>
    </row>
    <row r="3" spans="2:9" ht="15.75" thickBot="1">
      <c r="B3" s="21" t="s">
        <v>69</v>
      </c>
      <c r="C3" s="10" t="s">
        <v>70</v>
      </c>
      <c r="D3" s="15" t="s">
        <v>71</v>
      </c>
      <c r="F3" s="18" t="s">
        <v>72</v>
      </c>
      <c r="G3" s="19" t="s">
        <v>73</v>
      </c>
      <c r="H3" s="19" t="s">
        <v>74</v>
      </c>
      <c r="I3" s="20" t="s">
        <v>75</v>
      </c>
    </row>
    <row r="4" spans="2:9" ht="22.5" customHeight="1" thickBot="1">
      <c r="B4" s="11">
        <v>2</v>
      </c>
      <c r="C4" s="12">
        <v>4</v>
      </c>
      <c r="D4" s="16" t="s">
        <v>76</v>
      </c>
      <c r="F4" s="11">
        <v>20</v>
      </c>
      <c r="G4" s="12" t="s">
        <v>77</v>
      </c>
      <c r="H4" s="22" t="s">
        <v>78</v>
      </c>
      <c r="I4" s="16" t="s">
        <v>79</v>
      </c>
    </row>
    <row r="5" spans="2:9" ht="22.5" customHeight="1" thickBot="1">
      <c r="B5" s="11">
        <v>8</v>
      </c>
      <c r="C5" s="12">
        <v>10</v>
      </c>
      <c r="D5" s="16" t="s">
        <v>80</v>
      </c>
      <c r="F5" s="11">
        <v>40</v>
      </c>
      <c r="G5" s="12" t="s">
        <v>81</v>
      </c>
      <c r="H5" s="22" t="s">
        <v>82</v>
      </c>
      <c r="I5" s="16" t="s">
        <v>79</v>
      </c>
    </row>
    <row r="6" spans="2:9" ht="22.5" customHeight="1" thickBot="1">
      <c r="B6" s="11">
        <v>10</v>
      </c>
      <c r="C6" s="12">
        <v>20</v>
      </c>
      <c r="D6" s="16" t="s">
        <v>83</v>
      </c>
      <c r="F6" s="11">
        <v>150</v>
      </c>
      <c r="G6" s="12" t="s">
        <v>84</v>
      </c>
      <c r="H6" s="22" t="s">
        <v>85</v>
      </c>
      <c r="I6" s="16" t="s">
        <v>86</v>
      </c>
    </row>
    <row r="7" spans="2:9" ht="22.5" customHeight="1">
      <c r="B7" s="13">
        <v>24</v>
      </c>
      <c r="C7" s="14">
        <v>40</v>
      </c>
      <c r="D7" s="17" t="s">
        <v>87</v>
      </c>
      <c r="F7" s="13">
        <v>600</v>
      </c>
      <c r="G7" s="14" t="s">
        <v>88</v>
      </c>
      <c r="H7" s="23" t="s">
        <v>89</v>
      </c>
      <c r="I7" s="17" t="s">
        <v>86</v>
      </c>
    </row>
    <row r="8" spans="2:9" ht="22.5" customHeight="1"/>
  </sheetData>
  <mergeCells count="2">
    <mergeCell ref="B2:D2"/>
    <mergeCell ref="F2:I2"/>
  </mergeCells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4755-320D-41AB-9680-15F41E4A5D54}">
  <sheetPr codeName="Hoja4"/>
  <dimension ref="A1:F16"/>
  <sheetViews>
    <sheetView topLeftCell="A4" workbookViewId="0">
      <selection activeCell="A14" sqref="A14:F16"/>
    </sheetView>
  </sheetViews>
  <sheetFormatPr defaultColWidth="11.42578125" defaultRowHeight="15"/>
  <cols>
    <col min="1" max="1" width="22.7109375" customWidth="1"/>
    <col min="3" max="4" width="22.85546875" customWidth="1"/>
    <col min="5" max="5" width="11.85546875" customWidth="1"/>
    <col min="6" max="6" width="22.85546875" customWidth="1"/>
  </cols>
  <sheetData>
    <row r="1" spans="1:6" ht="18">
      <c r="A1" s="72" t="s">
        <v>90</v>
      </c>
      <c r="B1" s="72"/>
      <c r="C1" s="72"/>
      <c r="D1" s="72"/>
      <c r="E1" s="72"/>
      <c r="F1" s="72"/>
    </row>
    <row r="2" spans="1:6" ht="18">
      <c r="A2" s="73" t="s">
        <v>91</v>
      </c>
      <c r="B2" s="74"/>
      <c r="C2" s="74"/>
      <c r="D2" s="74"/>
      <c r="E2" s="74"/>
      <c r="F2" s="74"/>
    </row>
    <row r="3" spans="1:6" ht="18">
      <c r="A3" s="34"/>
      <c r="B3" s="34"/>
      <c r="C3" s="34"/>
      <c r="D3" s="34"/>
      <c r="E3" s="34"/>
      <c r="F3" s="34"/>
    </row>
    <row r="4" spans="1:6" ht="18">
      <c r="A4" s="37"/>
      <c r="B4" s="36"/>
      <c r="C4" s="36" t="s">
        <v>92</v>
      </c>
      <c r="D4" s="36"/>
      <c r="E4" s="34"/>
      <c r="F4" s="34"/>
    </row>
    <row r="5" spans="1:6" ht="18">
      <c r="A5" s="37"/>
      <c r="B5" s="36"/>
      <c r="C5" s="35" t="s">
        <v>93</v>
      </c>
      <c r="D5" s="34"/>
      <c r="E5" s="34"/>
      <c r="F5" s="34"/>
    </row>
    <row r="6" spans="1:6">
      <c r="A6" s="33"/>
      <c r="B6" s="33"/>
      <c r="C6" s="33"/>
      <c r="D6" s="33"/>
      <c r="E6" s="33"/>
      <c r="F6" s="33"/>
    </row>
    <row r="7" spans="1:6">
      <c r="A7" s="62" t="s">
        <v>94</v>
      </c>
      <c r="B7" s="63"/>
      <c r="C7" s="66" t="s">
        <v>95</v>
      </c>
      <c r="D7" s="67"/>
      <c r="E7" s="67"/>
      <c r="F7" s="68"/>
    </row>
    <row r="8" spans="1:6">
      <c r="A8" s="64"/>
      <c r="B8" s="65"/>
      <c r="C8" s="31" t="s">
        <v>96</v>
      </c>
      <c r="D8" s="30" t="s">
        <v>97</v>
      </c>
      <c r="E8" s="30" t="s">
        <v>98</v>
      </c>
      <c r="F8" s="30" t="s">
        <v>99</v>
      </c>
    </row>
    <row r="9" spans="1:6" ht="36" customHeight="1">
      <c r="A9" s="69" t="s">
        <v>100</v>
      </c>
      <c r="B9" s="27">
        <v>100</v>
      </c>
      <c r="C9" s="29" t="s">
        <v>101</v>
      </c>
      <c r="D9" s="29" t="s">
        <v>102</v>
      </c>
      <c r="E9" s="29" t="s">
        <v>103</v>
      </c>
      <c r="F9" s="28" t="s">
        <v>104</v>
      </c>
    </row>
    <row r="10" spans="1:6" ht="56.25" customHeight="1">
      <c r="A10" s="70"/>
      <c r="B10" s="27">
        <v>60</v>
      </c>
      <c r="C10" s="29" t="s">
        <v>105</v>
      </c>
      <c r="D10" s="29" t="s">
        <v>106</v>
      </c>
      <c r="E10" s="28" t="s">
        <v>107</v>
      </c>
      <c r="F10" s="27" t="s">
        <v>108</v>
      </c>
    </row>
    <row r="11" spans="1:6" ht="165.75" customHeight="1">
      <c r="A11" s="70"/>
      <c r="B11" s="27">
        <v>25</v>
      </c>
      <c r="C11" s="29" t="s">
        <v>109</v>
      </c>
      <c r="D11" s="28" t="s">
        <v>110</v>
      </c>
      <c r="E11" s="28" t="s">
        <v>111</v>
      </c>
      <c r="F11" s="26" t="s">
        <v>112</v>
      </c>
    </row>
    <row r="12" spans="1:6" ht="96.75" customHeight="1">
      <c r="A12" s="71"/>
      <c r="B12" s="27">
        <v>10</v>
      </c>
      <c r="C12" s="28" t="s">
        <v>113</v>
      </c>
      <c r="D12" s="27" t="s">
        <v>114</v>
      </c>
      <c r="E12" s="26" t="s">
        <v>115</v>
      </c>
      <c r="F12" s="26" t="s">
        <v>116</v>
      </c>
    </row>
    <row r="14" spans="1:6" ht="15" customHeight="1">
      <c r="A14" s="61" t="s">
        <v>117</v>
      </c>
      <c r="B14" s="61"/>
      <c r="C14" s="61"/>
      <c r="D14" s="61"/>
      <c r="E14" s="61"/>
      <c r="F14" s="61"/>
    </row>
    <row r="15" spans="1:6" ht="15" customHeight="1">
      <c r="A15" s="61"/>
      <c r="B15" s="61"/>
      <c r="C15" s="61"/>
      <c r="D15" s="61"/>
      <c r="E15" s="61"/>
      <c r="F15" s="61"/>
    </row>
    <row r="16" spans="1:6" ht="15" customHeight="1">
      <c r="A16" s="61"/>
      <c r="B16" s="61"/>
      <c r="C16" s="61"/>
      <c r="D16" s="61"/>
      <c r="E16" s="61"/>
      <c r="F16" s="61"/>
    </row>
  </sheetData>
  <mergeCells count="6">
    <mergeCell ref="A14:F16"/>
    <mergeCell ref="A7:B8"/>
    <mergeCell ref="C7:F7"/>
    <mergeCell ref="A9:A12"/>
    <mergeCell ref="A1:F1"/>
    <mergeCell ref="A2:F2"/>
  </mergeCells>
  <printOptions horizontalCentered="1"/>
  <pageMargins left="0.39370078740157483" right="0.39370078740157483" top="0.39370078740157483" bottom="0.39370078740157483" header="0" footer="0"/>
  <pageSetup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5FBA-0A6C-4755-B071-CBDB2492CFC6}">
  <sheetPr codeName="Hoja2"/>
  <dimension ref="A1:AB201"/>
  <sheetViews>
    <sheetView topLeftCell="D1" zoomScale="75" zoomScaleNormal="75" workbookViewId="0">
      <selection activeCell="O30" sqref="O30"/>
    </sheetView>
  </sheetViews>
  <sheetFormatPr defaultColWidth="11.42578125" defaultRowHeight="15"/>
  <cols>
    <col min="1" max="3" width="28.5703125" customWidth="1"/>
    <col min="10" max="13" width="2.85546875" customWidth="1"/>
    <col min="14" max="14" width="22.7109375" customWidth="1"/>
    <col min="257" max="259" width="28.5703125" customWidth="1"/>
    <col min="266" max="269" width="2.85546875" customWidth="1"/>
    <col min="270" max="270" width="22.7109375" customWidth="1"/>
    <col min="513" max="515" width="28.5703125" customWidth="1"/>
    <col min="522" max="525" width="2.85546875" customWidth="1"/>
    <col min="526" max="526" width="22.7109375" customWidth="1"/>
    <col min="769" max="771" width="28.5703125" customWidth="1"/>
    <col min="778" max="781" width="2.85546875" customWidth="1"/>
    <col min="782" max="782" width="22.7109375" customWidth="1"/>
    <col min="1025" max="1027" width="28.5703125" customWidth="1"/>
    <col min="1034" max="1037" width="2.85546875" customWidth="1"/>
    <col min="1038" max="1038" width="22.7109375" customWidth="1"/>
    <col min="1281" max="1283" width="28.5703125" customWidth="1"/>
    <col min="1290" max="1293" width="2.85546875" customWidth="1"/>
    <col min="1294" max="1294" width="22.7109375" customWidth="1"/>
    <col min="1537" max="1539" width="28.5703125" customWidth="1"/>
    <col min="1546" max="1549" width="2.85546875" customWidth="1"/>
    <col min="1550" max="1550" width="22.7109375" customWidth="1"/>
    <col min="1793" max="1795" width="28.5703125" customWidth="1"/>
    <col min="1802" max="1805" width="2.85546875" customWidth="1"/>
    <col min="1806" max="1806" width="22.7109375" customWidth="1"/>
    <col min="2049" max="2051" width="28.5703125" customWidth="1"/>
    <col min="2058" max="2061" width="2.85546875" customWidth="1"/>
    <col min="2062" max="2062" width="22.7109375" customWidth="1"/>
    <col min="2305" max="2307" width="28.5703125" customWidth="1"/>
    <col min="2314" max="2317" width="2.85546875" customWidth="1"/>
    <col min="2318" max="2318" width="22.7109375" customWidth="1"/>
    <col min="2561" max="2563" width="28.5703125" customWidth="1"/>
    <col min="2570" max="2573" width="2.85546875" customWidth="1"/>
    <col min="2574" max="2574" width="22.7109375" customWidth="1"/>
    <col min="2817" max="2819" width="28.5703125" customWidth="1"/>
    <col min="2826" max="2829" width="2.85546875" customWidth="1"/>
    <col min="2830" max="2830" width="22.7109375" customWidth="1"/>
    <col min="3073" max="3075" width="28.5703125" customWidth="1"/>
    <col min="3082" max="3085" width="2.85546875" customWidth="1"/>
    <col min="3086" max="3086" width="22.7109375" customWidth="1"/>
    <col min="3329" max="3331" width="28.5703125" customWidth="1"/>
    <col min="3338" max="3341" width="2.85546875" customWidth="1"/>
    <col min="3342" max="3342" width="22.7109375" customWidth="1"/>
    <col min="3585" max="3587" width="28.5703125" customWidth="1"/>
    <col min="3594" max="3597" width="2.85546875" customWidth="1"/>
    <col min="3598" max="3598" width="22.7109375" customWidth="1"/>
    <col min="3841" max="3843" width="28.5703125" customWidth="1"/>
    <col min="3850" max="3853" width="2.85546875" customWidth="1"/>
    <col min="3854" max="3854" width="22.7109375" customWidth="1"/>
    <col min="4097" max="4099" width="28.5703125" customWidth="1"/>
    <col min="4106" max="4109" width="2.85546875" customWidth="1"/>
    <col min="4110" max="4110" width="22.7109375" customWidth="1"/>
    <col min="4353" max="4355" width="28.5703125" customWidth="1"/>
    <col min="4362" max="4365" width="2.85546875" customWidth="1"/>
    <col min="4366" max="4366" width="22.7109375" customWidth="1"/>
    <col min="4609" max="4611" width="28.5703125" customWidth="1"/>
    <col min="4618" max="4621" width="2.85546875" customWidth="1"/>
    <col min="4622" max="4622" width="22.7109375" customWidth="1"/>
    <col min="4865" max="4867" width="28.5703125" customWidth="1"/>
    <col min="4874" max="4877" width="2.85546875" customWidth="1"/>
    <col min="4878" max="4878" width="22.7109375" customWidth="1"/>
    <col min="5121" max="5123" width="28.5703125" customWidth="1"/>
    <col min="5130" max="5133" width="2.85546875" customWidth="1"/>
    <col min="5134" max="5134" width="22.7109375" customWidth="1"/>
    <col min="5377" max="5379" width="28.5703125" customWidth="1"/>
    <col min="5386" max="5389" width="2.85546875" customWidth="1"/>
    <col min="5390" max="5390" width="22.7109375" customWidth="1"/>
    <col min="5633" max="5635" width="28.5703125" customWidth="1"/>
    <col min="5642" max="5645" width="2.85546875" customWidth="1"/>
    <col min="5646" max="5646" width="22.7109375" customWidth="1"/>
    <col min="5889" max="5891" width="28.5703125" customWidth="1"/>
    <col min="5898" max="5901" width="2.85546875" customWidth="1"/>
    <col min="5902" max="5902" width="22.7109375" customWidth="1"/>
    <col min="6145" max="6147" width="28.5703125" customWidth="1"/>
    <col min="6154" max="6157" width="2.85546875" customWidth="1"/>
    <col min="6158" max="6158" width="22.7109375" customWidth="1"/>
    <col min="6401" max="6403" width="28.5703125" customWidth="1"/>
    <col min="6410" max="6413" width="2.85546875" customWidth="1"/>
    <col min="6414" max="6414" width="22.7109375" customWidth="1"/>
    <col min="6657" max="6659" width="28.5703125" customWidth="1"/>
    <col min="6666" max="6669" width="2.85546875" customWidth="1"/>
    <col min="6670" max="6670" width="22.7109375" customWidth="1"/>
    <col min="6913" max="6915" width="28.5703125" customWidth="1"/>
    <col min="6922" max="6925" width="2.85546875" customWidth="1"/>
    <col min="6926" max="6926" width="22.7109375" customWidth="1"/>
    <col min="7169" max="7171" width="28.5703125" customWidth="1"/>
    <col min="7178" max="7181" width="2.85546875" customWidth="1"/>
    <col min="7182" max="7182" width="22.7109375" customWidth="1"/>
    <col min="7425" max="7427" width="28.5703125" customWidth="1"/>
    <col min="7434" max="7437" width="2.85546875" customWidth="1"/>
    <col min="7438" max="7438" width="22.7109375" customWidth="1"/>
    <col min="7681" max="7683" width="28.5703125" customWidth="1"/>
    <col min="7690" max="7693" width="2.85546875" customWidth="1"/>
    <col min="7694" max="7694" width="22.7109375" customWidth="1"/>
    <col min="7937" max="7939" width="28.5703125" customWidth="1"/>
    <col min="7946" max="7949" width="2.85546875" customWidth="1"/>
    <col min="7950" max="7950" width="22.7109375" customWidth="1"/>
    <col min="8193" max="8195" width="28.5703125" customWidth="1"/>
    <col min="8202" max="8205" width="2.85546875" customWidth="1"/>
    <col min="8206" max="8206" width="22.7109375" customWidth="1"/>
    <col min="8449" max="8451" width="28.5703125" customWidth="1"/>
    <col min="8458" max="8461" width="2.85546875" customWidth="1"/>
    <col min="8462" max="8462" width="22.7109375" customWidth="1"/>
    <col min="8705" max="8707" width="28.5703125" customWidth="1"/>
    <col min="8714" max="8717" width="2.85546875" customWidth="1"/>
    <col min="8718" max="8718" width="22.7109375" customWidth="1"/>
    <col min="8961" max="8963" width="28.5703125" customWidth="1"/>
    <col min="8970" max="8973" width="2.85546875" customWidth="1"/>
    <col min="8974" max="8974" width="22.7109375" customWidth="1"/>
    <col min="9217" max="9219" width="28.5703125" customWidth="1"/>
    <col min="9226" max="9229" width="2.85546875" customWidth="1"/>
    <col min="9230" max="9230" width="22.7109375" customWidth="1"/>
    <col min="9473" max="9475" width="28.5703125" customWidth="1"/>
    <col min="9482" max="9485" width="2.85546875" customWidth="1"/>
    <col min="9486" max="9486" width="22.7109375" customWidth="1"/>
    <col min="9729" max="9731" width="28.5703125" customWidth="1"/>
    <col min="9738" max="9741" width="2.85546875" customWidth="1"/>
    <col min="9742" max="9742" width="22.7109375" customWidth="1"/>
    <col min="9985" max="9987" width="28.5703125" customWidth="1"/>
    <col min="9994" max="9997" width="2.85546875" customWidth="1"/>
    <col min="9998" max="9998" width="22.7109375" customWidth="1"/>
    <col min="10241" max="10243" width="28.5703125" customWidth="1"/>
    <col min="10250" max="10253" width="2.85546875" customWidth="1"/>
    <col min="10254" max="10254" width="22.7109375" customWidth="1"/>
    <col min="10497" max="10499" width="28.5703125" customWidth="1"/>
    <col min="10506" max="10509" width="2.85546875" customWidth="1"/>
    <col min="10510" max="10510" width="22.7109375" customWidth="1"/>
    <col min="10753" max="10755" width="28.5703125" customWidth="1"/>
    <col min="10762" max="10765" width="2.85546875" customWidth="1"/>
    <col min="10766" max="10766" width="22.7109375" customWidth="1"/>
    <col min="11009" max="11011" width="28.5703125" customWidth="1"/>
    <col min="11018" max="11021" width="2.85546875" customWidth="1"/>
    <col min="11022" max="11022" width="22.7109375" customWidth="1"/>
    <col min="11265" max="11267" width="28.5703125" customWidth="1"/>
    <col min="11274" max="11277" width="2.85546875" customWidth="1"/>
    <col min="11278" max="11278" width="22.7109375" customWidth="1"/>
    <col min="11521" max="11523" width="28.5703125" customWidth="1"/>
    <col min="11530" max="11533" width="2.85546875" customWidth="1"/>
    <col min="11534" max="11534" width="22.7109375" customWidth="1"/>
    <col min="11777" max="11779" width="28.5703125" customWidth="1"/>
    <col min="11786" max="11789" width="2.85546875" customWidth="1"/>
    <col min="11790" max="11790" width="22.7109375" customWidth="1"/>
    <col min="12033" max="12035" width="28.5703125" customWidth="1"/>
    <col min="12042" max="12045" width="2.85546875" customWidth="1"/>
    <col min="12046" max="12046" width="22.7109375" customWidth="1"/>
    <col min="12289" max="12291" width="28.5703125" customWidth="1"/>
    <col min="12298" max="12301" width="2.85546875" customWidth="1"/>
    <col min="12302" max="12302" width="22.7109375" customWidth="1"/>
    <col min="12545" max="12547" width="28.5703125" customWidth="1"/>
    <col min="12554" max="12557" width="2.85546875" customWidth="1"/>
    <col min="12558" max="12558" width="22.7109375" customWidth="1"/>
    <col min="12801" max="12803" width="28.5703125" customWidth="1"/>
    <col min="12810" max="12813" width="2.85546875" customWidth="1"/>
    <col min="12814" max="12814" width="22.7109375" customWidth="1"/>
    <col min="13057" max="13059" width="28.5703125" customWidth="1"/>
    <col min="13066" max="13069" width="2.85546875" customWidth="1"/>
    <col min="13070" max="13070" width="22.7109375" customWidth="1"/>
    <col min="13313" max="13315" width="28.5703125" customWidth="1"/>
    <col min="13322" max="13325" width="2.85546875" customWidth="1"/>
    <col min="13326" max="13326" width="22.7109375" customWidth="1"/>
    <col min="13569" max="13571" width="28.5703125" customWidth="1"/>
    <col min="13578" max="13581" width="2.85546875" customWidth="1"/>
    <col min="13582" max="13582" width="22.7109375" customWidth="1"/>
    <col min="13825" max="13827" width="28.5703125" customWidth="1"/>
    <col min="13834" max="13837" width="2.85546875" customWidth="1"/>
    <col min="13838" max="13838" width="22.7109375" customWidth="1"/>
    <col min="14081" max="14083" width="28.5703125" customWidth="1"/>
    <col min="14090" max="14093" width="2.85546875" customWidth="1"/>
    <col min="14094" max="14094" width="22.7109375" customWidth="1"/>
    <col min="14337" max="14339" width="28.5703125" customWidth="1"/>
    <col min="14346" max="14349" width="2.85546875" customWidth="1"/>
    <col min="14350" max="14350" width="22.7109375" customWidth="1"/>
    <col min="14593" max="14595" width="28.5703125" customWidth="1"/>
    <col min="14602" max="14605" width="2.85546875" customWidth="1"/>
    <col min="14606" max="14606" width="22.7109375" customWidth="1"/>
    <col min="14849" max="14851" width="28.5703125" customWidth="1"/>
    <col min="14858" max="14861" width="2.85546875" customWidth="1"/>
    <col min="14862" max="14862" width="22.7109375" customWidth="1"/>
    <col min="15105" max="15107" width="28.5703125" customWidth="1"/>
    <col min="15114" max="15117" width="2.85546875" customWidth="1"/>
    <col min="15118" max="15118" width="22.7109375" customWidth="1"/>
    <col min="15361" max="15363" width="28.5703125" customWidth="1"/>
    <col min="15370" max="15373" width="2.85546875" customWidth="1"/>
    <col min="15374" max="15374" width="22.7109375" customWidth="1"/>
    <col min="15617" max="15619" width="28.5703125" customWidth="1"/>
    <col min="15626" max="15629" width="2.85546875" customWidth="1"/>
    <col min="15630" max="15630" width="22.7109375" customWidth="1"/>
    <col min="15873" max="15875" width="28.5703125" customWidth="1"/>
    <col min="15882" max="15885" width="2.85546875" customWidth="1"/>
    <col min="15886" max="15886" width="22.7109375" customWidth="1"/>
    <col min="16129" max="16131" width="28.5703125" customWidth="1"/>
    <col min="16138" max="16141" width="2.85546875" customWidth="1"/>
    <col min="16142" max="16142" width="22.7109375" customWidth="1"/>
  </cols>
  <sheetData>
    <row r="1" spans="1:28" ht="33.75" customHeight="1">
      <c r="A1" s="38" t="s">
        <v>118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8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 spans="1:28">
      <c r="A3" s="76" t="s">
        <v>119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39"/>
      <c r="M3" s="39"/>
      <c r="N3" s="41" t="s">
        <v>120</v>
      </c>
      <c r="O3" s="32" t="s">
        <v>121</v>
      </c>
      <c r="P3" s="101" t="s">
        <v>122</v>
      </c>
      <c r="Q3" s="101"/>
      <c r="R3" s="101"/>
      <c r="S3" s="101"/>
      <c r="T3" s="101"/>
      <c r="U3" s="101"/>
      <c r="V3" s="101"/>
      <c r="W3" s="101"/>
      <c r="X3" s="101"/>
      <c r="Y3" s="101"/>
      <c r="Z3" s="43"/>
      <c r="AA3" s="39"/>
      <c r="AB3" s="39"/>
    </row>
    <row r="4" spans="1:28" ht="1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39"/>
      <c r="M4" s="39"/>
      <c r="N4" s="95" t="s">
        <v>123</v>
      </c>
      <c r="O4" s="99">
        <v>10</v>
      </c>
      <c r="P4" s="77" t="s">
        <v>124</v>
      </c>
      <c r="Q4" s="77"/>
      <c r="R4" s="77"/>
      <c r="S4" s="77"/>
      <c r="T4" s="77"/>
      <c r="U4" s="77"/>
      <c r="V4" s="77"/>
      <c r="W4" s="77"/>
      <c r="X4" s="77"/>
      <c r="Y4" s="77"/>
      <c r="Z4" s="45"/>
      <c r="AA4" s="39"/>
      <c r="AB4" s="39"/>
    </row>
    <row r="5" spans="1:28" ht="15" customHeight="1">
      <c r="A5" s="76" t="s">
        <v>125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39"/>
      <c r="M5" s="39"/>
      <c r="N5" s="96"/>
      <c r="O5" s="100"/>
      <c r="P5" s="77"/>
      <c r="Q5" s="77"/>
      <c r="R5" s="77"/>
      <c r="S5" s="77"/>
      <c r="T5" s="77"/>
      <c r="U5" s="77"/>
      <c r="V5" s="77"/>
      <c r="W5" s="77"/>
      <c r="X5" s="77"/>
      <c r="Y5" s="77"/>
      <c r="Z5" s="45"/>
      <c r="AA5" s="39"/>
      <c r="AB5" s="39"/>
    </row>
    <row r="6" spans="1:28" ht="15" customHeight="1">
      <c r="A6" s="76" t="s">
        <v>126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39"/>
      <c r="M6" s="39"/>
      <c r="N6" s="95" t="s">
        <v>127</v>
      </c>
      <c r="O6" s="99">
        <v>6</v>
      </c>
      <c r="P6" s="77" t="s">
        <v>128</v>
      </c>
      <c r="Q6" s="77"/>
      <c r="R6" s="77"/>
      <c r="S6" s="77"/>
      <c r="T6" s="77"/>
      <c r="U6" s="77"/>
      <c r="V6" s="77"/>
      <c r="W6" s="77"/>
      <c r="X6" s="77"/>
      <c r="Y6" s="77"/>
      <c r="Z6" s="45"/>
      <c r="AA6" s="39"/>
      <c r="AB6" s="39"/>
    </row>
    <row r="7" spans="1:28" ht="15" customHeight="1">
      <c r="A7" s="76" t="s">
        <v>129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39"/>
      <c r="M7" s="39"/>
      <c r="N7" s="96"/>
      <c r="O7" s="100"/>
      <c r="P7" s="77"/>
      <c r="Q7" s="77"/>
      <c r="R7" s="77"/>
      <c r="S7" s="77"/>
      <c r="T7" s="77"/>
      <c r="U7" s="77"/>
      <c r="V7" s="77"/>
      <c r="W7" s="77"/>
      <c r="X7" s="77"/>
      <c r="Y7" s="77"/>
      <c r="Z7" s="45"/>
      <c r="AA7" s="39"/>
      <c r="AB7" s="39"/>
    </row>
    <row r="8" spans="1:28" ht="15" customHeight="1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39"/>
      <c r="M8" s="39"/>
      <c r="N8" s="95" t="s">
        <v>130</v>
      </c>
      <c r="O8" s="99">
        <v>2</v>
      </c>
      <c r="P8" s="77" t="s">
        <v>131</v>
      </c>
      <c r="Q8" s="77"/>
      <c r="R8" s="77"/>
      <c r="S8" s="77"/>
      <c r="T8" s="77"/>
      <c r="U8" s="77"/>
      <c r="V8" s="77"/>
      <c r="W8" s="77"/>
      <c r="X8" s="77"/>
      <c r="Y8" s="77"/>
      <c r="Z8" s="45"/>
      <c r="AA8" s="39"/>
      <c r="AB8" s="39"/>
    </row>
    <row r="9" spans="1:28" ht="15" customHeight="1">
      <c r="A9" s="76" t="s">
        <v>132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39"/>
      <c r="M9" s="39"/>
      <c r="N9" s="96"/>
      <c r="O9" s="100"/>
      <c r="P9" s="77"/>
      <c r="Q9" s="77"/>
      <c r="R9" s="77"/>
      <c r="S9" s="77"/>
      <c r="T9" s="77"/>
      <c r="U9" s="77"/>
      <c r="V9" s="77"/>
      <c r="W9" s="77"/>
      <c r="X9" s="77"/>
      <c r="Y9" s="77"/>
      <c r="Z9" s="45"/>
      <c r="AA9" s="39"/>
      <c r="AB9" s="39"/>
    </row>
    <row r="10" spans="1:28" ht="1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39"/>
      <c r="M10" s="39"/>
      <c r="N10" s="95" t="s">
        <v>133</v>
      </c>
      <c r="O10" s="97" t="s">
        <v>134</v>
      </c>
      <c r="P10" s="77" t="s">
        <v>135</v>
      </c>
      <c r="Q10" s="77"/>
      <c r="R10" s="77"/>
      <c r="S10" s="77"/>
      <c r="T10" s="77"/>
      <c r="U10" s="77"/>
      <c r="V10" s="77"/>
      <c r="W10" s="77"/>
      <c r="X10" s="77"/>
      <c r="Y10" s="77"/>
      <c r="Z10" s="45"/>
      <c r="AA10" s="39"/>
      <c r="AB10" s="39"/>
    </row>
    <row r="11" spans="1:28" ht="15" customHeight="1">
      <c r="A11" s="76" t="s">
        <v>136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39"/>
      <c r="M11" s="39"/>
      <c r="N11" s="96"/>
      <c r="O11" s="9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45"/>
      <c r="AA11" s="39"/>
      <c r="AB11" s="39"/>
    </row>
    <row r="12" spans="1:28" ht="15" customHeight="1">
      <c r="A12" s="98" t="s">
        <v>137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39"/>
      <c r="M12" s="39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39"/>
      <c r="AB12" s="39"/>
    </row>
    <row r="13" spans="1:28" ht="15" customHeight="1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39"/>
      <c r="M13" s="39"/>
      <c r="N13" s="41" t="s">
        <v>138</v>
      </c>
      <c r="O13" s="32" t="s">
        <v>139</v>
      </c>
      <c r="P13" s="94" t="s">
        <v>122</v>
      </c>
      <c r="Q13" s="94"/>
      <c r="R13" s="94"/>
      <c r="S13" s="94"/>
      <c r="T13" s="94"/>
      <c r="U13" s="94"/>
      <c r="V13" s="94"/>
      <c r="W13" s="94"/>
      <c r="X13" s="94"/>
      <c r="Y13" s="94"/>
      <c r="Z13" s="40"/>
      <c r="AA13" s="39"/>
      <c r="AB13" s="39"/>
    </row>
    <row r="14" spans="1:28" ht="15" customHeight="1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39"/>
      <c r="M14" s="39"/>
      <c r="N14" s="47" t="s">
        <v>140</v>
      </c>
      <c r="O14" s="46">
        <v>4</v>
      </c>
      <c r="P14" s="77" t="s">
        <v>141</v>
      </c>
      <c r="Q14" s="77"/>
      <c r="R14" s="77"/>
      <c r="S14" s="77"/>
      <c r="T14" s="77"/>
      <c r="U14" s="77"/>
      <c r="V14" s="77"/>
      <c r="W14" s="77"/>
      <c r="X14" s="77"/>
      <c r="Y14" s="77"/>
      <c r="Z14" s="40"/>
      <c r="AA14" s="39"/>
      <c r="AB14" s="39"/>
    </row>
    <row r="15" spans="1:28" ht="15" customHeight="1">
      <c r="A15" s="76" t="s">
        <v>142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39"/>
      <c r="M15" s="39"/>
      <c r="N15" s="47" t="s">
        <v>143</v>
      </c>
      <c r="O15" s="46">
        <v>3</v>
      </c>
      <c r="P15" s="77" t="s">
        <v>144</v>
      </c>
      <c r="Q15" s="77"/>
      <c r="R15" s="77"/>
      <c r="S15" s="77"/>
      <c r="T15" s="77"/>
      <c r="U15" s="77"/>
      <c r="V15" s="77"/>
      <c r="W15" s="77"/>
      <c r="X15" s="77"/>
      <c r="Y15" s="77"/>
      <c r="Z15" s="40"/>
      <c r="AA15" s="39"/>
      <c r="AB15" s="39"/>
    </row>
    <row r="16" spans="1:28" ht="15" customHeight="1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39"/>
      <c r="M16" s="39"/>
      <c r="N16" s="47" t="s">
        <v>145</v>
      </c>
      <c r="O16" s="46">
        <v>2</v>
      </c>
      <c r="P16" s="77" t="s">
        <v>146</v>
      </c>
      <c r="Q16" s="77"/>
      <c r="R16" s="77"/>
      <c r="S16" s="77"/>
      <c r="T16" s="77"/>
      <c r="U16" s="77"/>
      <c r="V16" s="77"/>
      <c r="W16" s="77"/>
      <c r="X16" s="77"/>
      <c r="Y16" s="77"/>
      <c r="Z16" s="40"/>
      <c r="AA16" s="39"/>
      <c r="AB16" s="39"/>
    </row>
    <row r="17" spans="1:28" ht="1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39"/>
      <c r="M17" s="39"/>
      <c r="N17" s="47" t="s">
        <v>147</v>
      </c>
      <c r="O17" s="46">
        <v>1</v>
      </c>
      <c r="P17" s="77" t="s">
        <v>148</v>
      </c>
      <c r="Q17" s="77"/>
      <c r="R17" s="77"/>
      <c r="S17" s="77"/>
      <c r="T17" s="77"/>
      <c r="U17" s="77"/>
      <c r="V17" s="77"/>
      <c r="W17" s="77"/>
      <c r="X17" s="77"/>
      <c r="Y17" s="77"/>
      <c r="Z17" s="45"/>
      <c r="AA17" s="39"/>
      <c r="AB17" s="39"/>
    </row>
    <row r="18" spans="1:28" ht="15" customHeight="1">
      <c r="A18" s="76" t="s">
        <v>149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39"/>
      <c r="M18" s="39"/>
      <c r="Z18" s="45"/>
      <c r="AA18" s="39"/>
      <c r="AB18" s="39"/>
    </row>
    <row r="19" spans="1:28" ht="1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39"/>
      <c r="M19" s="39"/>
      <c r="N19" s="48" t="s">
        <v>95</v>
      </c>
      <c r="O19" s="42" t="s">
        <v>150</v>
      </c>
      <c r="P19" s="94" t="s">
        <v>122</v>
      </c>
      <c r="Q19" s="94"/>
      <c r="R19" s="94"/>
      <c r="S19" s="94"/>
      <c r="T19" s="94"/>
      <c r="U19" s="94"/>
      <c r="V19" s="94"/>
      <c r="W19" s="94"/>
      <c r="X19" s="94"/>
      <c r="Y19" s="94"/>
      <c r="Z19" s="45"/>
      <c r="AA19" s="39"/>
      <c r="AB19" s="39"/>
    </row>
    <row r="20" spans="1:28" ht="15" customHeight="1">
      <c r="A20" s="76" t="s">
        <v>151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39"/>
      <c r="M20" s="39"/>
      <c r="N20" s="92" t="s">
        <v>123</v>
      </c>
      <c r="O20" s="93" t="s">
        <v>152</v>
      </c>
      <c r="P20" s="77" t="s">
        <v>153</v>
      </c>
      <c r="Q20" s="77"/>
      <c r="R20" s="77"/>
      <c r="S20" s="77"/>
      <c r="T20" s="77"/>
      <c r="U20" s="77"/>
      <c r="V20" s="77"/>
      <c r="W20" s="77"/>
      <c r="X20" s="77"/>
      <c r="Y20" s="77"/>
      <c r="Z20" s="45"/>
      <c r="AA20" s="39"/>
      <c r="AB20" s="39"/>
    </row>
    <row r="21" spans="1:28" ht="15" customHeight="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39"/>
      <c r="M21" s="39"/>
      <c r="N21" s="92"/>
      <c r="O21" s="93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40"/>
      <c r="AA21" s="39"/>
      <c r="AB21" s="39"/>
    </row>
    <row r="22" spans="1:28" ht="15" customHeight="1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39"/>
      <c r="M22" s="39"/>
      <c r="N22" s="92" t="s">
        <v>127</v>
      </c>
      <c r="O22" s="93" t="s">
        <v>154</v>
      </c>
      <c r="P22" s="77" t="s">
        <v>155</v>
      </c>
      <c r="Q22" s="77"/>
      <c r="R22" s="77"/>
      <c r="S22" s="77"/>
      <c r="T22" s="77"/>
      <c r="U22" s="77"/>
      <c r="V22" s="77"/>
      <c r="W22" s="77"/>
      <c r="X22" s="77"/>
      <c r="Y22" s="77"/>
      <c r="Z22" s="40"/>
      <c r="AA22" s="39"/>
      <c r="AB22" s="39"/>
    </row>
    <row r="23" spans="1:28" ht="1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39"/>
      <c r="M23" s="39"/>
      <c r="N23" s="92"/>
      <c r="O23" s="93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40"/>
      <c r="AA23" s="39"/>
      <c r="AB23" s="39"/>
    </row>
    <row r="24" spans="1:28" ht="15" customHeight="1">
      <c r="A24" s="76" t="s">
        <v>156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39"/>
      <c r="M24" s="39"/>
      <c r="N24" s="92" t="s">
        <v>130</v>
      </c>
      <c r="O24" s="93" t="s">
        <v>157</v>
      </c>
      <c r="P24" s="77" t="s">
        <v>158</v>
      </c>
      <c r="Q24" s="77"/>
      <c r="R24" s="77"/>
      <c r="S24" s="77"/>
      <c r="T24" s="77"/>
      <c r="U24" s="77"/>
      <c r="V24" s="77"/>
      <c r="W24" s="77"/>
      <c r="X24" s="77"/>
      <c r="Y24" s="77"/>
      <c r="Z24" s="45"/>
      <c r="AA24" s="39"/>
      <c r="AB24" s="39"/>
    </row>
    <row r="25" spans="1:28" ht="1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39"/>
      <c r="M25" s="39"/>
      <c r="N25" s="92"/>
      <c r="O25" s="93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45"/>
      <c r="AA25" s="39"/>
      <c r="AB25" s="39"/>
    </row>
    <row r="26" spans="1:28" ht="15.75" customHeight="1">
      <c r="A26" s="76" t="s">
        <v>159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39"/>
      <c r="M26" s="39"/>
      <c r="N26" s="92" t="s">
        <v>133</v>
      </c>
      <c r="O26" s="93" t="s">
        <v>160</v>
      </c>
      <c r="P26" s="77" t="s">
        <v>161</v>
      </c>
      <c r="Q26" s="77"/>
      <c r="R26" s="77"/>
      <c r="S26" s="77"/>
      <c r="T26" s="77"/>
      <c r="U26" s="77"/>
      <c r="V26" s="77"/>
      <c r="W26" s="77"/>
      <c r="X26" s="77"/>
      <c r="Y26" s="77"/>
      <c r="Z26" s="45"/>
      <c r="AA26" s="39"/>
      <c r="AB26" s="39"/>
    </row>
    <row r="27" spans="1:28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39"/>
      <c r="M27" s="39"/>
      <c r="N27" s="92"/>
      <c r="O27" s="93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45"/>
      <c r="AA27" s="39"/>
      <c r="AB27" s="39"/>
    </row>
    <row r="28" spans="1:28" ht="15.75" customHeight="1">
      <c r="A28" s="87" t="s">
        <v>162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39"/>
      <c r="M28" s="39"/>
      <c r="N28" s="51"/>
      <c r="O28" s="43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39"/>
      <c r="AB28" s="39"/>
    </row>
    <row r="29" spans="1:28" ht="27.6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39"/>
      <c r="M29" s="39"/>
      <c r="N29" s="41" t="s">
        <v>100</v>
      </c>
      <c r="O29" s="42" t="s">
        <v>163</v>
      </c>
      <c r="P29" s="88" t="s">
        <v>164</v>
      </c>
      <c r="Q29" s="89"/>
      <c r="R29" s="89"/>
      <c r="S29" s="89"/>
      <c r="T29" s="89"/>
      <c r="U29" s="90"/>
      <c r="V29" s="45"/>
      <c r="W29" s="45"/>
      <c r="X29" s="45"/>
      <c r="Y29" s="45"/>
      <c r="Z29" s="45"/>
      <c r="AA29" s="39"/>
      <c r="AB29" s="39"/>
    </row>
    <row r="30" spans="1:28" ht="15" customHeight="1">
      <c r="A30" s="87" t="s">
        <v>165</v>
      </c>
      <c r="B30" s="91" t="s">
        <v>166</v>
      </c>
      <c r="C30" s="91" t="s">
        <v>167</v>
      </c>
      <c r="D30" s="40"/>
      <c r="E30" s="40"/>
      <c r="F30" s="40"/>
      <c r="G30" s="40"/>
      <c r="H30" s="40"/>
      <c r="I30" s="40"/>
      <c r="J30" s="40"/>
      <c r="K30" s="40"/>
      <c r="L30" s="39"/>
      <c r="M30" s="39"/>
      <c r="N30" s="47" t="s">
        <v>168</v>
      </c>
      <c r="O30" s="27">
        <v>100</v>
      </c>
      <c r="P30" s="77" t="s">
        <v>169</v>
      </c>
      <c r="Q30" s="77"/>
      <c r="R30" s="77"/>
      <c r="S30" s="77"/>
      <c r="T30" s="77"/>
      <c r="U30" s="77"/>
      <c r="V30" s="45"/>
      <c r="W30" s="45"/>
      <c r="X30" s="45"/>
      <c r="Y30" s="45"/>
      <c r="Z30" s="45"/>
      <c r="AA30" s="39"/>
      <c r="AB30" s="39"/>
    </row>
    <row r="31" spans="1:28">
      <c r="A31" s="87"/>
      <c r="B31" s="91"/>
      <c r="C31" s="91"/>
      <c r="D31" s="40"/>
      <c r="E31" s="40"/>
      <c r="F31" s="40"/>
      <c r="G31" s="40"/>
      <c r="H31" s="40"/>
      <c r="I31" s="40"/>
      <c r="J31" s="40"/>
      <c r="K31" s="40"/>
      <c r="L31" s="39"/>
      <c r="M31" s="39"/>
      <c r="N31" s="47" t="s">
        <v>170</v>
      </c>
      <c r="O31" s="27">
        <v>60</v>
      </c>
      <c r="P31" s="77" t="s">
        <v>171</v>
      </c>
      <c r="Q31" s="77"/>
      <c r="R31" s="77"/>
      <c r="S31" s="77"/>
      <c r="T31" s="77"/>
      <c r="U31" s="77"/>
      <c r="V31" s="45"/>
      <c r="W31" s="45"/>
      <c r="X31" s="45"/>
      <c r="Y31" s="45"/>
      <c r="Z31" s="45"/>
      <c r="AA31" s="39"/>
      <c r="AB31" s="39"/>
    </row>
    <row r="32" spans="1:28" ht="15" customHeight="1">
      <c r="A32" s="50" t="s">
        <v>172</v>
      </c>
      <c r="B32" s="75" t="s">
        <v>173</v>
      </c>
      <c r="C32" s="75" t="s">
        <v>174</v>
      </c>
      <c r="D32" s="40"/>
      <c r="E32" s="40"/>
      <c r="F32" s="40"/>
      <c r="G32" s="40"/>
      <c r="H32" s="40"/>
      <c r="I32" s="40"/>
      <c r="J32" s="40"/>
      <c r="K32" s="40"/>
      <c r="L32" s="39"/>
      <c r="M32" s="39"/>
      <c r="N32" s="47" t="s">
        <v>175</v>
      </c>
      <c r="O32" s="27">
        <v>25</v>
      </c>
      <c r="P32" s="77" t="s">
        <v>176</v>
      </c>
      <c r="Q32" s="77"/>
      <c r="R32" s="77"/>
      <c r="S32" s="77"/>
      <c r="T32" s="77"/>
      <c r="U32" s="77"/>
      <c r="V32" s="44"/>
      <c r="W32" s="44"/>
      <c r="X32" s="40"/>
      <c r="Y32" s="40"/>
      <c r="Z32" s="40"/>
      <c r="AA32" s="39"/>
      <c r="AB32" s="39"/>
    </row>
    <row r="33" spans="1:28" ht="15" customHeight="1">
      <c r="A33" s="40" t="s">
        <v>177</v>
      </c>
      <c r="B33" s="75"/>
      <c r="C33" s="75"/>
      <c r="D33" s="40"/>
      <c r="E33" s="40"/>
      <c r="F33" s="40"/>
      <c r="G33" s="40"/>
      <c r="H33" s="40"/>
      <c r="I33" s="40"/>
      <c r="J33" s="40"/>
      <c r="K33" s="40"/>
      <c r="L33" s="39"/>
      <c r="M33" s="39"/>
      <c r="N33" s="47" t="s">
        <v>178</v>
      </c>
      <c r="O33" s="27">
        <v>10</v>
      </c>
      <c r="P33" s="77" t="s">
        <v>179</v>
      </c>
      <c r="Q33" s="77"/>
      <c r="R33" s="77"/>
      <c r="S33" s="77"/>
      <c r="T33" s="77"/>
      <c r="U33" s="77"/>
      <c r="V33" s="44"/>
      <c r="W33" s="44"/>
      <c r="X33" s="40"/>
      <c r="Y33" s="40"/>
      <c r="Z33" s="40"/>
      <c r="AA33" s="39"/>
      <c r="AB33" s="39"/>
    </row>
    <row r="34" spans="1:28" ht="15" customHeight="1">
      <c r="A34" s="40" t="s">
        <v>180</v>
      </c>
      <c r="B34" s="75"/>
      <c r="C34" s="53" t="s">
        <v>181</v>
      </c>
      <c r="D34" s="40"/>
      <c r="E34" s="40"/>
      <c r="F34" s="40"/>
      <c r="G34" s="40"/>
      <c r="H34" s="40"/>
      <c r="I34" s="40"/>
      <c r="J34" s="40"/>
      <c r="K34" s="40"/>
      <c r="L34" s="39"/>
      <c r="M34" s="39"/>
      <c r="V34" s="40"/>
      <c r="W34" s="40"/>
      <c r="X34" s="40"/>
      <c r="Y34" s="40"/>
      <c r="Z34" s="40"/>
      <c r="AA34" s="39"/>
      <c r="AB34" s="39"/>
    </row>
    <row r="35" spans="1:28" ht="15" customHeight="1">
      <c r="A35" s="40" t="s">
        <v>182</v>
      </c>
      <c r="B35" s="75"/>
      <c r="C35" s="53" t="s">
        <v>183</v>
      </c>
      <c r="D35" s="40"/>
      <c r="E35" s="40"/>
      <c r="F35" s="40"/>
      <c r="G35" s="40"/>
      <c r="H35" s="40"/>
      <c r="I35" s="40"/>
      <c r="J35" s="40"/>
      <c r="K35" s="40"/>
      <c r="L35" s="39"/>
      <c r="M35" s="39"/>
      <c r="N35" s="62" t="s">
        <v>94</v>
      </c>
      <c r="O35" s="63"/>
      <c r="P35" s="66" t="s">
        <v>95</v>
      </c>
      <c r="Q35" s="67"/>
      <c r="R35" s="67"/>
      <c r="S35" s="68"/>
      <c r="V35" s="40"/>
      <c r="W35" s="40"/>
      <c r="X35" s="40"/>
      <c r="Y35" s="40"/>
      <c r="Z35" s="40"/>
      <c r="AA35" s="39"/>
      <c r="AB35" s="39"/>
    </row>
    <row r="36" spans="1:28" ht="15" customHeight="1">
      <c r="A36" s="40" t="s">
        <v>184</v>
      </c>
      <c r="B36" s="75"/>
      <c r="C36" s="53" t="s">
        <v>185</v>
      </c>
      <c r="D36" s="40"/>
      <c r="E36" s="40"/>
      <c r="F36" s="40"/>
      <c r="G36" s="40"/>
      <c r="H36" s="40"/>
      <c r="I36" s="40"/>
      <c r="J36" s="40"/>
      <c r="K36" s="40"/>
      <c r="L36" s="39"/>
      <c r="M36" s="39"/>
      <c r="N36" s="64"/>
      <c r="O36" s="65"/>
      <c r="P36" s="31" t="s">
        <v>96</v>
      </c>
      <c r="Q36" s="30" t="s">
        <v>97</v>
      </c>
      <c r="R36" s="30" t="s">
        <v>98</v>
      </c>
      <c r="S36" s="30" t="s">
        <v>99</v>
      </c>
      <c r="V36" s="40"/>
      <c r="W36" s="40"/>
      <c r="X36" s="40"/>
      <c r="Y36" s="40"/>
      <c r="Z36" s="40"/>
      <c r="AA36" s="39"/>
      <c r="AB36" s="39"/>
    </row>
    <row r="37" spans="1:28" ht="19.149999999999999" customHeight="1">
      <c r="A37" s="40" t="s">
        <v>186</v>
      </c>
      <c r="B37" s="75"/>
      <c r="C37" s="50" t="s">
        <v>187</v>
      </c>
      <c r="D37" s="40"/>
      <c r="E37" s="40"/>
      <c r="F37" s="40"/>
      <c r="G37" s="40"/>
      <c r="H37" s="40"/>
      <c r="I37" s="40"/>
      <c r="J37" s="40"/>
      <c r="K37" s="40"/>
      <c r="L37" s="39"/>
      <c r="M37" s="39"/>
      <c r="N37" s="69" t="s">
        <v>100</v>
      </c>
      <c r="O37" s="27">
        <v>100</v>
      </c>
      <c r="P37" s="29" t="s">
        <v>101</v>
      </c>
      <c r="Q37" s="29" t="s">
        <v>102</v>
      </c>
      <c r="R37" s="29" t="s">
        <v>103</v>
      </c>
      <c r="S37" s="28" t="s">
        <v>104</v>
      </c>
      <c r="V37" s="40"/>
      <c r="W37" s="40"/>
      <c r="X37" s="40"/>
      <c r="Y37" s="40"/>
      <c r="Z37" s="40"/>
      <c r="AA37" s="39"/>
      <c r="AB37" s="39"/>
    </row>
    <row r="38" spans="1:28" ht="15" customHeight="1">
      <c r="A38" s="40" t="s">
        <v>188</v>
      </c>
      <c r="B38" s="75" t="s">
        <v>189</v>
      </c>
      <c r="C38" s="76" t="s">
        <v>190</v>
      </c>
      <c r="D38" s="40"/>
      <c r="E38" s="40"/>
      <c r="F38" s="40"/>
      <c r="G38" s="40"/>
      <c r="H38" s="40"/>
      <c r="I38" s="40"/>
      <c r="J38" s="40"/>
      <c r="K38" s="40"/>
      <c r="L38" s="39"/>
      <c r="M38" s="39"/>
      <c r="N38" s="70"/>
      <c r="O38" s="27">
        <v>60</v>
      </c>
      <c r="P38" s="29" t="s">
        <v>105</v>
      </c>
      <c r="Q38" s="29" t="s">
        <v>106</v>
      </c>
      <c r="R38" s="28" t="s">
        <v>191</v>
      </c>
      <c r="S38" s="27" t="s">
        <v>192</v>
      </c>
      <c r="T38" s="44"/>
      <c r="U38" s="44"/>
      <c r="V38" s="44"/>
      <c r="W38" s="44"/>
      <c r="X38" s="44"/>
      <c r="Y38" s="44"/>
      <c r="Z38" s="40"/>
      <c r="AA38" s="39"/>
      <c r="AB38" s="39"/>
    </row>
    <row r="39" spans="1:28" ht="15" customHeight="1">
      <c r="A39" s="40" t="s">
        <v>193</v>
      </c>
      <c r="B39" s="75"/>
      <c r="C39" s="76"/>
      <c r="D39" s="40"/>
      <c r="E39" s="40"/>
      <c r="F39" s="40"/>
      <c r="G39" s="40"/>
      <c r="H39" s="40"/>
      <c r="I39" s="40"/>
      <c r="J39" s="40"/>
      <c r="K39" s="40"/>
      <c r="L39" s="39"/>
      <c r="M39" s="39"/>
      <c r="N39" s="70"/>
      <c r="O39" s="27">
        <v>25</v>
      </c>
      <c r="P39" s="29" t="s">
        <v>194</v>
      </c>
      <c r="Q39" s="28" t="s">
        <v>110</v>
      </c>
      <c r="R39" s="28" t="s">
        <v>111</v>
      </c>
      <c r="S39" s="28" t="s">
        <v>112</v>
      </c>
      <c r="T39" s="40"/>
      <c r="U39" s="40"/>
      <c r="V39" s="40"/>
      <c r="W39" s="40"/>
      <c r="X39" s="40"/>
      <c r="Y39" s="40"/>
      <c r="Z39" s="40"/>
      <c r="AA39" s="39"/>
      <c r="AB39" s="39"/>
    </row>
    <row r="40" spans="1:28" ht="15" customHeight="1">
      <c r="A40" s="40" t="s">
        <v>195</v>
      </c>
      <c r="B40" s="75"/>
      <c r="C40" s="76"/>
      <c r="D40" s="40"/>
      <c r="E40" s="40"/>
      <c r="F40" s="40"/>
      <c r="G40" s="40"/>
      <c r="H40" s="40"/>
      <c r="I40" s="40"/>
      <c r="J40" s="40"/>
      <c r="K40" s="40"/>
      <c r="L40" s="39"/>
      <c r="M40" s="39"/>
      <c r="N40" s="71"/>
      <c r="O40" s="27">
        <v>10</v>
      </c>
      <c r="P40" s="28" t="s">
        <v>113</v>
      </c>
      <c r="Q40" s="27" t="s">
        <v>192</v>
      </c>
      <c r="R40" s="28" t="s">
        <v>115</v>
      </c>
      <c r="S40" s="28" t="s">
        <v>196</v>
      </c>
      <c r="T40" s="40"/>
      <c r="U40" s="40"/>
      <c r="V40" s="40"/>
      <c r="W40" s="40"/>
      <c r="X40" s="40"/>
      <c r="Y40" s="40"/>
      <c r="Z40" s="40"/>
      <c r="AA40" s="39"/>
      <c r="AB40" s="39"/>
    </row>
    <row r="41" spans="1:28" ht="15" customHeight="1">
      <c r="A41" s="50" t="s">
        <v>197</v>
      </c>
      <c r="B41" s="75"/>
      <c r="C41" s="76"/>
      <c r="D41" s="40"/>
      <c r="E41" s="40"/>
      <c r="F41" s="40"/>
      <c r="G41" s="40"/>
      <c r="H41" s="40"/>
      <c r="I41" s="40"/>
      <c r="J41" s="40"/>
      <c r="K41" s="40"/>
      <c r="L41" s="39"/>
      <c r="M41" s="39"/>
      <c r="T41" s="40"/>
      <c r="U41" s="40"/>
      <c r="V41" s="40"/>
      <c r="W41" s="40"/>
      <c r="X41" s="40"/>
      <c r="Y41" s="40"/>
      <c r="Z41" s="40"/>
      <c r="AA41" s="39"/>
      <c r="AB41" s="39"/>
    </row>
    <row r="42" spans="1:28" ht="15" customHeight="1">
      <c r="A42" s="76" t="s">
        <v>198</v>
      </c>
      <c r="B42" s="75"/>
      <c r="C42" s="75" t="s">
        <v>199</v>
      </c>
      <c r="D42" s="40"/>
      <c r="E42" s="40"/>
      <c r="F42" s="40"/>
      <c r="G42" s="40"/>
      <c r="H42" s="40"/>
      <c r="I42" s="40"/>
      <c r="J42" s="40"/>
      <c r="K42" s="40"/>
      <c r="L42" s="39"/>
      <c r="M42" s="39"/>
      <c r="N42" s="79" t="s">
        <v>200</v>
      </c>
      <c r="O42" s="79" t="s">
        <v>201</v>
      </c>
      <c r="P42" s="81" t="s">
        <v>122</v>
      </c>
      <c r="Q42" s="82"/>
      <c r="R42" s="82"/>
      <c r="S42" s="82"/>
      <c r="T42" s="82"/>
      <c r="U42" s="82"/>
      <c r="V42" s="82"/>
      <c r="W42" s="82"/>
      <c r="X42" s="82"/>
      <c r="Y42" s="83"/>
      <c r="Z42" s="40"/>
      <c r="AA42" s="39"/>
      <c r="AB42" s="39"/>
    </row>
    <row r="43" spans="1:28" ht="15" customHeight="1">
      <c r="A43" s="76"/>
      <c r="B43" s="75"/>
      <c r="C43" s="75"/>
      <c r="D43" s="40"/>
      <c r="E43" s="40"/>
      <c r="F43" s="40"/>
      <c r="G43" s="40"/>
      <c r="H43" s="40"/>
      <c r="I43" s="40"/>
      <c r="J43" s="40"/>
      <c r="K43" s="40"/>
      <c r="L43" s="39"/>
      <c r="M43" s="39"/>
      <c r="N43" s="80"/>
      <c r="O43" s="80"/>
      <c r="P43" s="84"/>
      <c r="Q43" s="85"/>
      <c r="R43" s="85"/>
      <c r="S43" s="85"/>
      <c r="T43" s="85"/>
      <c r="U43" s="85"/>
      <c r="V43" s="85"/>
      <c r="W43" s="85"/>
      <c r="X43" s="85"/>
      <c r="Y43" s="86"/>
      <c r="Z43" s="40"/>
      <c r="AA43" s="39"/>
      <c r="AB43" s="39"/>
    </row>
    <row r="44" spans="1:28" ht="15" customHeight="1">
      <c r="A44" s="75" t="s">
        <v>202</v>
      </c>
      <c r="B44" s="75" t="s">
        <v>203</v>
      </c>
      <c r="C44" s="76" t="s">
        <v>204</v>
      </c>
      <c r="D44" s="40"/>
      <c r="E44" s="40"/>
      <c r="F44" s="40"/>
      <c r="G44" s="40"/>
      <c r="H44" s="40"/>
      <c r="I44" s="40"/>
      <c r="J44" s="40"/>
      <c r="K44" s="40"/>
      <c r="L44" s="39"/>
      <c r="M44" s="39"/>
      <c r="N44" s="27" t="s">
        <v>88</v>
      </c>
      <c r="O44" s="27" t="s">
        <v>205</v>
      </c>
      <c r="P44" s="77" t="s">
        <v>206</v>
      </c>
      <c r="Q44" s="77"/>
      <c r="R44" s="77"/>
      <c r="S44" s="77"/>
      <c r="T44" s="77"/>
      <c r="U44" s="77"/>
      <c r="V44" s="77"/>
      <c r="W44" s="77"/>
      <c r="X44" s="77"/>
      <c r="Y44" s="77"/>
      <c r="Z44" s="40"/>
      <c r="AA44" s="39"/>
      <c r="AB44" s="39"/>
    </row>
    <row r="45" spans="1:28">
      <c r="A45" s="75"/>
      <c r="B45" s="75"/>
      <c r="C45" s="76"/>
      <c r="D45" s="40"/>
      <c r="E45" s="40"/>
      <c r="F45" s="40"/>
      <c r="G45" s="40"/>
      <c r="H45" s="40"/>
      <c r="I45" s="40"/>
      <c r="J45" s="40"/>
      <c r="K45" s="40"/>
      <c r="L45" s="39"/>
      <c r="M45" s="39"/>
      <c r="N45" s="27" t="s">
        <v>84</v>
      </c>
      <c r="O45" s="27" t="s">
        <v>207</v>
      </c>
      <c r="P45" s="77" t="s">
        <v>208</v>
      </c>
      <c r="Q45" s="77"/>
      <c r="R45" s="77"/>
      <c r="S45" s="77"/>
      <c r="T45" s="77"/>
      <c r="U45" s="77"/>
      <c r="V45" s="77"/>
      <c r="W45" s="77"/>
      <c r="X45" s="77"/>
      <c r="Y45" s="77"/>
      <c r="Z45" s="40"/>
      <c r="AA45" s="39"/>
      <c r="AB45" s="39"/>
    </row>
    <row r="46" spans="1:28" ht="15" customHeight="1">
      <c r="A46" s="75" t="s">
        <v>209</v>
      </c>
      <c r="B46" s="75"/>
      <c r="C46" s="76"/>
      <c r="D46" s="40"/>
      <c r="E46" s="40"/>
      <c r="F46" s="40"/>
      <c r="G46" s="40"/>
      <c r="H46" s="40"/>
      <c r="I46" s="40"/>
      <c r="J46" s="40"/>
      <c r="K46" s="40"/>
      <c r="L46" s="39"/>
      <c r="M46" s="39"/>
      <c r="N46" s="27" t="s">
        <v>81</v>
      </c>
      <c r="O46" s="27" t="s">
        <v>210</v>
      </c>
      <c r="P46" s="77" t="s">
        <v>211</v>
      </c>
      <c r="Q46" s="77"/>
      <c r="R46" s="77"/>
      <c r="S46" s="77"/>
      <c r="T46" s="77"/>
      <c r="U46" s="77"/>
      <c r="V46" s="77"/>
      <c r="W46" s="77"/>
      <c r="X46" s="77"/>
      <c r="Y46" s="77"/>
      <c r="Z46" s="40"/>
      <c r="AA46" s="39"/>
      <c r="AB46" s="39"/>
    </row>
    <row r="47" spans="1:28" ht="15" customHeight="1">
      <c r="A47" s="75"/>
      <c r="B47" s="75"/>
      <c r="C47" s="76"/>
      <c r="D47" s="40"/>
      <c r="E47" s="40"/>
      <c r="F47" s="40"/>
      <c r="G47" s="40"/>
      <c r="H47" s="40"/>
      <c r="I47" s="40"/>
      <c r="J47" s="40"/>
      <c r="K47" s="40"/>
      <c r="L47" s="39"/>
      <c r="M47" s="39"/>
      <c r="N47" s="27" t="s">
        <v>77</v>
      </c>
      <c r="O47" s="27">
        <v>20</v>
      </c>
      <c r="P47" s="77" t="s">
        <v>212</v>
      </c>
      <c r="Q47" s="77"/>
      <c r="R47" s="77"/>
      <c r="S47" s="77"/>
      <c r="T47" s="77"/>
      <c r="U47" s="77"/>
      <c r="V47" s="77"/>
      <c r="W47" s="77"/>
      <c r="X47" s="77"/>
      <c r="Y47" s="77"/>
      <c r="Z47" s="40"/>
      <c r="AA47" s="39"/>
      <c r="AB47" s="39"/>
    </row>
    <row r="48" spans="1:28" ht="15" customHeight="1">
      <c r="A48" s="75" t="s">
        <v>213</v>
      </c>
      <c r="B48" s="75" t="s">
        <v>214</v>
      </c>
      <c r="C48" s="76"/>
      <c r="D48" s="40"/>
      <c r="E48" s="40"/>
      <c r="F48" s="40"/>
      <c r="G48" s="40"/>
      <c r="H48" s="40"/>
      <c r="I48" s="40"/>
      <c r="J48" s="40"/>
      <c r="K48" s="40"/>
      <c r="L48" s="39"/>
      <c r="M48" s="39"/>
      <c r="Z48" s="40"/>
      <c r="AA48" s="39"/>
      <c r="AB48" s="39"/>
    </row>
    <row r="49" spans="1:28" ht="15" customHeight="1">
      <c r="A49" s="75"/>
      <c r="B49" s="75"/>
      <c r="C49" s="76"/>
      <c r="D49" s="40"/>
      <c r="E49" s="40"/>
      <c r="F49" s="40"/>
      <c r="G49" s="40"/>
      <c r="H49" s="40"/>
      <c r="I49" s="40"/>
      <c r="J49" s="40"/>
      <c r="K49" s="40"/>
      <c r="L49" s="39"/>
      <c r="M49" s="39"/>
      <c r="N49" s="78" t="s">
        <v>215</v>
      </c>
      <c r="O49" s="78"/>
      <c r="P49" s="78"/>
      <c r="Z49" s="40"/>
      <c r="AA49" s="39"/>
      <c r="AB49" s="39"/>
    </row>
    <row r="50" spans="1:28" ht="15" customHeight="1">
      <c r="A50" s="75" t="s">
        <v>216</v>
      </c>
      <c r="B50" s="75"/>
      <c r="C50" s="76" t="s">
        <v>217</v>
      </c>
      <c r="D50" s="40"/>
      <c r="E50" s="40"/>
      <c r="F50" s="40"/>
      <c r="G50" s="40"/>
      <c r="H50" s="40"/>
      <c r="I50" s="40"/>
      <c r="J50" s="40"/>
      <c r="K50" s="40"/>
      <c r="L50" s="39"/>
      <c r="M50" s="39"/>
      <c r="N50" s="42" t="s">
        <v>218</v>
      </c>
      <c r="O50" s="66" t="s">
        <v>122</v>
      </c>
      <c r="P50" s="68"/>
      <c r="Z50" s="40"/>
      <c r="AA50" s="39"/>
      <c r="AB50" s="39"/>
    </row>
    <row r="51" spans="1:28" ht="15" customHeight="1">
      <c r="A51" s="75"/>
      <c r="B51" s="75"/>
      <c r="C51" s="76"/>
      <c r="D51" s="40"/>
      <c r="E51" s="40"/>
      <c r="F51" s="40"/>
      <c r="G51" s="40"/>
      <c r="H51" s="40"/>
      <c r="I51" s="40"/>
      <c r="J51" s="40"/>
      <c r="K51" s="40"/>
      <c r="L51" s="39"/>
      <c r="M51" s="39"/>
      <c r="N51" s="27" t="s">
        <v>88</v>
      </c>
      <c r="O51" s="77" t="s">
        <v>86</v>
      </c>
      <c r="P51" s="77"/>
      <c r="Z51" s="40"/>
      <c r="AA51" s="39"/>
      <c r="AB51" s="39"/>
    </row>
    <row r="52" spans="1:28" ht="15" customHeight="1">
      <c r="A52" s="75" t="s">
        <v>219</v>
      </c>
      <c r="B52" s="75"/>
      <c r="C52" s="76" t="s">
        <v>220</v>
      </c>
      <c r="D52" s="40"/>
      <c r="E52" s="40"/>
      <c r="F52" s="40"/>
      <c r="G52" s="40"/>
      <c r="H52" s="40"/>
      <c r="I52" s="40"/>
      <c r="J52" s="40"/>
      <c r="K52" s="40"/>
      <c r="L52" s="39"/>
      <c r="M52" s="39"/>
      <c r="N52" s="27" t="s">
        <v>84</v>
      </c>
      <c r="O52" s="77" t="s">
        <v>86</v>
      </c>
      <c r="P52" s="77"/>
      <c r="Q52" s="44"/>
      <c r="R52" s="44"/>
      <c r="S52" s="44"/>
      <c r="T52" s="44"/>
      <c r="U52" s="44"/>
      <c r="V52" s="44"/>
      <c r="W52" s="44"/>
      <c r="X52" s="40"/>
      <c r="Y52" s="40"/>
      <c r="Z52" s="40"/>
      <c r="AA52" s="39"/>
      <c r="AB52" s="39"/>
    </row>
    <row r="53" spans="1:28" ht="15" customHeight="1">
      <c r="A53" s="75"/>
      <c r="B53" s="75" t="s">
        <v>221</v>
      </c>
      <c r="C53" s="76"/>
      <c r="D53" s="40"/>
      <c r="E53" s="40"/>
      <c r="F53" s="40"/>
      <c r="G53" s="40"/>
      <c r="H53" s="40"/>
      <c r="I53" s="40"/>
      <c r="J53" s="40"/>
      <c r="K53" s="40"/>
      <c r="L53" s="39"/>
      <c r="M53" s="39"/>
      <c r="N53" s="27" t="s">
        <v>81</v>
      </c>
      <c r="O53" s="77" t="s">
        <v>79</v>
      </c>
      <c r="P53" s="77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39"/>
      <c r="AB53" s="39"/>
    </row>
    <row r="54" spans="1:28" ht="15" customHeight="1">
      <c r="A54" s="75" t="s">
        <v>222</v>
      </c>
      <c r="B54" s="75"/>
      <c r="C54" s="52" t="s">
        <v>223</v>
      </c>
      <c r="D54" s="40"/>
      <c r="E54" s="40"/>
      <c r="F54" s="40"/>
      <c r="G54" s="40"/>
      <c r="H54" s="40"/>
      <c r="I54" s="40"/>
      <c r="J54" s="40"/>
      <c r="K54" s="40"/>
      <c r="L54" s="39"/>
      <c r="M54" s="39"/>
      <c r="N54" s="27" t="s">
        <v>77</v>
      </c>
      <c r="O54" s="77" t="s">
        <v>79</v>
      </c>
      <c r="P54" s="77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39"/>
      <c r="AB54" s="39"/>
    </row>
    <row r="55" spans="1:28" ht="15" customHeight="1">
      <c r="A55" s="75"/>
      <c r="B55" s="75"/>
      <c r="C55" s="53" t="s">
        <v>224</v>
      </c>
      <c r="D55" s="40"/>
      <c r="E55" s="40"/>
      <c r="F55" s="40"/>
      <c r="G55" s="40"/>
      <c r="H55" s="40"/>
      <c r="I55" s="40"/>
      <c r="J55" s="40"/>
      <c r="K55" s="40"/>
      <c r="L55" s="39"/>
      <c r="M55" s="39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39"/>
      <c r="AB55" s="39"/>
    </row>
    <row r="56" spans="1:28" ht="15" customHeight="1">
      <c r="A56" s="53" t="s">
        <v>225</v>
      </c>
      <c r="B56" s="75"/>
      <c r="C56" s="53" t="s">
        <v>226</v>
      </c>
      <c r="D56" s="40"/>
      <c r="E56" s="40"/>
      <c r="F56" s="40"/>
      <c r="G56" s="40"/>
      <c r="H56" s="40"/>
      <c r="I56" s="40"/>
      <c r="J56" s="40"/>
      <c r="K56" s="40"/>
      <c r="L56" s="39"/>
      <c r="M56" s="39"/>
      <c r="N56" s="76" t="s">
        <v>227</v>
      </c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40"/>
      <c r="AA56" s="39"/>
      <c r="AB56" s="39"/>
    </row>
    <row r="57" spans="1:28">
      <c r="A57" s="52" t="s">
        <v>228</v>
      </c>
      <c r="B57" s="75"/>
      <c r="C57" s="53" t="s">
        <v>229</v>
      </c>
      <c r="D57" s="40"/>
      <c r="E57" s="40"/>
      <c r="F57" s="40"/>
      <c r="G57" s="40"/>
      <c r="H57" s="40"/>
      <c r="I57" s="40"/>
      <c r="J57" s="40"/>
      <c r="K57" s="40"/>
      <c r="L57" s="39"/>
      <c r="M57" s="39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40"/>
      <c r="AA57" s="39"/>
      <c r="AB57" s="39"/>
    </row>
    <row r="58" spans="1:28" ht="15" customHeight="1">
      <c r="A58" s="53" t="s">
        <v>230</v>
      </c>
      <c r="B58" s="75"/>
      <c r="C58" s="53" t="s">
        <v>231</v>
      </c>
      <c r="D58" s="40"/>
      <c r="E58" s="40"/>
      <c r="F58" s="40"/>
      <c r="G58" s="40"/>
      <c r="H58" s="40"/>
      <c r="I58" s="40"/>
      <c r="J58" s="40"/>
      <c r="K58" s="40"/>
      <c r="L58" s="39"/>
      <c r="M58" s="39"/>
      <c r="N58" s="76" t="s">
        <v>232</v>
      </c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40"/>
      <c r="AA58" s="39"/>
      <c r="AB58" s="39"/>
    </row>
    <row r="59" spans="1:28" ht="15" customHeight="1">
      <c r="A59" s="53" t="s">
        <v>233</v>
      </c>
      <c r="B59" s="75"/>
      <c r="C59" s="53" t="s">
        <v>234</v>
      </c>
      <c r="D59" s="40"/>
      <c r="E59" s="40"/>
      <c r="F59" s="40"/>
      <c r="G59" s="40"/>
      <c r="H59" s="40"/>
      <c r="I59" s="40"/>
      <c r="J59" s="40"/>
      <c r="K59" s="40"/>
      <c r="L59" s="39"/>
      <c r="M59" s="39"/>
      <c r="N59" s="76" t="s">
        <v>235</v>
      </c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40"/>
      <c r="AA59" s="39"/>
      <c r="AB59" s="39"/>
    </row>
    <row r="60" spans="1:28" ht="15" customHeight="1">
      <c r="A60" s="53" t="s">
        <v>236</v>
      </c>
      <c r="B60" s="75" t="s">
        <v>237</v>
      </c>
      <c r="C60" s="75" t="s">
        <v>238</v>
      </c>
      <c r="D60" s="40"/>
      <c r="E60" s="40"/>
      <c r="F60" s="40"/>
      <c r="G60" s="40"/>
      <c r="H60" s="40"/>
      <c r="I60" s="40"/>
      <c r="J60" s="40"/>
      <c r="K60" s="40"/>
      <c r="L60" s="39"/>
      <c r="M60" s="39"/>
      <c r="N60" s="76" t="s">
        <v>239</v>
      </c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45"/>
      <c r="AA60" s="39"/>
      <c r="AB60" s="39"/>
    </row>
    <row r="61" spans="1:28" ht="15" customHeight="1">
      <c r="A61" s="53" t="s">
        <v>240</v>
      </c>
      <c r="B61" s="75"/>
      <c r="C61" s="75"/>
      <c r="D61" s="40"/>
      <c r="E61" s="40"/>
      <c r="F61" s="40"/>
      <c r="G61" s="40"/>
      <c r="H61" s="40"/>
      <c r="I61" s="40"/>
      <c r="J61" s="40"/>
      <c r="K61" s="40"/>
      <c r="L61" s="39"/>
      <c r="M61" s="39"/>
      <c r="N61" s="76" t="s">
        <v>241</v>
      </c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45"/>
      <c r="AA61" s="39"/>
      <c r="AB61" s="39"/>
    </row>
    <row r="62" spans="1:28" ht="15.75" customHeight="1">
      <c r="A62" s="53" t="s">
        <v>242</v>
      </c>
      <c r="B62" s="75"/>
      <c r="C62" s="40"/>
      <c r="D62" s="40"/>
      <c r="E62" s="40"/>
      <c r="F62" s="40"/>
      <c r="G62" s="40"/>
      <c r="H62" s="40"/>
      <c r="I62" s="40"/>
      <c r="J62" s="40"/>
      <c r="K62" s="40"/>
      <c r="L62" s="39"/>
      <c r="M62" s="39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40"/>
      <c r="AA62" s="39"/>
      <c r="AB62" s="39"/>
    </row>
    <row r="63" spans="1:28" ht="15" customHeight="1">
      <c r="A63" s="53" t="s">
        <v>243</v>
      </c>
      <c r="B63" s="53"/>
      <c r="C63" s="40"/>
      <c r="D63" s="40"/>
      <c r="E63" s="40"/>
      <c r="F63" s="40"/>
      <c r="G63" s="40"/>
      <c r="H63" s="40"/>
      <c r="I63" s="40"/>
      <c r="J63" s="40"/>
      <c r="K63" s="40"/>
      <c r="L63" s="39"/>
      <c r="M63" s="39"/>
      <c r="N63" s="76" t="s">
        <v>244</v>
      </c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40"/>
      <c r="AA63" s="39"/>
      <c r="AB63" s="39"/>
    </row>
    <row r="64" spans="1:28" ht="15" customHeight="1">
      <c r="A64" s="44"/>
      <c r="B64" s="53"/>
      <c r="C64" s="40"/>
      <c r="D64" s="40"/>
      <c r="E64" s="40"/>
      <c r="F64" s="40"/>
      <c r="G64" s="40"/>
      <c r="H64" s="40"/>
      <c r="I64" s="40"/>
      <c r="J64" s="40"/>
      <c r="K64" s="40"/>
      <c r="L64" s="39"/>
      <c r="M64" s="39"/>
      <c r="Z64" s="40"/>
      <c r="AA64" s="39"/>
      <c r="AB64" s="39"/>
    </row>
    <row r="65" spans="1:28" ht="15" customHeight="1">
      <c r="A65" s="75" t="s">
        <v>245</v>
      </c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39"/>
      <c r="M65" s="39"/>
      <c r="Z65" s="40"/>
      <c r="AA65" s="39"/>
      <c r="AB65" s="39"/>
    </row>
    <row r="66" spans="1:28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39"/>
      <c r="M66" s="39"/>
      <c r="Z66" s="40"/>
      <c r="AA66" s="39"/>
      <c r="AB66" s="39"/>
    </row>
    <row r="67" spans="1:28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39"/>
      <c r="M67" s="39"/>
      <c r="N67" s="44"/>
      <c r="O67" s="44"/>
      <c r="P67" s="44"/>
      <c r="Q67" s="44"/>
      <c r="R67" s="44"/>
      <c r="S67" s="44"/>
      <c r="T67" s="40"/>
      <c r="U67" s="40"/>
      <c r="V67" s="40"/>
      <c r="W67" s="40"/>
      <c r="X67" s="40"/>
      <c r="Y67" s="40"/>
      <c r="Z67" s="40"/>
      <c r="AA67" s="39"/>
      <c r="AB67" s="39"/>
    </row>
    <row r="68" spans="1:28" ht="15" customHeight="1">
      <c r="A68" s="75" t="s">
        <v>246</v>
      </c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39"/>
      <c r="M68" s="39"/>
      <c r="N68" s="44"/>
      <c r="O68" s="44"/>
      <c r="P68" s="44"/>
      <c r="Q68" s="44"/>
      <c r="R68" s="44"/>
      <c r="S68" s="44"/>
      <c r="T68" s="40"/>
      <c r="U68" s="40"/>
      <c r="V68" s="40"/>
      <c r="W68" s="40"/>
      <c r="X68" s="40"/>
      <c r="Y68" s="40"/>
      <c r="Z68" s="40"/>
      <c r="AA68" s="39"/>
      <c r="AB68" s="39"/>
    </row>
    <row r="69" spans="1:28" ht="15" customHeight="1">
      <c r="A69" s="44"/>
      <c r="B69" s="53"/>
      <c r="C69" s="40"/>
      <c r="D69" s="40"/>
      <c r="E69" s="40"/>
      <c r="F69" s="40"/>
      <c r="G69" s="40"/>
      <c r="H69" s="40"/>
      <c r="I69" s="40"/>
      <c r="J69" s="40"/>
      <c r="K69" s="40"/>
      <c r="L69" s="39"/>
      <c r="M69" s="39"/>
      <c r="N69" s="44"/>
      <c r="O69" s="44"/>
      <c r="P69" s="44"/>
      <c r="Q69" s="44"/>
      <c r="R69" s="44"/>
      <c r="S69" s="44"/>
      <c r="T69" s="40"/>
      <c r="U69" s="40"/>
      <c r="V69" s="40"/>
      <c r="W69" s="40"/>
      <c r="X69" s="40"/>
      <c r="Y69" s="40"/>
      <c r="Z69" s="40"/>
      <c r="AA69" s="39"/>
      <c r="AB69" s="39"/>
    </row>
    <row r="70" spans="1:28" ht="15" customHeight="1">
      <c r="A70" s="75" t="s">
        <v>247</v>
      </c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39"/>
      <c r="M70" s="39"/>
      <c r="N70" s="44"/>
      <c r="O70" s="44"/>
      <c r="P70" s="44"/>
      <c r="Q70" s="44"/>
      <c r="R70" s="44"/>
      <c r="S70" s="44"/>
      <c r="T70" s="40"/>
      <c r="U70" s="40"/>
      <c r="V70" s="40"/>
      <c r="W70" s="40"/>
      <c r="X70" s="40"/>
      <c r="Y70" s="40"/>
      <c r="Z70" s="40"/>
      <c r="AA70" s="39"/>
      <c r="AB70" s="39"/>
    </row>
    <row r="71" spans="1:28" ht="15" customHeight="1">
      <c r="A71" s="44"/>
      <c r="B71" s="53"/>
      <c r="C71" s="40"/>
      <c r="D71" s="40"/>
      <c r="E71" s="40"/>
      <c r="F71" s="40"/>
      <c r="G71" s="40"/>
      <c r="H71" s="40"/>
      <c r="I71" s="40"/>
      <c r="J71" s="40"/>
      <c r="K71" s="40"/>
      <c r="L71" s="39"/>
      <c r="M71" s="39"/>
      <c r="N71" s="44"/>
      <c r="O71" s="44"/>
      <c r="P71" s="44"/>
      <c r="Q71" s="44"/>
      <c r="R71" s="44"/>
      <c r="S71" s="44"/>
      <c r="T71" s="40"/>
      <c r="U71" s="40"/>
      <c r="V71" s="40"/>
      <c r="W71" s="40"/>
      <c r="X71" s="40"/>
      <c r="Y71" s="40"/>
      <c r="Z71" s="40"/>
      <c r="AA71" s="39"/>
      <c r="AB71" s="39"/>
    </row>
    <row r="72" spans="1:28" ht="15" customHeight="1">
      <c r="A72" s="75" t="s">
        <v>248</v>
      </c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39"/>
      <c r="M72" s="39"/>
      <c r="N72" s="44"/>
      <c r="O72" s="44"/>
      <c r="P72" s="44"/>
      <c r="Q72" s="44"/>
      <c r="R72" s="44"/>
      <c r="S72" s="44"/>
      <c r="T72" s="40"/>
      <c r="U72" s="40"/>
      <c r="V72" s="40"/>
      <c r="W72" s="40"/>
      <c r="X72" s="40"/>
      <c r="Y72" s="40"/>
      <c r="Z72" s="40"/>
      <c r="AA72" s="39"/>
      <c r="AB72" s="39"/>
    </row>
    <row r="73" spans="1:28" ht="15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39"/>
      <c r="M73" s="39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39"/>
      <c r="AB73" s="39"/>
    </row>
    <row r="74" spans="1:28" ht="15" customHeight="1">
      <c r="A74" s="75" t="s">
        <v>249</v>
      </c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39"/>
      <c r="M74" s="39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0"/>
      <c r="Y74" s="40"/>
      <c r="Z74" s="40"/>
      <c r="AA74" s="39"/>
      <c r="AB74" s="39"/>
    </row>
    <row r="75" spans="1:28" ht="15" customHeight="1">
      <c r="A75" s="44"/>
      <c r="B75" s="44"/>
      <c r="C75" s="40"/>
      <c r="D75" s="40"/>
      <c r="E75" s="40"/>
      <c r="F75" s="40"/>
      <c r="G75" s="40"/>
      <c r="H75" s="40"/>
      <c r="I75" s="40"/>
      <c r="J75" s="40"/>
      <c r="K75" s="40"/>
      <c r="L75" s="39"/>
      <c r="M75" s="39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0"/>
      <c r="Y75" s="40"/>
      <c r="Z75" s="40"/>
      <c r="AA75" s="39"/>
      <c r="AB75" s="39"/>
    </row>
    <row r="76" spans="1:28" ht="15" customHeight="1">
      <c r="A76" s="75" t="s">
        <v>250</v>
      </c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39"/>
      <c r="M76" s="39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0"/>
      <c r="Y76" s="40"/>
      <c r="Z76" s="40"/>
      <c r="AA76" s="39"/>
      <c r="AB76" s="39"/>
    </row>
    <row r="77" spans="1:28" ht="15" customHeight="1">
      <c r="A77" s="44"/>
      <c r="B77" s="44"/>
      <c r="C77" s="40"/>
      <c r="D77" s="40"/>
      <c r="E77" s="40"/>
      <c r="F77" s="40"/>
      <c r="G77" s="40"/>
      <c r="H77" s="40"/>
      <c r="I77" s="40"/>
      <c r="J77" s="40"/>
      <c r="K77" s="40"/>
      <c r="L77" s="39"/>
      <c r="M77" s="39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0"/>
      <c r="Y77" s="40"/>
      <c r="Z77" s="40"/>
      <c r="AA77" s="39"/>
      <c r="AB77" s="39"/>
    </row>
    <row r="78" spans="1:28" ht="15" customHeight="1">
      <c r="A78" s="75" t="s">
        <v>251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39"/>
      <c r="M78" s="39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0"/>
      <c r="Y78" s="40"/>
      <c r="Z78" s="40"/>
      <c r="AA78" s="39"/>
      <c r="AB78" s="39"/>
    </row>
    <row r="79" spans="1:28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39"/>
      <c r="M79" s="39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39"/>
      <c r="AB79" s="39"/>
    </row>
    <row r="80" spans="1:28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39"/>
      <c r="M80" s="39"/>
      <c r="N80" s="44"/>
      <c r="O80" s="44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39"/>
      <c r="AB80" s="39"/>
    </row>
    <row r="81" spans="1:28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39"/>
      <c r="M81" s="39"/>
      <c r="N81" s="44"/>
      <c r="O81" s="44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39"/>
      <c r="AB81" s="39"/>
    </row>
    <row r="82" spans="1:28">
      <c r="A82" s="44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39"/>
      <c r="M82" s="39"/>
      <c r="N82" s="44"/>
      <c r="O82" s="44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39"/>
      <c r="AB82" s="39"/>
    </row>
    <row r="83" spans="1:28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39"/>
      <c r="M83" s="39"/>
      <c r="N83" s="44"/>
      <c r="O83" s="44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39"/>
      <c r="AB83" s="39"/>
    </row>
    <row r="84" spans="1:28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39"/>
      <c r="M84" s="39"/>
      <c r="N84" s="44"/>
      <c r="O84" s="44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39"/>
      <c r="AB84" s="39"/>
    </row>
    <row r="85" spans="1:28" ht="30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39"/>
      <c r="M85" s="39"/>
      <c r="N85" s="44"/>
      <c r="O85" s="44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39"/>
      <c r="AB85" s="39"/>
    </row>
    <row r="86" spans="1:28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39"/>
      <c r="M86" s="39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39"/>
      <c r="AB86" s="39"/>
    </row>
    <row r="87" spans="1:28" ht="1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39"/>
      <c r="M87" s="39"/>
      <c r="N87" s="44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39"/>
      <c r="AB87" s="39"/>
    </row>
    <row r="88" spans="1:28" ht="1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39"/>
      <c r="M88" s="39"/>
      <c r="N88" s="44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39"/>
      <c r="AB88" s="39"/>
    </row>
    <row r="89" spans="1:28" ht="1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39"/>
      <c r="M89" s="39"/>
      <c r="N89" s="44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39"/>
      <c r="AB89" s="39"/>
    </row>
    <row r="90" spans="1:28" ht="1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39"/>
      <c r="M90" s="39"/>
      <c r="N90" s="44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39"/>
      <c r="AB90" s="39"/>
    </row>
    <row r="91" spans="1:28" ht="15" customHeight="1">
      <c r="A91" s="44"/>
      <c r="B91" s="44"/>
      <c r="C91" s="44"/>
      <c r="D91" s="40"/>
      <c r="E91" s="40"/>
      <c r="F91" s="40"/>
      <c r="G91" s="40"/>
      <c r="H91" s="40"/>
      <c r="I91" s="40"/>
      <c r="J91" s="40"/>
      <c r="K91" s="40"/>
      <c r="L91" s="39"/>
      <c r="M91" s="39"/>
      <c r="N91" s="44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39"/>
      <c r="AB91" s="39"/>
    </row>
    <row r="92" spans="1:28" ht="15" customHeight="1">
      <c r="A92" s="44"/>
      <c r="B92" s="44"/>
      <c r="C92" s="44"/>
      <c r="D92" s="40"/>
      <c r="E92" s="40"/>
      <c r="F92" s="40"/>
      <c r="G92" s="40"/>
      <c r="H92" s="40"/>
      <c r="I92" s="40"/>
      <c r="J92" s="40"/>
      <c r="K92" s="40"/>
      <c r="L92" s="39"/>
      <c r="M92" s="39"/>
      <c r="N92" s="44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39"/>
      <c r="AB92" s="39"/>
    </row>
    <row r="93" spans="1:28">
      <c r="A93" s="44"/>
      <c r="B93" s="44"/>
      <c r="C93" s="44"/>
      <c r="D93" s="40"/>
      <c r="E93" s="40"/>
      <c r="F93" s="40"/>
      <c r="G93" s="40"/>
      <c r="H93" s="40"/>
      <c r="I93" s="40"/>
      <c r="J93" s="40"/>
      <c r="K93" s="40"/>
      <c r="L93" s="39"/>
      <c r="M93" s="39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39"/>
      <c r="AB93" s="39"/>
    </row>
    <row r="94" spans="1:28">
      <c r="A94" s="44"/>
      <c r="B94" s="44"/>
      <c r="C94" s="44"/>
      <c r="D94" s="40"/>
      <c r="E94" s="40"/>
      <c r="F94" s="40"/>
      <c r="G94" s="40"/>
      <c r="H94" s="40"/>
      <c r="I94" s="40"/>
      <c r="J94" s="40"/>
      <c r="K94" s="40"/>
      <c r="L94" s="39"/>
      <c r="M94" s="39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39"/>
      <c r="AB94" s="39"/>
    </row>
    <row r="95" spans="1:28">
      <c r="A95" s="44"/>
      <c r="B95" s="44"/>
      <c r="C95" s="44"/>
      <c r="D95" s="40"/>
      <c r="E95" s="40"/>
      <c r="F95" s="40"/>
      <c r="G95" s="40"/>
      <c r="H95" s="40"/>
      <c r="I95" s="40"/>
      <c r="J95" s="40"/>
      <c r="K95" s="40"/>
      <c r="L95" s="39"/>
      <c r="M95" s="39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39"/>
      <c r="AB95" s="39"/>
    </row>
    <row r="96" spans="1:28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39"/>
      <c r="M96" s="39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39"/>
      <c r="AB96" s="39"/>
    </row>
    <row r="97" spans="1:28">
      <c r="A97" s="44"/>
      <c r="B97" s="44"/>
      <c r="C97" s="44"/>
      <c r="D97" s="40"/>
      <c r="E97" s="40"/>
      <c r="F97" s="40"/>
      <c r="G97" s="40"/>
      <c r="H97" s="40"/>
      <c r="I97" s="40"/>
      <c r="J97" s="40"/>
      <c r="K97" s="40"/>
      <c r="L97" s="39"/>
      <c r="M97" s="39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39"/>
      <c r="AB97" s="39"/>
    </row>
    <row r="98" spans="1:28"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</row>
    <row r="99" spans="1:28"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</row>
    <row r="100" spans="1:28"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</row>
    <row r="101" spans="1:28"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</row>
    <row r="102" spans="1:28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</row>
    <row r="103" spans="1:28"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</row>
    <row r="104" spans="1:28"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</row>
    <row r="105" spans="1:28"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</row>
    <row r="106" spans="1:28"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</row>
    <row r="108" spans="1:28"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</row>
    <row r="109" spans="1:28"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</row>
    <row r="110" spans="1:28"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</row>
    <row r="111" spans="1:28"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</row>
    <row r="112" spans="1:28"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</row>
    <row r="113" spans="1:28"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</row>
    <row r="114" spans="1:28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</row>
    <row r="115" spans="1:28"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</row>
    <row r="116" spans="1:28"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</row>
    <row r="117" spans="1:28"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</row>
    <row r="118" spans="1:28"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</row>
    <row r="119" spans="1:28"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</row>
    <row r="120" spans="1:28"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</row>
    <row r="121" spans="1:28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</row>
    <row r="122" spans="1:28"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</row>
    <row r="123" spans="1:28"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</row>
    <row r="124" spans="1:28"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</row>
    <row r="125" spans="1:28"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</row>
    <row r="126" spans="1:28"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</row>
    <row r="127" spans="1:28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</row>
    <row r="128" spans="1:28"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</row>
    <row r="129" spans="1:28"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</row>
    <row r="130" spans="1:28"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</row>
    <row r="131" spans="1:28"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</row>
    <row r="132" spans="1:28"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</row>
    <row r="133" spans="1:28"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</row>
    <row r="134" spans="1:28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</row>
    <row r="135" spans="1:28"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</row>
    <row r="136" spans="1:28"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</row>
    <row r="137" spans="1:28"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</row>
    <row r="138" spans="1:28"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</row>
    <row r="139" spans="1:28"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</row>
    <row r="140" spans="1:28"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</row>
    <row r="141" spans="1:28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</row>
    <row r="142" spans="1:28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</row>
    <row r="143" spans="1:28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</row>
    <row r="144" spans="1:28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</row>
    <row r="145" spans="1:28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</row>
    <row r="146" spans="1:28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</row>
    <row r="147" spans="1:28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</row>
    <row r="148" spans="1:2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</row>
    <row r="149" spans="1:28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</row>
    <row r="150" spans="1:28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</row>
    <row r="151" spans="1:28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</row>
    <row r="152" spans="1:28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</row>
    <row r="153" spans="1:28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</row>
    <row r="154" spans="1:28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</row>
    <row r="155" spans="1:28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</row>
    <row r="156" spans="1:28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</row>
    <row r="157" spans="1:28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</row>
    <row r="158" spans="1:2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</row>
    <row r="159" spans="1:28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</row>
    <row r="160" spans="1:28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</row>
    <row r="161" spans="1:28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</row>
    <row r="162" spans="1:28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</row>
    <row r="163" spans="1:28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</row>
    <row r="164" spans="1:28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</row>
    <row r="165" spans="1:28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</row>
    <row r="166" spans="1:28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</row>
    <row r="167" spans="1:28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</row>
    <row r="168" spans="1:2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</row>
    <row r="169" spans="1:28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</row>
    <row r="170" spans="1:28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</row>
    <row r="171" spans="1:28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</row>
    <row r="172" spans="1:28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</row>
    <row r="173" spans="1:28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</row>
    <row r="174" spans="1:28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</row>
    <row r="175" spans="1:28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</row>
    <row r="176" spans="1:28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</row>
    <row r="177" spans="1:28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</row>
    <row r="178" spans="1:2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</row>
    <row r="179" spans="1:28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</row>
    <row r="180" spans="1:28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</row>
    <row r="181" spans="1:28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</row>
    <row r="182" spans="1:28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</row>
    <row r="183" spans="1:28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</row>
    <row r="184" spans="1:28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</row>
    <row r="185" spans="1:28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</row>
    <row r="186" spans="1:28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</row>
    <row r="187" spans="1:28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</row>
    <row r="188" spans="1:2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</row>
    <row r="189" spans="1:28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</row>
    <row r="190" spans="1:28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</row>
    <row r="191" spans="1:28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</row>
    <row r="192" spans="1:28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</row>
    <row r="193" spans="1:28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</row>
    <row r="194" spans="1:28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</row>
    <row r="195" spans="1:28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</row>
    <row r="196" spans="1:28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</row>
    <row r="197" spans="1:28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</row>
    <row r="198" spans="1:2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</row>
    <row r="199" spans="1:28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</row>
    <row r="200" spans="1:28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</row>
    <row r="201" spans="1:28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</row>
  </sheetData>
  <sheetProtection selectLockedCells="1" selectUnlockedCells="1"/>
  <mergeCells count="101">
    <mergeCell ref="A3:K3"/>
    <mergeCell ref="P3:Y3"/>
    <mergeCell ref="N4:N5"/>
    <mergeCell ref="O4:O5"/>
    <mergeCell ref="P4:Y5"/>
    <mergeCell ref="A5:K5"/>
    <mergeCell ref="N10:N11"/>
    <mergeCell ref="O10:O11"/>
    <mergeCell ref="P10:Y11"/>
    <mergeCell ref="A11:K11"/>
    <mergeCell ref="A12:K13"/>
    <mergeCell ref="P13:Y13"/>
    <mergeCell ref="A6:K6"/>
    <mergeCell ref="N6:N7"/>
    <mergeCell ref="O6:O7"/>
    <mergeCell ref="P6:Y7"/>
    <mergeCell ref="A7:K8"/>
    <mergeCell ref="N8:N9"/>
    <mergeCell ref="O8:O9"/>
    <mergeCell ref="P8:Y9"/>
    <mergeCell ref="A9:K9"/>
    <mergeCell ref="P19:Y19"/>
    <mergeCell ref="A20:K22"/>
    <mergeCell ref="N20:N21"/>
    <mergeCell ref="O20:O21"/>
    <mergeCell ref="P20:Y21"/>
    <mergeCell ref="N22:N23"/>
    <mergeCell ref="O22:O23"/>
    <mergeCell ref="P22:Y23"/>
    <mergeCell ref="P14:Y14"/>
    <mergeCell ref="A15:K16"/>
    <mergeCell ref="P15:Y15"/>
    <mergeCell ref="P16:Y16"/>
    <mergeCell ref="P17:Y17"/>
    <mergeCell ref="A18:K18"/>
    <mergeCell ref="A28:K28"/>
    <mergeCell ref="P29:U29"/>
    <mergeCell ref="A30:A31"/>
    <mergeCell ref="B30:B31"/>
    <mergeCell ref="C30:C31"/>
    <mergeCell ref="P30:U30"/>
    <mergeCell ref="P31:U31"/>
    <mergeCell ref="A24:K24"/>
    <mergeCell ref="N24:N25"/>
    <mergeCell ref="O24:O25"/>
    <mergeCell ref="P24:Y25"/>
    <mergeCell ref="A26:K26"/>
    <mergeCell ref="N26:N27"/>
    <mergeCell ref="O26:O27"/>
    <mergeCell ref="P26:Y27"/>
    <mergeCell ref="B32:B37"/>
    <mergeCell ref="C32:C33"/>
    <mergeCell ref="P32:U32"/>
    <mergeCell ref="P33:U33"/>
    <mergeCell ref="N35:O36"/>
    <mergeCell ref="P35:S35"/>
    <mergeCell ref="N37:N40"/>
    <mergeCell ref="B38:B43"/>
    <mergeCell ref="C38:C41"/>
    <mergeCell ref="A42:A43"/>
    <mergeCell ref="C42:C43"/>
    <mergeCell ref="N42:N43"/>
    <mergeCell ref="O42:O43"/>
    <mergeCell ref="P42:Y43"/>
    <mergeCell ref="A44:A45"/>
    <mergeCell ref="B44:B47"/>
    <mergeCell ref="C44:C49"/>
    <mergeCell ref="P44:Y44"/>
    <mergeCell ref="P45:Y45"/>
    <mergeCell ref="A46:A47"/>
    <mergeCell ref="P46:Y46"/>
    <mergeCell ref="P47:Y47"/>
    <mergeCell ref="A48:A49"/>
    <mergeCell ref="B48:B52"/>
    <mergeCell ref="N49:P49"/>
    <mergeCell ref="A50:A51"/>
    <mergeCell ref="C50:C51"/>
    <mergeCell ref="O50:P50"/>
    <mergeCell ref="O51:P51"/>
    <mergeCell ref="A52:A53"/>
    <mergeCell ref="C52:C53"/>
    <mergeCell ref="O52:P52"/>
    <mergeCell ref="B53:B59"/>
    <mergeCell ref="O53:P53"/>
    <mergeCell ref="A54:A55"/>
    <mergeCell ref="O54:P54"/>
    <mergeCell ref="N56:Y57"/>
    <mergeCell ref="N58:Y58"/>
    <mergeCell ref="N59:Y59"/>
    <mergeCell ref="A68:K68"/>
    <mergeCell ref="A70:K70"/>
    <mergeCell ref="A72:K73"/>
    <mergeCell ref="A74:K74"/>
    <mergeCell ref="A76:K76"/>
    <mergeCell ref="A78:K78"/>
    <mergeCell ref="B60:B62"/>
    <mergeCell ref="C60:C61"/>
    <mergeCell ref="N60:Y60"/>
    <mergeCell ref="N61:Y62"/>
    <mergeCell ref="N63:Y63"/>
    <mergeCell ref="A65:K65"/>
  </mergeCells>
  <printOptions horizontalCentered="1"/>
  <pageMargins left="0.39370078740157483" right="0.39370078740157483" top="0.39370078740157483" bottom="0.39370078740157483" header="0" footer="0"/>
  <pageSetup scale="41" orientation="landscape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D84E-C11B-4AF0-B29C-ADF6B3838F2D}">
  <dimension ref="A3:T8"/>
  <sheetViews>
    <sheetView zoomScale="80" zoomScaleNormal="80" workbookViewId="0">
      <selection activeCell="I6" sqref="I6:N8"/>
    </sheetView>
  </sheetViews>
  <sheetFormatPr defaultColWidth="11.42578125" defaultRowHeight="15"/>
  <cols>
    <col min="1" max="1" width="16.7109375" customWidth="1"/>
    <col min="2" max="2" width="29" customWidth="1"/>
    <col min="3" max="3" width="18.28515625" customWidth="1"/>
    <col min="4" max="4" width="22.7109375" customWidth="1"/>
    <col min="5" max="5" width="24.28515625" customWidth="1"/>
    <col min="8" max="8" width="21" customWidth="1"/>
    <col min="15" max="15" width="16.42578125" customWidth="1"/>
    <col min="16" max="16" width="21.5703125" customWidth="1"/>
    <col min="17" max="17" width="33.28515625" customWidth="1"/>
    <col min="18" max="18" width="16.140625" customWidth="1"/>
    <col min="20" max="20" width="22.5703125" customWidth="1"/>
  </cols>
  <sheetData>
    <row r="3" spans="1:20">
      <c r="A3" s="1"/>
    </row>
    <row r="4" spans="1:20">
      <c r="A4" s="1"/>
      <c r="B4" t="s">
        <v>252</v>
      </c>
      <c r="C4" t="s">
        <v>253</v>
      </c>
      <c r="D4" t="s">
        <v>254</v>
      </c>
      <c r="E4" t="s">
        <v>255</v>
      </c>
      <c r="F4" t="s">
        <v>256</v>
      </c>
      <c r="G4" t="s">
        <v>257</v>
      </c>
      <c r="H4" t="s">
        <v>258</v>
      </c>
      <c r="I4" t="s">
        <v>259</v>
      </c>
      <c r="J4" t="s">
        <v>139</v>
      </c>
      <c r="K4" t="s">
        <v>150</v>
      </c>
      <c r="L4" t="s">
        <v>163</v>
      </c>
      <c r="M4" t="s">
        <v>201</v>
      </c>
      <c r="N4" t="s">
        <v>260</v>
      </c>
      <c r="O4" t="s">
        <v>261</v>
      </c>
      <c r="P4" t="s">
        <v>262</v>
      </c>
      <c r="Q4" t="s">
        <v>263</v>
      </c>
      <c r="R4" t="s">
        <v>264</v>
      </c>
      <c r="S4" t="s">
        <v>265</v>
      </c>
      <c r="T4" t="s">
        <v>266</v>
      </c>
    </row>
    <row r="5" spans="1:20">
      <c r="A5" s="1"/>
    </row>
    <row r="6" spans="1:20" ht="31.15" customHeight="1">
      <c r="A6" s="3"/>
      <c r="B6" t="s">
        <v>267</v>
      </c>
      <c r="C6" t="s">
        <v>268</v>
      </c>
      <c r="D6" t="s">
        <v>269</v>
      </c>
      <c r="E6" t="s">
        <v>270</v>
      </c>
      <c r="F6" t="s">
        <v>271</v>
      </c>
      <c r="G6" t="s">
        <v>272</v>
      </c>
      <c r="H6" s="4" t="s">
        <v>273</v>
      </c>
      <c r="I6">
        <v>6</v>
      </c>
      <c r="J6">
        <v>3</v>
      </c>
      <c r="K6">
        <v>18</v>
      </c>
      <c r="L6">
        <v>60</v>
      </c>
      <c r="M6">
        <v>1080</v>
      </c>
      <c r="N6" t="s">
        <v>274</v>
      </c>
      <c r="O6" s="4" t="s">
        <v>275</v>
      </c>
      <c r="P6" t="s">
        <v>276</v>
      </c>
      <c r="Q6" t="s">
        <v>277</v>
      </c>
      <c r="R6" s="4" t="s">
        <v>278</v>
      </c>
      <c r="S6">
        <v>2026</v>
      </c>
    </row>
    <row r="7" spans="1:20" ht="15" customHeight="1">
      <c r="A7" s="1"/>
    </row>
    <row r="8" spans="1:20" ht="28.15" customHeight="1">
      <c r="A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5F3E-EC0C-4CC7-B181-04386EC6D595}">
  <dimension ref="B2:B14"/>
  <sheetViews>
    <sheetView workbookViewId="0">
      <selection activeCell="B33" sqref="B33"/>
    </sheetView>
  </sheetViews>
  <sheetFormatPr defaultColWidth="11.42578125" defaultRowHeight="15"/>
  <sheetData>
    <row r="2" spans="2:2">
      <c r="B2" t="s">
        <v>279</v>
      </c>
    </row>
    <row r="4" spans="2:2">
      <c r="B4" t="s">
        <v>280</v>
      </c>
    </row>
    <row r="5" spans="2:2">
      <c r="B5" t="s">
        <v>281</v>
      </c>
    </row>
    <row r="6" spans="2:2">
      <c r="B6" t="s">
        <v>282</v>
      </c>
    </row>
    <row r="7" spans="2:2">
      <c r="B7" t="s">
        <v>283</v>
      </c>
    </row>
    <row r="8" spans="2:2">
      <c r="B8" t="s">
        <v>284</v>
      </c>
    </row>
    <row r="9" spans="2:2" ht="12.6" customHeight="1">
      <c r="B9" t="s">
        <v>285</v>
      </c>
    </row>
    <row r="10" spans="2:2">
      <c r="B10" t="s">
        <v>286</v>
      </c>
    </row>
    <row r="11" spans="2:2">
      <c r="B11" t="s">
        <v>287</v>
      </c>
    </row>
    <row r="12" spans="2:2">
      <c r="B12" t="s">
        <v>288</v>
      </c>
    </row>
    <row r="13" spans="2:2">
      <c r="B13" t="s">
        <v>289</v>
      </c>
    </row>
    <row r="14" spans="2:2">
      <c r="B14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TALENTOHUMANO</dc:creator>
  <cp:keywords/>
  <dc:description/>
  <cp:lastModifiedBy>Ruben Felipe Tovar Aviles</cp:lastModifiedBy>
  <cp:revision/>
  <dcterms:created xsi:type="dcterms:W3CDTF">2026-01-30T16:25:11Z</dcterms:created>
  <dcterms:modified xsi:type="dcterms:W3CDTF">2026-02-02T17:33:02Z</dcterms:modified>
  <cp:category/>
  <cp:contentStatus/>
</cp:coreProperties>
</file>