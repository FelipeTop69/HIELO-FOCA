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ipea\OneDrive\Documentos\HIELO FOCA\RH\Encuestas PESV\"/>
    </mc:Choice>
  </mc:AlternateContent>
  <xr:revisionPtr revIDLastSave="0" documentId="13_ncr:1_{57140DBB-B77F-4054-A74C-6D5B81FD4DF7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MOTO" sheetId="1" r:id="rId1"/>
    <sheet name="FORMULARIOS" sheetId="3" r:id="rId2"/>
    <sheet name="CARR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9" i="3"/>
  <c r="B10" i="3"/>
  <c r="B11" i="3"/>
  <c r="B12" i="3"/>
  <c r="B13" i="3"/>
  <c r="B14" i="3"/>
  <c r="B15" i="3"/>
  <c r="B11" i="1" l="1"/>
  <c r="B10" i="1"/>
  <c r="B9" i="1"/>
  <c r="B8" i="1"/>
  <c r="B7" i="1"/>
  <c r="B6" i="1"/>
  <c r="B5" i="1"/>
  <c r="B3" i="1"/>
  <c r="B4" i="1"/>
  <c r="B6" i="2"/>
  <c r="B3" i="2"/>
  <c r="B4" i="2"/>
  <c r="B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Tovar Aviles</author>
  </authors>
  <commentList>
    <comment ref="B8" authorId="0" shapeId="0" xr:uid="{A8B512D6-720F-4784-B160-035AC978034B}">
      <text>
        <r>
          <rPr>
            <b/>
            <sz val="9"/>
            <color indexed="81"/>
            <rFont val="Tahoma"/>
            <charset val="1"/>
          </rPr>
          <t>Felipe Tovar Aviles:</t>
        </r>
        <r>
          <rPr>
            <sz val="9"/>
            <color indexed="81"/>
            <rFont val="Tahoma"/>
            <charset val="1"/>
          </rPr>
          <t xml:space="preserve">
No conicide la licencia de transito presentada con la que esta registrada en el RUNT</t>
        </r>
      </text>
    </comment>
    <comment ref="B9" authorId="0" shapeId="0" xr:uid="{C210537E-65EF-4264-9261-885F6A003FC1}">
      <text>
        <r>
          <rPr>
            <b/>
            <sz val="9"/>
            <color indexed="81"/>
            <rFont val="Tahoma"/>
            <charset val="1"/>
          </rPr>
          <t>Felipe Tovar Aviles:</t>
        </r>
        <r>
          <rPr>
            <sz val="9"/>
            <color indexed="81"/>
            <rFont val="Tahoma"/>
            <charset val="1"/>
          </rPr>
          <t xml:space="preserve">
SOAT VENCIDO
</t>
        </r>
      </text>
    </comment>
  </commentList>
</comments>
</file>

<file path=xl/sharedStrings.xml><?xml version="1.0" encoding="utf-8"?>
<sst xmlns="http://schemas.openxmlformats.org/spreadsheetml/2006/main" count="131" uniqueCount="65">
  <si>
    <t>N°</t>
  </si>
  <si>
    <t>NOMBRE</t>
  </si>
  <si>
    <t>CEDULA</t>
  </si>
  <si>
    <t>N° SOAT</t>
  </si>
  <si>
    <t>PLACA</t>
  </si>
  <si>
    <t>N° Interno</t>
  </si>
  <si>
    <t>Area</t>
  </si>
  <si>
    <t>Ciudad</t>
  </si>
  <si>
    <t>CARLOS ANDRES CALDERON VARGAS</t>
  </si>
  <si>
    <t>BAJAJ</t>
  </si>
  <si>
    <t>KXD64F</t>
  </si>
  <si>
    <t>CRISTIAN ANDRES RICO YULE</t>
  </si>
  <si>
    <t>SAE17D</t>
  </si>
  <si>
    <t>AKT</t>
  </si>
  <si>
    <t>JOHN ELKIN RIOS CORDOBA</t>
  </si>
  <si>
    <t>QTZ14B</t>
  </si>
  <si>
    <t>SUZUKI</t>
  </si>
  <si>
    <t>&gt;= 125 CC</t>
  </si>
  <si>
    <t>JORGE GONZALEZ MARTINEZ</t>
  </si>
  <si>
    <t>VRR30G</t>
  </si>
  <si>
    <t>JOSE WILLIAM PEÑA GONZALEZ</t>
  </si>
  <si>
    <t>INX92B</t>
  </si>
  <si>
    <t>HONDA</t>
  </si>
  <si>
    <t>MANOLO MENZA ESCOBAR</t>
  </si>
  <si>
    <t>MAC23C</t>
  </si>
  <si>
    <t>CRISTIAN DAVID BRAVO QUINTERO</t>
  </si>
  <si>
    <t>JGC42H</t>
  </si>
  <si>
    <t>REJ11H</t>
  </si>
  <si>
    <t>HERO</t>
  </si>
  <si>
    <t>RFL57H</t>
  </si>
  <si>
    <t>A2</t>
  </si>
  <si>
    <t>1508020348020941</t>
  </si>
  <si>
    <t>CONDUCIR CON LENTES</t>
  </si>
  <si>
    <t>NINGUNA</t>
  </si>
  <si>
    <t>4141049</t>
  </si>
  <si>
    <t>NO APLICA</t>
  </si>
  <si>
    <t>CONDUCTOR</t>
  </si>
  <si>
    <t>MARCA</t>
  </si>
  <si>
    <t>MODELO</t>
  </si>
  <si>
    <t>TIPO VEHICULO</t>
  </si>
  <si>
    <t>N° LICENCIA CONDUCCION</t>
  </si>
  <si>
    <t>VENC. LICENCIA CONDUCCION</t>
  </si>
  <si>
    <t>CATEGORIA</t>
  </si>
  <si>
    <t>RESTRICCIONES DE LICENCIA</t>
  </si>
  <si>
    <t>N° LICENCIA TRANSITO</t>
  </si>
  <si>
    <t>N° TECNOMECANICA</t>
  </si>
  <si>
    <t>CODIGO</t>
  </si>
  <si>
    <t>N/A</t>
  </si>
  <si>
    <t xml:space="preserve">FORMULARIO MOTO: </t>
  </si>
  <si>
    <t>FORMULARIO CARRO:</t>
  </si>
  <si>
    <t>https://forms.gle/Qhk9jswMSuKSRXJC9</t>
  </si>
  <si>
    <t>https://forms.gle/nV4Mp5DGBGCDpVoV8</t>
  </si>
  <si>
    <t>FORMULARIOS</t>
  </si>
  <si>
    <t>LINK</t>
  </si>
  <si>
    <t>https://docs.google.com/forms/d/e/1FAIpQLSf2pJ73zFe6TAay0oYKYYPF68Im7rg3dvWmxiA1LSkIXWRcrA/viewform?usp=pp_url&amp;entry.1224725918=CARLOS+ANDRES+CALDERON+VARGAS&amp;entry.1043732100=1075324543&amp;entry.1844146731=1508020348020941&amp;entry.2019467002=2029-04-05&amp;entry.2034385725=A2&amp;entry.1717299640=KXD64F&amp;entry.1644177803=NINGUNA&amp;entry.1623663502=BAJAJ&amp;entry.1795124056=2021&amp;entry.818059440=Motocicleta+Igual+o+Inferior+a+125+cc&amp;entry.1881975723=10021034204&amp;entry.1834591344=14289413182430&amp;entry.2070070149=180673854</t>
  </si>
  <si>
    <t>https://docs.google.com/forms/d/e/1FAIpQLSf2pJ73zFe6TAay0oYKYYPF68Im7rg3dvWmxiA1LSkIXWRcrA/viewform?usp=pp_url&amp;entry.1224725918=CRISTIAN+ANDRES+RICO+YULE&amp;entry.1043732100=1075311763&amp;entry.1844146731=1075311763&amp;entry.2019467002=2029-09-09&amp;entry.2034385725=A2&amp;entry.1717299640=SAE17D&amp;entry.1644177803=CONDUCIR+CON+LENTES&amp;entry.1623663502=AKT&amp;entry.1795124056=2015&amp;entry.818059440=Motocicleta+Igual+o+Inferior+a+125+cc&amp;entry.1881975723=10018984694&amp;entry.1834591344=4308006501614000&amp;entry.2070070149=179996307</t>
  </si>
  <si>
    <t>VEHICULO</t>
  </si>
  <si>
    <t>MOTO</t>
  </si>
  <si>
    <t>https://docs.google.com/forms/d/e/1FAIpQLSf2pJ73zFe6TAay0oYKYYPF68Im7rg3dvWmxiA1LSkIXWRcrA/viewform?usp=pp_url&amp;entry.1224725918=JOHN+ELKIN+RIOS+CORDOBA&amp;entry.1043732100=1075239239&amp;entry.1844146731=1075239239&amp;entry.2019467002=2032-02-02&amp;entry.2034385725=A2&amp;entry.1717299640=QTZ14B&amp;entry.1644177803=NINGUNA&amp;entry.1623663502=SUZUKI&amp;entry.1795124056=2010&amp;entry.818059440=Motocicleta+Igual+o+Inferior+a+125+cc&amp;entry.1881975723=4141049&amp;entry.1834591344=1308004373420000&amp;entry.2070070149=181663842</t>
  </si>
  <si>
    <t>https://docs.google.com/forms/d/e/1FAIpQLSf2pJ73zFe6TAay0oYKYYPF68Im7rg3dvWmxiA1LSkIXWRcrA/viewform?usp=pp_url&amp;entry.1224725918=JORGE+GONZALEZ+MARTINEZ&amp;entry.1043732100=79411860&amp;entry.1844146731=79411860&amp;entry.2019467002=2026-06-13&amp;entry.2034385725=A2&amp;entry.1717299640=VRR30G&amp;entry.1644177803=CONDUCIR+CON+LENTES&amp;entry.1623663502=SUZUKI&amp;entry.1795124056=2024&amp;entry.818059440=Motocicleta+Igual+o+Inferior+a+125+cc&amp;entry.1881975723=10030491574&amp;entry.1834591344=93868954&amp;entry.2070070149=185413046</t>
  </si>
  <si>
    <t>https://docs.google.com/forms/d/e/1FAIpQLSf2pJ73zFe6TAay0oYKYYPF68Im7rg3dvWmxiA1LSkIXWRcrA/viewform?usp=pp_url&amp;entry.1224725918=JOSE+WILLIAM+PE%C3%91A+GONZALEZ&amp;entry.1043732100=1082214903&amp;entry.1844146731=1082214903&amp;entry.2019467002=2033-10-13&amp;entry.2034385725=A2&amp;entry.1717299640=INX92B&amp;entry.1644177803=NINGUNA&amp;entry.1623663502=HONDA&amp;entry.1795124056=2008&amp;entry.818059440=Motocicleta+Igual+o+Inferior+a+125+cc&amp;entry.1881975723=2656449&amp;entry.1834591344=4308007922847000&amp;entry.2070070149=185049856</t>
  </si>
  <si>
    <t>https://docs.google.com/forms/d/e/1FAIpQLSf2pJ73zFe6TAay0oYKYYPF68Im7rg3dvWmxiA1LSkIXWRcrA/viewform?usp=pp_url&amp;entry.1717299640=RFL57H&amp;entry.1623663502=HERO&amp;entry.1795124056=2026&amp;entry.818059440=Motocicleta+Igual+o+Inferior+a+125+cc&amp;entry.1881975723=10035852978&amp;entry.1834591344=4308007126959000&amp;entry.2070070149=NO+APLICA</t>
  </si>
  <si>
    <t>https://docs.google.com/forms/d/e/1FAIpQLSf2pJ73zFe6TAay0oYKYYPF68Im7rg3dvWmxiA1LSkIXWRcrA/viewform?usp=pp_url&amp;entry.2034385725=A02&amp;entry.1717299640=REJ11H&amp;entry.1623663502=HERO&amp;entry.1795124056=2026&amp;entry.818059440=Motocicleta+Igual+o+Inferior+a+125+cc&amp;entry.1881975723=10034787944&amp;entry.1834591344=4308006956131000&amp;entry.2070070149=NO+APLICA</t>
  </si>
  <si>
    <t>https://docs.google.com/forms/d/e/1FAIpQLSf2pJ73zFe6TAay0oYKYYPF68Im7rg3dvWmxiA1LSkIXWRcrA/viewform?usp=pp_url&amp;entry.1224725918=CRISTIAN+DAVID+BRAVO+QUINTERO&amp;entry.1043732100=1148442390&amp;entry.1844146731=1148442390&amp;entry.2019467002=2032-01-18&amp;entry.2034385725=A2&amp;entry.1717299640=JGC42H&amp;entry.1644177803=NINGUNA&amp;entry.1623663502=BAJAJ&amp;entry.1795124056=2025&amp;entry.818059440=Motocicleta+Igual+o+Inferior+a+125+cc&amp;entry.1881975723=10033684046&amp;entry.1834591344=4308006927176000&amp;entry.2070070149=182958025</t>
  </si>
  <si>
    <t>https://docs.google.com/forms/d/e/1FAIpQLSf2pJ73zFe6TAay0oYKYYPF68Im7rg3dvWmxiA1LSkIXWRcrA/viewform?usp=pp_url&amp;entry.1224725918=MANOLO+MENZA+ESCOBAR&amp;entry.1043732100=7725134&amp;entry.1844146731=7725134&amp;entry.2019467002=2033-05-19&amp;entry.2034385725=A2&amp;entry.1717299640=MAC23C&amp;entry.1644177803=NINGUNA&amp;entry.1623663502=BAJAJ&amp;entry.1795124056=2011&amp;entry.818059440=Motocicleta+Igual+o+Inferior+a+125+cc&amp;entry.1881975723=10018663952&amp;entry.1834591344=4308006927176000&amp;entry.2070070149=182958025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</si>
</sst>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1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5" fillId="0" borderId="0" xfId="2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5" fillId="0" borderId="0" xfId="2"/>
    <xf numFmtId="0" fontId="5" fillId="0" borderId="0" xfId="2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3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B8EF9E-F657-4A9B-97F3-DEAEEF4C48B6}" name="Conductores_Moto" displayName="Conductores_Moto" ref="B2:P11" totalsRowShown="0" headerRowDxfId="32" dataDxfId="31">
  <autoFilter ref="B2:P11" xr:uid="{4EB8EF9E-F657-4A9B-97F3-DEAEEF4C48B6}"/>
  <tableColumns count="15">
    <tableColumn id="1" xr3:uid="{B05DCF9F-8C19-4B9F-891A-71C56544E8BB}" name="N°" dataDxfId="30">
      <calculatedColumnFormula>ROW()-2</calculatedColumnFormula>
    </tableColumn>
    <tableColumn id="2" xr3:uid="{04722251-E16B-483F-885A-8F5489E8C081}" name="NOMBRE" dataDxfId="29"/>
    <tableColumn id="3" xr3:uid="{1667FFC6-5CFA-4D16-A2E8-789677901F04}" name="CEDULA" dataDxfId="28"/>
    <tableColumn id="7" xr3:uid="{6BD6C41E-8ED0-4B3A-BA85-8817E7F84948}" name="PLACA" dataDxfId="27"/>
    <tableColumn id="9" xr3:uid="{04C1F34D-211E-404D-8881-7AD9C173F2CE}" name="MARCA" dataDxfId="26"/>
    <tableColumn id="10" xr3:uid="{21E5DA93-BBC1-4DA1-94FE-7873DAB21C12}" name="MODELO" dataDxfId="25"/>
    <tableColumn id="11" xr3:uid="{613BFCEA-9818-44A5-BA5B-7E3022F70E5E}" name="TIPO VEHICULO" dataDxfId="24"/>
    <tableColumn id="16" xr3:uid="{9C85E032-E7FA-449D-ADD8-BC273AB25810}" name="N° LICENCIA CONDUCCION" dataDxfId="23"/>
    <tableColumn id="17" xr3:uid="{0EABB337-A64F-42DA-B479-1533888B4CF4}" name="VENC. LICENCIA CONDUCCION" dataDxfId="22"/>
    <tableColumn id="18" xr3:uid="{79DBE90D-83C1-4AD8-8ECB-BBBF754F58F9}" name="CATEGORIA" dataDxfId="21"/>
    <tableColumn id="19" xr3:uid="{52861595-2667-4D03-ACDB-22A430E6757F}" name="RESTRICCIONES DE LICENCIA" dataDxfId="20"/>
    <tableColumn id="12" xr3:uid="{544A733D-86E5-45F0-8F5E-D5E1D1803CC4}" name="N° LICENCIA TRANSITO" dataDxfId="19"/>
    <tableColumn id="13" xr3:uid="{09A347FA-CD4A-4A8E-9BB1-882E6A9E78B3}" name="N° SOAT" dataDxfId="18"/>
    <tableColumn id="14" xr3:uid="{F6D76FC3-D07A-4F3E-BCEA-BEF0EE802139}" name="N° TECNOMECANICA" dataDxfId="17"/>
    <tableColumn id="4" xr3:uid="{FEC06E28-DF71-468A-9F6A-07BDE02B29EF}" name="CODIGO" dataDxfId="16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8A644D-9ED0-4366-AEC9-1D19BC94F4CA}" name="Formularios_Moto" displayName="Formularios_Moto" ref="B6:G15" totalsRowShown="0" headerRowDxfId="15" dataDxfId="14">
  <autoFilter ref="B6:G15" xr:uid="{488A644D-9ED0-4366-AEC9-1D19BC94F4CA}"/>
  <tableColumns count="6">
    <tableColumn id="1" xr3:uid="{141E3A07-437E-4E13-A123-2FAA4976B715}" name="N°" dataDxfId="13">
      <calculatedColumnFormula>ROW()-6</calculatedColumnFormula>
    </tableColumn>
    <tableColumn id="2" xr3:uid="{929476D5-F75C-4CD5-858C-5CC844CC79EC}" name="CONDUCTOR" dataDxfId="12"/>
    <tableColumn id="7" xr3:uid="{0D3D7983-1DC0-4B9E-BA91-1CC6F3282C1D}" name="PLACA" dataDxfId="11"/>
    <tableColumn id="9" xr3:uid="{FA36785A-0A16-4C69-B3FB-57D394FD2B3E}" name="MARCA" dataDxfId="10"/>
    <tableColumn id="21" xr3:uid="{B4517C90-95DC-4162-A1F4-528D99A62D94}" name="LINK" dataDxfId="9"/>
    <tableColumn id="3" xr3:uid="{C51A2751-FF3B-4E60-969D-B81446AB2AB4}" name="VEHICULO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0A5079-24CC-4112-AD76-C9290F2524CC}" name="Tabla2" displayName="Tabla2" ref="B2:G6" totalsRowShown="0" headerRowDxfId="7" dataDxfId="6">
  <autoFilter ref="B2:G6" xr:uid="{2A0A5079-24CC-4112-AD76-C9290F2524CC}"/>
  <tableColumns count="6">
    <tableColumn id="1" xr3:uid="{C3E741DD-FA44-4ADA-B312-DC357B39E691}" name="N°" dataDxfId="5">
      <calculatedColumnFormula>ROW()-2</calculatedColumnFormula>
    </tableColumn>
    <tableColumn id="2" xr3:uid="{4A828654-26E7-4BCB-9ADD-970633C742BB}" name="NOMBRE" dataDxfId="4"/>
    <tableColumn id="3" xr3:uid="{83E3B254-B7D3-4BF5-8F39-973510DC4E4D}" name="PLACA" dataDxfId="3"/>
    <tableColumn id="4" xr3:uid="{5B8AAE0D-2F8F-4F26-90CD-90B5213E4CC0}" name="N° Interno" dataDxfId="2"/>
    <tableColumn id="5" xr3:uid="{85355C69-F663-447D-935C-A82B1BAC882A}" name="Area" dataDxfId="1"/>
    <tableColumn id="6" xr3:uid="{14595361-A5D5-42ED-B318-C9BD12D23960}" name="Ciuda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forms/d/e/1FAIpQLSf2pJ73zFe6TAay0oYKYYPF68Im7rg3dvWmxiA1LSkIXWRcrA/viewform?usp=pp_url&amp;entry.1224725918=CRISTIAN+DAVID+BRAVO+QUINTERO&amp;entry.1043732100=1148442390&amp;entry.1844146731=1148442390&amp;entry.2019467002=2032-01-18&amp;entry.2034385725=A2&amp;entry.1717299640=JGC42H&amp;entry.1644177803=NINGUNA&amp;entry.1623663502=BAJAJ&amp;entry.1795124056=2025&amp;entry.818059440=Motocicleta+Igual+o+Inferior+a+125+cc&amp;entry.1881975723=10033684046&amp;entry.1834591344=4308006927176000&amp;entry.2070070149=182958025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docs.google.com/forms/d/e/1FAIpQLSf2pJ73zFe6TAay0oYKYYPF68Im7rg3dvWmxiA1LSkIXWRcrA/viewform?usp=pp_url&amp;entry.1224725918=CARLOS+ANDRES+CALDERON+VARGAS&amp;entry.1043732100=1075324543&amp;entry.1844146731=1508020348020941&amp;entry.2019467002=2029-04-05&amp;entry.2034385725=A2&amp;entry.1717299640=KXD64F&amp;entry.1644177803=NINGUNA&amp;entry.1623663502=BAJAJ&amp;entry.1795124056=2021&amp;entry.818059440=Motocicleta+Igual+o+Inferior+a+125+cc&amp;entry.1881975723=10021034204&amp;entry.1834591344=14289413182430&amp;entry.2070070149=180673854" TargetMode="External"/><Relationship Id="rId7" Type="http://schemas.openxmlformats.org/officeDocument/2006/relationships/hyperlink" Target="https://docs.google.com/forms/d/e/1FAIpQLSf2pJ73zFe6TAay0oYKYYPF68Im7rg3dvWmxiA1LSkIXWRcrA/viewform?usp=pp_url&amp;entry.1224725918=JOSE+WILLIAM+PE%C3%91A+GONZALEZ&amp;entry.1043732100=1082214903&amp;entry.1844146731=1082214903&amp;entry.2019467002=2033-10-13&amp;entry.2034385725=A2&amp;entry.1717299640=INX92B&amp;entry.1644177803=NINGUNA&amp;entry.1623663502=HONDA&amp;entry.1795124056=2008&amp;entry.818059440=Motocicleta+Igual+o+Inferior+a+125+cc&amp;entry.1881975723=2656449&amp;entry.1834591344=4308007922847000&amp;entry.2070070149=185049856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forms.gle/nV4Mp5DGBGCDpVoV8" TargetMode="External"/><Relationship Id="rId1" Type="http://schemas.openxmlformats.org/officeDocument/2006/relationships/hyperlink" Target="https://forms.gle/Qhk9jswMSuKSRXJC9" TargetMode="External"/><Relationship Id="rId6" Type="http://schemas.openxmlformats.org/officeDocument/2006/relationships/hyperlink" Target="https://docs.google.com/forms/d/e/1FAIpQLSf2pJ73zFe6TAay0oYKYYPF68Im7rg3dvWmxiA1LSkIXWRcrA/viewform?usp=pp_url&amp;entry.1224725918=JORGE+GONZALEZ+MARTINEZ&amp;entry.1043732100=79411860&amp;entry.1844146731=79411860&amp;entry.2019467002=2026-06-13&amp;entry.2034385725=A2&amp;entry.1717299640=VRR30G&amp;entry.1644177803=CONDUCIR+CON+LENTES&amp;entry.1623663502=SUZUKI&amp;entry.1795124056=2024&amp;entry.818059440=Motocicleta+Igual+o+Inferior+a+125+cc&amp;entry.1881975723=10030491574&amp;entry.1834591344=93868954&amp;entry.2070070149=185413046" TargetMode="External"/><Relationship Id="rId11" Type="http://schemas.openxmlformats.org/officeDocument/2006/relationships/hyperlink" Target="https://docs.google.com/forms/d/e/1FAIpQLSf2pJ73zFe6TAay0oYKYYPF68Im7rg3dvWmxiA1LSkIXWRcrA/viewform?usp=pp_url&amp;entry.1224725918=MANOLO+MENZA+ESCOBAR&amp;entry.1043732100=7725134&amp;entry.1844146731=7725134&amp;entry.2019467002=2033-05-19&amp;entry.2034385725=A2&amp;entry.1717299640=MAC23C&amp;entry.1644177803=NINGUNA&amp;entry.1623663502=BAJAJ&amp;entry.1795124056=2011&amp;entry.818059440=Motocicleta+Igual+o+Inferior+a+125+cc&amp;entry.1881975723=10018663952&amp;entry.1834591344=4308006927176000&amp;entry.2070070149=182958025" TargetMode="External"/><Relationship Id="rId5" Type="http://schemas.openxmlformats.org/officeDocument/2006/relationships/hyperlink" Target="https://docs.google.com/forms/d/e/1FAIpQLSf2pJ73zFe6TAay0oYKYYPF68Im7rg3dvWmxiA1LSkIXWRcrA/viewform?usp=pp_url&amp;entry.1224725918=JOHN+ELKIN+RIOS+CORDOBA&amp;entry.1043732100=1075239239&amp;entry.1844146731=1075239239&amp;entry.2019467002=2032-02-02&amp;entry.2034385725=A2&amp;entry.1717299640=QTZ14B&amp;entry.1644177803=NINGUNA&amp;entry.1623663502=SUZUKI&amp;entry.1795124056=2010&amp;entry.818059440=Motocicleta+Igual+o+Inferior+a+125+cc&amp;entry.1881975723=4141049&amp;entry.1834591344=1308004373420000&amp;entry.2070070149=181663842" TargetMode="External"/><Relationship Id="rId10" Type="http://schemas.openxmlformats.org/officeDocument/2006/relationships/hyperlink" Target="https://docs.google.com/forms/d/e/1FAIpQLSf2pJ73zFe6TAay0oYKYYPF68Im7rg3dvWmxiA1LSkIXWRcrA/viewform?usp=pp_url&amp;entry.2034385725=A02&amp;entry.1717299640=REJ11H&amp;entry.1623663502=HERO&amp;entry.1795124056=2026&amp;entry.818059440=Motocicleta+Igual+o+Inferior+a+125+cc&amp;entry.1881975723=10034787944&amp;entry.1834591344=4308006956131000&amp;entry.2070070149=NO+APLICA" TargetMode="External"/><Relationship Id="rId4" Type="http://schemas.openxmlformats.org/officeDocument/2006/relationships/hyperlink" Target="https://docs.google.com/forms/d/e/1FAIpQLSf2pJ73zFe6TAay0oYKYYPF68Im7rg3dvWmxiA1LSkIXWRcrA/viewform?usp=pp_url&amp;entry.1224725918=CRISTIAN+ANDRES+RICO+YULE&amp;entry.1043732100=1075311763&amp;entry.1844146731=1075311763&amp;entry.2019467002=2029-09-09&amp;entry.2034385725=A2&amp;entry.1717299640=SAE17D&amp;entry.1644177803=CONDUCIR+CON+LENTES&amp;entry.1623663502=AKT&amp;entry.1795124056=2015&amp;entry.818059440=Motocicleta+Igual+o+Inferior+a+125+cc&amp;entry.1881975723=10018984694&amp;entry.1834591344=4308006501614000&amp;entry.2070070149=179996307" TargetMode="External"/><Relationship Id="rId9" Type="http://schemas.openxmlformats.org/officeDocument/2006/relationships/hyperlink" Target="https://docs.google.com/forms/d/e/1FAIpQLSf2pJ73zFe6TAay0oYKYYPF68Im7rg3dvWmxiA1LSkIXWRcrA/viewform?usp=pp_url&amp;entry.1717299640=RFL57H&amp;entry.1623663502=HERO&amp;entry.1795124056=2026&amp;entry.818059440=Motocicleta+Igual+o+Inferior+a+125+cc&amp;entry.1881975723=10035852978&amp;entry.1834591344=4308007126959000&amp;entry.2070070149=NO+APLIC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1"/>
  <sheetViews>
    <sheetView topLeftCell="A3" zoomScale="85" zoomScaleNormal="85" workbookViewId="0">
      <pane xSplit="3" topLeftCell="I1" activePane="topRight" state="frozen"/>
      <selection pane="topRight" activeCell="G13" sqref="G13"/>
    </sheetView>
  </sheetViews>
  <sheetFormatPr baseColWidth="10" defaultColWidth="9.140625" defaultRowHeight="15" x14ac:dyDescent="0.25"/>
  <cols>
    <col min="2" max="2" width="8.5703125" bestFit="1" customWidth="1"/>
    <col min="3" max="3" width="33.7109375" bestFit="1" customWidth="1"/>
    <col min="4" max="4" width="13.28515625" bestFit="1" customWidth="1"/>
    <col min="5" max="5" width="11.7109375" bestFit="1" customWidth="1"/>
    <col min="6" max="6" width="12.7109375" bestFit="1" customWidth="1"/>
    <col min="7" max="7" width="14.140625" bestFit="1" customWidth="1"/>
    <col min="8" max="8" width="19.42578125" bestFit="1" customWidth="1"/>
    <col min="9" max="9" width="29.28515625" bestFit="1" customWidth="1"/>
    <col min="10" max="10" width="32.7109375" bestFit="1" customWidth="1"/>
    <col min="11" max="11" width="16.28515625" bestFit="1" customWidth="1"/>
    <col min="12" max="12" width="30.7109375" bestFit="1" customWidth="1"/>
    <col min="13" max="13" width="25.140625" customWidth="1"/>
    <col min="14" max="14" width="21" bestFit="1" customWidth="1"/>
    <col min="15" max="15" width="24" bestFit="1" customWidth="1"/>
  </cols>
  <sheetData>
    <row r="2" spans="2:16" ht="30" customHeight="1" x14ac:dyDescent="0.25">
      <c r="B2" s="1" t="s">
        <v>0</v>
      </c>
      <c r="C2" s="1" t="s">
        <v>1</v>
      </c>
      <c r="D2" s="1" t="s">
        <v>2</v>
      </c>
      <c r="E2" s="1" t="s">
        <v>4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3</v>
      </c>
      <c r="O2" s="1" t="s">
        <v>45</v>
      </c>
      <c r="P2" s="1" t="s">
        <v>46</v>
      </c>
    </row>
    <row r="3" spans="2:16" ht="30" customHeight="1" x14ac:dyDescent="0.25">
      <c r="B3" s="1">
        <f t="shared" ref="B3:B4" si="0">ROW()-2</f>
        <v>1</v>
      </c>
      <c r="C3" s="1" t="s">
        <v>8</v>
      </c>
      <c r="D3" s="1">
        <v>1075324543</v>
      </c>
      <c r="E3" s="1" t="s">
        <v>10</v>
      </c>
      <c r="F3" s="1" t="s">
        <v>9</v>
      </c>
      <c r="G3" s="1">
        <v>2021</v>
      </c>
      <c r="H3" s="1" t="s">
        <v>17</v>
      </c>
      <c r="I3" s="5" t="s">
        <v>31</v>
      </c>
      <c r="J3" s="6">
        <v>47213</v>
      </c>
      <c r="K3" s="1" t="s">
        <v>30</v>
      </c>
      <c r="L3" s="1" t="s">
        <v>33</v>
      </c>
      <c r="M3" s="1">
        <v>10021034204</v>
      </c>
      <c r="N3" s="4">
        <v>14289413182430</v>
      </c>
      <c r="O3" s="1">
        <v>180673854</v>
      </c>
      <c r="P3" s="1">
        <v>53</v>
      </c>
    </row>
    <row r="4" spans="2:16" ht="30" customHeight="1" x14ac:dyDescent="0.25">
      <c r="B4" s="1">
        <f t="shared" si="0"/>
        <v>2</v>
      </c>
      <c r="C4" s="1" t="s">
        <v>11</v>
      </c>
      <c r="D4" s="2">
        <v>1075311763</v>
      </c>
      <c r="E4" s="2" t="s">
        <v>12</v>
      </c>
      <c r="F4" s="2" t="s">
        <v>13</v>
      </c>
      <c r="G4" s="2">
        <v>2015</v>
      </c>
      <c r="H4" s="1" t="s">
        <v>17</v>
      </c>
      <c r="I4" s="2">
        <v>1075311763</v>
      </c>
      <c r="J4" s="7">
        <v>47370</v>
      </c>
      <c r="K4" s="1" t="s">
        <v>30</v>
      </c>
      <c r="L4" s="2" t="s">
        <v>32</v>
      </c>
      <c r="M4" s="3">
        <v>10018984694</v>
      </c>
      <c r="N4" s="4">
        <v>4308006501614000</v>
      </c>
      <c r="O4" s="1">
        <v>179996307</v>
      </c>
      <c r="P4" s="1">
        <v>57</v>
      </c>
    </row>
    <row r="5" spans="2:16" ht="30" customHeight="1" x14ac:dyDescent="0.25">
      <c r="B5" s="1">
        <f t="shared" ref="B5:B11" si="1">ROW()-2</f>
        <v>3</v>
      </c>
      <c r="C5" s="1" t="s">
        <v>14</v>
      </c>
      <c r="D5" s="1">
        <v>1075239239</v>
      </c>
      <c r="E5" s="1" t="s">
        <v>15</v>
      </c>
      <c r="F5" s="1" t="s">
        <v>16</v>
      </c>
      <c r="G5" s="1">
        <v>2010</v>
      </c>
      <c r="H5" s="1" t="s">
        <v>17</v>
      </c>
      <c r="I5" s="1">
        <v>1075239239</v>
      </c>
      <c r="J5" s="6">
        <v>48246</v>
      </c>
      <c r="K5" s="1" t="s">
        <v>30</v>
      </c>
      <c r="L5" s="1" t="s">
        <v>33</v>
      </c>
      <c r="M5" s="5" t="s">
        <v>34</v>
      </c>
      <c r="N5" s="4">
        <v>1308004373420000</v>
      </c>
      <c r="O5" s="1">
        <v>181663842</v>
      </c>
      <c r="P5" s="1">
        <v>52</v>
      </c>
    </row>
    <row r="6" spans="2:16" ht="30" customHeight="1" x14ac:dyDescent="0.25">
      <c r="B6" s="1">
        <f t="shared" si="1"/>
        <v>4</v>
      </c>
      <c r="C6" s="1" t="s">
        <v>18</v>
      </c>
      <c r="D6" s="1">
        <v>79411860</v>
      </c>
      <c r="E6" s="1" t="s">
        <v>19</v>
      </c>
      <c r="F6" s="1" t="s">
        <v>16</v>
      </c>
      <c r="G6" s="1">
        <v>2024</v>
      </c>
      <c r="H6" s="1" t="s">
        <v>17</v>
      </c>
      <c r="I6" s="1">
        <v>79411860</v>
      </c>
      <c r="J6" s="6">
        <v>46186</v>
      </c>
      <c r="K6" s="1" t="s">
        <v>30</v>
      </c>
      <c r="L6" s="2" t="s">
        <v>32</v>
      </c>
      <c r="M6" s="1">
        <v>10030491574</v>
      </c>
      <c r="N6" s="1">
        <v>93868954</v>
      </c>
      <c r="O6" s="1">
        <v>185413046</v>
      </c>
      <c r="P6" s="1" t="s">
        <v>47</v>
      </c>
    </row>
    <row r="7" spans="2:16" ht="30" customHeight="1" x14ac:dyDescent="0.25">
      <c r="B7" s="1">
        <f t="shared" si="1"/>
        <v>5</v>
      </c>
      <c r="C7" s="1" t="s">
        <v>20</v>
      </c>
      <c r="D7" s="1">
        <v>1082214903</v>
      </c>
      <c r="E7" s="1" t="s">
        <v>21</v>
      </c>
      <c r="F7" s="1" t="s">
        <v>22</v>
      </c>
      <c r="G7" s="1">
        <v>2008</v>
      </c>
      <c r="H7" s="1" t="s">
        <v>17</v>
      </c>
      <c r="I7" s="1">
        <v>1082214903</v>
      </c>
      <c r="J7" s="6">
        <v>48865</v>
      </c>
      <c r="K7" s="1" t="s">
        <v>30</v>
      </c>
      <c r="L7" s="1" t="s">
        <v>33</v>
      </c>
      <c r="M7" s="1">
        <v>2656449</v>
      </c>
      <c r="N7" s="4">
        <v>4308007922847000</v>
      </c>
      <c r="O7" s="1">
        <v>185049856</v>
      </c>
      <c r="P7" s="1">
        <v>54</v>
      </c>
    </row>
    <row r="8" spans="2:16" ht="30" customHeight="1" x14ac:dyDescent="0.25">
      <c r="B8" s="8">
        <f t="shared" si="1"/>
        <v>6</v>
      </c>
      <c r="C8" s="1" t="s">
        <v>23</v>
      </c>
      <c r="D8" s="1">
        <v>7725134</v>
      </c>
      <c r="E8" s="1" t="s">
        <v>24</v>
      </c>
      <c r="F8" s="1" t="s">
        <v>9</v>
      </c>
      <c r="G8" s="1">
        <v>2011</v>
      </c>
      <c r="H8" s="1" t="s">
        <v>17</v>
      </c>
      <c r="I8" s="1">
        <v>7725134</v>
      </c>
      <c r="J8" s="6">
        <v>48718</v>
      </c>
      <c r="K8" s="1" t="s">
        <v>30</v>
      </c>
      <c r="L8" s="1" t="s">
        <v>33</v>
      </c>
      <c r="M8" s="1">
        <v>10018663952</v>
      </c>
      <c r="N8" s="4">
        <v>4308006927176000</v>
      </c>
      <c r="O8" s="1">
        <v>182958025</v>
      </c>
      <c r="P8" s="1">
        <v>58</v>
      </c>
    </row>
    <row r="9" spans="2:16" ht="30" customHeight="1" x14ac:dyDescent="0.25">
      <c r="B9" s="8">
        <f t="shared" si="1"/>
        <v>7</v>
      </c>
      <c r="C9" s="1" t="s">
        <v>25</v>
      </c>
      <c r="D9" s="1">
        <v>1148442390</v>
      </c>
      <c r="E9" s="1" t="s">
        <v>26</v>
      </c>
      <c r="F9" s="1" t="s">
        <v>9</v>
      </c>
      <c r="G9" s="1">
        <v>2025</v>
      </c>
      <c r="H9" s="1" t="s">
        <v>17</v>
      </c>
      <c r="I9" s="1">
        <v>1148442390</v>
      </c>
      <c r="J9" s="6">
        <v>48231</v>
      </c>
      <c r="K9" s="1" t="s">
        <v>30</v>
      </c>
      <c r="L9" s="1" t="s">
        <v>33</v>
      </c>
      <c r="M9" s="1">
        <v>10033684046</v>
      </c>
      <c r="N9" s="1">
        <v>40993052</v>
      </c>
      <c r="O9" s="1" t="s">
        <v>35</v>
      </c>
      <c r="P9" s="1">
        <v>51</v>
      </c>
    </row>
    <row r="10" spans="2:16" ht="30" customHeight="1" x14ac:dyDescent="0.25">
      <c r="B10" s="1">
        <f t="shared" si="1"/>
        <v>8</v>
      </c>
      <c r="C10" s="1"/>
      <c r="D10" s="1"/>
      <c r="E10" s="1" t="s">
        <v>27</v>
      </c>
      <c r="F10" s="1" t="s">
        <v>28</v>
      </c>
      <c r="G10" s="1">
        <v>2026</v>
      </c>
      <c r="H10" s="1" t="s">
        <v>17</v>
      </c>
      <c r="I10" s="1"/>
      <c r="J10" s="1"/>
      <c r="K10" s="1" t="s">
        <v>30</v>
      </c>
      <c r="L10" s="1"/>
      <c r="M10" s="1">
        <v>10034787944</v>
      </c>
      <c r="N10" s="4">
        <v>4308006956131000</v>
      </c>
      <c r="O10" s="1" t="s">
        <v>35</v>
      </c>
      <c r="P10" s="1"/>
    </row>
    <row r="11" spans="2:16" ht="30" customHeight="1" x14ac:dyDescent="0.25">
      <c r="B11" s="1">
        <f t="shared" si="1"/>
        <v>9</v>
      </c>
      <c r="C11" s="1"/>
      <c r="D11" s="1"/>
      <c r="E11" s="1" t="s">
        <v>29</v>
      </c>
      <c r="F11" s="1" t="s">
        <v>28</v>
      </c>
      <c r="G11" s="1">
        <v>2026</v>
      </c>
      <c r="H11" s="1" t="s">
        <v>17</v>
      </c>
      <c r="I11" s="1"/>
      <c r="J11" s="1"/>
      <c r="K11" s="1" t="s">
        <v>30</v>
      </c>
      <c r="L11" s="1"/>
      <c r="M11" s="1">
        <v>10035852978</v>
      </c>
      <c r="N11" s="4">
        <v>4308007126959000</v>
      </c>
      <c r="O11" s="1" t="s">
        <v>35</v>
      </c>
      <c r="P11" s="1"/>
    </row>
  </sheetData>
  <phoneticPr fontId="2" type="noConversion"/>
  <dataValidations count="1">
    <dataValidation type="list" allowBlank="1" showInputMessage="1" showErrorMessage="1" sqref="H3:H11" xr:uid="{37C8A2F9-456E-4B80-AE37-38566ABE0EB0}">
      <formula1>"&gt;= 125 CC, &lt; 125 cc"</formula1>
    </dataValidation>
  </dataValidations>
  <pageMargins left="0.7" right="0.7" top="0.75" bottom="0.75" header="0.3" footer="0.3"/>
  <ignoredErrors>
    <ignoredError sqref="I3 M5" numberStoredAsText="1"/>
  </ignoredErrors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53E7-BFD9-4432-AE73-D0CDD23E1ADA}">
  <dimension ref="B1:G18"/>
  <sheetViews>
    <sheetView tabSelected="1" topLeftCell="A3" workbookViewId="0">
      <selection activeCell="F13" sqref="F13"/>
    </sheetView>
  </sheetViews>
  <sheetFormatPr baseColWidth="10" defaultRowHeight="15" x14ac:dyDescent="0.25"/>
  <cols>
    <col min="2" max="2" width="7.7109375" bestFit="1" customWidth="1"/>
    <col min="3" max="3" width="33.7109375" bestFit="1" customWidth="1"/>
    <col min="4" max="4" width="11.28515625" bestFit="1" customWidth="1"/>
    <col min="5" max="5" width="12.28515625" bestFit="1" customWidth="1"/>
    <col min="6" max="6" width="22" customWidth="1"/>
    <col min="7" max="7" width="14.5703125" bestFit="1" customWidth="1"/>
  </cols>
  <sheetData>
    <row r="1" spans="2:7" ht="30" customHeight="1" x14ac:dyDescent="0.25">
      <c r="B1" s="16" t="s">
        <v>52</v>
      </c>
      <c r="C1" s="16"/>
      <c r="D1" s="16"/>
      <c r="E1" s="16"/>
      <c r="F1" s="16"/>
    </row>
    <row r="3" spans="2:7" ht="20.100000000000001" customHeight="1" x14ac:dyDescent="0.25">
      <c r="B3" s="9"/>
      <c r="C3" s="10" t="s">
        <v>48</v>
      </c>
      <c r="D3" s="14" t="s">
        <v>50</v>
      </c>
      <c r="E3" s="15"/>
      <c r="F3" s="15"/>
    </row>
    <row r="4" spans="2:7" ht="20.100000000000001" customHeight="1" x14ac:dyDescent="0.25">
      <c r="B4" s="9"/>
      <c r="C4" s="10" t="s">
        <v>49</v>
      </c>
      <c r="D4" s="14" t="s">
        <v>51</v>
      </c>
      <c r="E4" s="15"/>
      <c r="F4" s="15"/>
    </row>
    <row r="6" spans="2:7" x14ac:dyDescent="0.25">
      <c r="B6" s="1" t="s">
        <v>0</v>
      </c>
      <c r="C6" s="1" t="s">
        <v>36</v>
      </c>
      <c r="D6" s="1" t="s">
        <v>4</v>
      </c>
      <c r="E6" s="1" t="s">
        <v>37</v>
      </c>
      <c r="F6" s="1" t="s">
        <v>53</v>
      </c>
      <c r="G6" s="1" t="s">
        <v>56</v>
      </c>
    </row>
    <row r="7" spans="2:7" x14ac:dyDescent="0.25">
      <c r="B7" s="1">
        <f t="shared" ref="B7:B15" si="0">ROW()-6</f>
        <v>1</v>
      </c>
      <c r="C7" s="1" t="s">
        <v>8</v>
      </c>
      <c r="D7" s="1" t="s">
        <v>10</v>
      </c>
      <c r="E7" s="1" t="s">
        <v>9</v>
      </c>
      <c r="F7" s="11" t="s">
        <v>54</v>
      </c>
      <c r="G7" s="12" t="s">
        <v>57</v>
      </c>
    </row>
    <row r="8" spans="2:7" x14ac:dyDescent="0.25">
      <c r="B8" s="1">
        <f t="shared" si="0"/>
        <v>2</v>
      </c>
      <c r="C8" s="1" t="s">
        <v>11</v>
      </c>
      <c r="D8" s="2" t="s">
        <v>12</v>
      </c>
      <c r="E8" s="2" t="s">
        <v>13</v>
      </c>
      <c r="F8" s="11" t="s">
        <v>55</v>
      </c>
      <c r="G8" s="12" t="s">
        <v>57</v>
      </c>
    </row>
    <row r="9" spans="2:7" x14ac:dyDescent="0.25">
      <c r="B9" s="1">
        <f t="shared" si="0"/>
        <v>3</v>
      </c>
      <c r="C9" s="1" t="s">
        <v>14</v>
      </c>
      <c r="D9" s="1" t="s">
        <v>15</v>
      </c>
      <c r="E9" s="1" t="s">
        <v>16</v>
      </c>
      <c r="F9" s="11" t="s">
        <v>58</v>
      </c>
      <c r="G9" s="12" t="s">
        <v>57</v>
      </c>
    </row>
    <row r="10" spans="2:7" x14ac:dyDescent="0.25">
      <c r="B10" s="1">
        <f t="shared" si="0"/>
        <v>4</v>
      </c>
      <c r="C10" s="1" t="s">
        <v>18</v>
      </c>
      <c r="D10" s="1" t="s">
        <v>19</v>
      </c>
      <c r="E10" s="1" t="s">
        <v>16</v>
      </c>
      <c r="F10" s="11" t="s">
        <v>59</v>
      </c>
      <c r="G10" s="12" t="s">
        <v>57</v>
      </c>
    </row>
    <row r="11" spans="2:7" x14ac:dyDescent="0.25">
      <c r="B11" s="1">
        <f t="shared" si="0"/>
        <v>5</v>
      </c>
      <c r="C11" s="1" t="s">
        <v>20</v>
      </c>
      <c r="D11" s="1" t="s">
        <v>21</v>
      </c>
      <c r="E11" s="1" t="s">
        <v>22</v>
      </c>
      <c r="F11" s="11" t="s">
        <v>60</v>
      </c>
      <c r="G11" s="12" t="s">
        <v>57</v>
      </c>
    </row>
    <row r="12" spans="2:7" x14ac:dyDescent="0.25">
      <c r="B12" s="1">
        <f t="shared" si="0"/>
        <v>6</v>
      </c>
      <c r="C12" s="1" t="s">
        <v>23</v>
      </c>
      <c r="D12" s="1" t="s">
        <v>24</v>
      </c>
      <c r="E12" s="1" t="s">
        <v>9</v>
      </c>
      <c r="F12" s="11" t="s">
        <v>64</v>
      </c>
      <c r="G12" s="12" t="s">
        <v>57</v>
      </c>
    </row>
    <row r="13" spans="2:7" x14ac:dyDescent="0.25">
      <c r="B13" s="1">
        <f t="shared" si="0"/>
        <v>7</v>
      </c>
      <c r="C13" s="1" t="s">
        <v>25</v>
      </c>
      <c r="D13" s="1" t="s">
        <v>26</v>
      </c>
      <c r="E13" s="1" t="s">
        <v>9</v>
      </c>
      <c r="F13" s="11" t="s">
        <v>63</v>
      </c>
      <c r="G13" s="12" t="s">
        <v>57</v>
      </c>
    </row>
    <row r="14" spans="2:7" x14ac:dyDescent="0.25">
      <c r="B14" s="1">
        <f t="shared" si="0"/>
        <v>8</v>
      </c>
      <c r="C14" s="1"/>
      <c r="D14" s="1" t="s">
        <v>27</v>
      </c>
      <c r="E14" s="1" t="s">
        <v>28</v>
      </c>
      <c r="F14" s="11" t="s">
        <v>62</v>
      </c>
      <c r="G14" s="12" t="s">
        <v>57</v>
      </c>
    </row>
    <row r="15" spans="2:7" x14ac:dyDescent="0.25">
      <c r="B15" s="1">
        <f t="shared" si="0"/>
        <v>9</v>
      </c>
      <c r="C15" s="1"/>
      <c r="D15" s="1" t="s">
        <v>29</v>
      </c>
      <c r="E15" s="1" t="s">
        <v>28</v>
      </c>
      <c r="F15" s="11" t="s">
        <v>61</v>
      </c>
      <c r="G15" s="12" t="s">
        <v>57</v>
      </c>
    </row>
    <row r="18" spans="6:6" x14ac:dyDescent="0.25">
      <c r="F18" s="13"/>
    </row>
  </sheetData>
  <mergeCells count="3">
    <mergeCell ref="D3:F3"/>
    <mergeCell ref="D4:F4"/>
    <mergeCell ref="B1:F1"/>
  </mergeCells>
  <hyperlinks>
    <hyperlink ref="D3" r:id="rId1" xr:uid="{9BECD8A1-6318-4374-94A7-2E9DE4FB7962}"/>
    <hyperlink ref="D4" r:id="rId2" xr:uid="{AE28B26A-4B85-4BFA-A2B5-F4749951DC43}"/>
    <hyperlink ref="F7" r:id="rId3" display="https://docs.google.com/forms/d/e/1FAIpQLSf2pJ73zFe6TAay0oYKYYPF68Im7rg3dvWmxiA1LSkIXWRcrA/viewform?usp=pp_url&amp;entry.1224725918=CARLOS+ANDRES+CALDERON+VARGAS&amp;entry.1043732100=1075324543&amp;entry.1844146731=1508020348020941&amp;entry.2019467002=2029-04-05&amp;entry.2034385725=A2&amp;entry.1717299640=KXD64F&amp;entry.1644177803=NINGUNA&amp;entry.1623663502=BAJAJ&amp;entry.1795124056=2021&amp;entry.818059440=Motocicleta+Igual+o+Inferior+a+125+cc&amp;entry.1881975723=10021034204&amp;entry.1834591344=14289413182430&amp;entry.2070070149=180673854" xr:uid="{AF8286B2-332B-4A17-B4C2-81AC9BE2C36C}"/>
    <hyperlink ref="F8" r:id="rId4" display="https://docs.google.com/forms/d/e/1FAIpQLSf2pJ73zFe6TAay0oYKYYPF68Im7rg3dvWmxiA1LSkIXWRcrA/viewform?usp=pp_url&amp;entry.1224725918=CRISTIAN+ANDRES+RICO+YULE&amp;entry.1043732100=1075311763&amp;entry.1844146731=1075311763&amp;entry.2019467002=2029-09-09&amp;entry.2034385725=A2&amp;entry.1717299640=SAE17D&amp;entry.1644177803=CONDUCIR+CON+LENTES&amp;entry.1623663502=AKT&amp;entry.1795124056=2015&amp;entry.818059440=Motocicleta+Igual+o+Inferior+a+125+cc&amp;entry.1881975723=10018984694&amp;entry.1834591344=4308006501614000&amp;entry.2070070149=179996307" xr:uid="{73DC7536-7A36-412E-BD95-07A4FA1E536A}"/>
    <hyperlink ref="F9" r:id="rId5" display="https://docs.google.com/forms/d/e/1FAIpQLSf2pJ73zFe6TAay0oYKYYPF68Im7rg3dvWmxiA1LSkIXWRcrA/viewform?usp=pp_url&amp;entry.1224725918=JOHN+ELKIN+RIOS+CORDOBA&amp;entry.1043732100=1075239239&amp;entry.1844146731=1075239239&amp;entry.2019467002=2032-02-02&amp;entry.2034385725=A2&amp;entry.1717299640=QTZ14B&amp;entry.1644177803=NINGUNA&amp;entry.1623663502=SUZUKI&amp;entry.1795124056=2010&amp;entry.818059440=Motocicleta+Igual+o+Inferior+a+125+cc&amp;entry.1881975723=4141049&amp;entry.1834591344=1308004373420000&amp;entry.2070070149=181663842" xr:uid="{7EF8F12E-FC1D-48F7-AF02-3B9BAFDA6CC9}"/>
    <hyperlink ref="F10" r:id="rId6" display="https://docs.google.com/forms/d/e/1FAIpQLSf2pJ73zFe6TAay0oYKYYPF68Im7rg3dvWmxiA1LSkIXWRcrA/viewform?usp=pp_url&amp;entry.1224725918=JORGE+GONZALEZ+MARTINEZ&amp;entry.1043732100=79411860&amp;entry.1844146731=79411860&amp;entry.2019467002=2026-06-13&amp;entry.2034385725=A2&amp;entry.1717299640=VRR30G&amp;entry.1644177803=CONDUCIR+CON+LENTES&amp;entry.1623663502=SUZUKI&amp;entry.1795124056=2024&amp;entry.818059440=Motocicleta+Igual+o+Inferior+a+125+cc&amp;entry.1881975723=10030491574&amp;entry.1834591344=93868954&amp;entry.2070070149=185413046" xr:uid="{BD685723-6BD0-44DB-8B65-070F957E6220}"/>
    <hyperlink ref="F11" r:id="rId7" display="https://docs.google.com/forms/d/e/1FAIpQLSf2pJ73zFe6TAay0oYKYYPF68Im7rg3dvWmxiA1LSkIXWRcrA/viewform?usp=pp_url&amp;entry.1224725918=JOSE+WILLIAM+PE%C3%91A+GONZALEZ&amp;entry.1043732100=1082214903&amp;entry.1844146731=1082214903&amp;entry.2019467002=2033-10-13&amp;entry.2034385725=A2&amp;entry.1717299640=INX92B&amp;entry.1644177803=NINGUNA&amp;entry.1623663502=HONDA&amp;entry.1795124056=2008&amp;entry.818059440=Motocicleta+Igual+o+Inferior+a+125+cc&amp;entry.1881975723=2656449&amp;entry.1834591344=4308007922847000&amp;entry.2070070149=185049856" xr:uid="{BEB06002-E60C-4548-A35B-95DB0362073B}"/>
    <hyperlink ref="F13" r:id="rId8" display="https://docs.google.com/forms/d/e/1FAIpQLSf2pJ73zFe6TAay0oYKYYPF68Im7rg3dvWmxiA1LSkIXWRcrA/viewform?usp=pp_url&amp;entry.1224725918=CRISTIAN+DAVID+BRAVO+QUINTERO&amp;entry.1043732100=1148442390&amp;entry.1844146731=1148442390&amp;entry.2019467002=2032-01-18&amp;entry.2034385725=A2&amp;entry.1717299640=JGC42H&amp;entry.1644177803=NINGUNA&amp;entry.1623663502=BAJAJ&amp;entry.1795124056=2025&amp;entry.818059440=Motocicleta+Igual+o+Inferior+a+125+cc&amp;entry.1881975723=10033684046&amp;entry.1834591344=4308006927176000&amp;entry.2070070149=182958025" xr:uid="{CEF3CBCA-29DB-4D71-BA12-9B4344EB199A}"/>
    <hyperlink ref="F15" r:id="rId9" display="https://docs.google.com/forms/d/e/1FAIpQLSf2pJ73zFe6TAay0oYKYYPF68Im7rg3dvWmxiA1LSkIXWRcrA/viewform?usp=pp_url&amp;entry.1717299640=RFL57H&amp;entry.1623663502=HERO&amp;entry.1795124056=2026&amp;entry.818059440=Motocicleta+Igual+o+Inferior+a+125+cc&amp;entry.1881975723=10035852978&amp;entry.1834591344=4308007126959000&amp;entry.2070070149=NO+APLICA" xr:uid="{1CC841B5-FDC4-480F-B9E9-9309C02C666B}"/>
    <hyperlink ref="F14" r:id="rId10" display="https://docs.google.com/forms/d/e/1FAIpQLSf2pJ73zFe6TAay0oYKYYPF68Im7rg3dvWmxiA1LSkIXWRcrA/viewform?usp=pp_url&amp;entry.2034385725=A02&amp;entry.1717299640=REJ11H&amp;entry.1623663502=HERO&amp;entry.1795124056=2026&amp;entry.818059440=Motocicleta+Igual+o+Inferior+a+125+cc&amp;entry.1881975723=10034787944&amp;entry.1834591344=4308006956131000&amp;entry.2070070149=NO+APLICA" xr:uid="{06C2681C-13F8-4FBD-8ACE-624C074BB4DB}"/>
    <hyperlink ref="F12" r:id="rId11" display="https://docs.google.com/forms/d/e/1FAIpQLSf2pJ73zFe6TAay0oYKYYPF68Im7rg3dvWmxiA1LSkIXWRcrA/viewform?usp=pp_url&amp;entry.1224725918=MANOLO+MENZA+ESCOBAR&amp;entry.1043732100=7725134&amp;entry.1844146731=7725134&amp;entry.2019467002=2033-05-19&amp;entry.2034385725=A2&amp;entry.1717299640=MAC23C&amp;entry.1644177803=NINGUNA&amp;entry.1623663502=BAJAJ&amp;entry.1795124056=2011&amp;entry.818059440=Motocicleta+Igual+o+Inferior+a+125+cc&amp;entry.1881975723=10018663952&amp;entry.1834591344=4308006927176000&amp;entry.2070070149=182958025" xr:uid="{D0F562E5-FA00-4E2F-B20D-133B4A54E888}"/>
  </hyperlinks>
  <pageMargins left="0.7" right="0.7" top="0.75" bottom="0.75" header="0.3" footer="0.3"/>
  <pageSetup orientation="portrait" verticalDpi="0" r:id="rId12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21AB-0148-41C4-B4F5-4C60F3EDF2E1}">
  <dimension ref="B2:G6"/>
  <sheetViews>
    <sheetView workbookViewId="0">
      <selection activeCell="E13" sqref="E13"/>
    </sheetView>
  </sheetViews>
  <sheetFormatPr baseColWidth="10" defaultRowHeight="15" x14ac:dyDescent="0.25"/>
  <cols>
    <col min="2" max="2" width="7.7109375" bestFit="1" customWidth="1"/>
    <col min="3" max="3" width="18.42578125" bestFit="1" customWidth="1"/>
    <col min="4" max="4" width="11.28515625" bestFit="1" customWidth="1"/>
    <col min="5" max="5" width="14.7109375" bestFit="1" customWidth="1"/>
    <col min="6" max="6" width="9.7109375" bestFit="1" customWidth="1"/>
    <col min="7" max="7" width="11.7109375" bestFit="1" customWidth="1"/>
  </cols>
  <sheetData>
    <row r="2" spans="2:7" ht="30" customHeight="1" x14ac:dyDescent="0.25">
      <c r="B2" s="1" t="s">
        <v>0</v>
      </c>
      <c r="C2" s="1" t="s">
        <v>1</v>
      </c>
      <c r="D2" s="1" t="s">
        <v>4</v>
      </c>
      <c r="E2" s="1" t="s">
        <v>5</v>
      </c>
      <c r="F2" s="1" t="s">
        <v>6</v>
      </c>
      <c r="G2" s="1" t="s">
        <v>7</v>
      </c>
    </row>
    <row r="3" spans="2:7" ht="22.5" customHeight="1" x14ac:dyDescent="0.25">
      <c r="B3" s="1">
        <f t="shared" ref="B3:B5" si="0">ROW()-2</f>
        <v>1</v>
      </c>
      <c r="C3" s="1"/>
      <c r="D3" s="1"/>
      <c r="E3" s="1"/>
      <c r="F3" s="1"/>
      <c r="G3" s="1"/>
    </row>
    <row r="4" spans="2:7" x14ac:dyDescent="0.25">
      <c r="B4" s="1">
        <f t="shared" si="0"/>
        <v>2</v>
      </c>
      <c r="C4" s="1"/>
      <c r="D4" s="1"/>
      <c r="E4" s="1"/>
      <c r="F4" s="1"/>
      <c r="G4" s="1"/>
    </row>
    <row r="5" spans="2:7" x14ac:dyDescent="0.25">
      <c r="B5" s="1">
        <f t="shared" si="0"/>
        <v>3</v>
      </c>
      <c r="C5" s="1"/>
      <c r="D5" s="1"/>
      <c r="E5" s="1"/>
      <c r="F5" s="1"/>
      <c r="G5" s="1"/>
    </row>
    <row r="6" spans="2:7" x14ac:dyDescent="0.25">
      <c r="B6" s="1">
        <f>ROW()-2</f>
        <v>4</v>
      </c>
      <c r="C6" s="1"/>
      <c r="D6" s="1"/>
      <c r="E6" s="1"/>
      <c r="F6" s="1"/>
      <c r="G6" s="1"/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MOTO</vt:lpstr>
      <vt:lpstr>FORMULARIOS</vt:lpstr>
      <vt:lpstr>CARRO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Tovar Aviles</dc:creator>
  <cp:lastModifiedBy>Ruben Felipe Tovar Aviles</cp:lastModifiedBy>
  <dcterms:created xsi:type="dcterms:W3CDTF">2015-06-05T18:17:20Z</dcterms:created>
  <dcterms:modified xsi:type="dcterms:W3CDTF">2026-04-06T20:36:16Z</dcterms:modified>
</cp:coreProperties>
</file>