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ipea\OneDrive\Documentos\HIELO FOCA\RH\Encuestas PESV\"/>
    </mc:Choice>
  </mc:AlternateContent>
  <xr:revisionPtr revIDLastSave="0" documentId="13_ncr:1_{FAF363E8-0B79-49FD-9B9F-22DDA84898DE}" xr6:coauthVersionLast="47" xr6:coauthVersionMax="47" xr10:uidLastSave="{00000000-0000-0000-0000-000000000000}"/>
  <bookViews>
    <workbookView xWindow="0" yWindow="30" windowWidth="20475" windowHeight="11490" xr2:uid="{00000000-000D-0000-FFFF-FFFF00000000}"/>
  </bookViews>
  <sheets>
    <sheet name="MOTO" sheetId="1" r:id="rId1"/>
    <sheet name="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  <c r="B6" i="1"/>
  <c r="B5" i="1"/>
  <c r="B3" i="1"/>
  <c r="B4" i="1"/>
  <c r="B6" i="2"/>
  <c r="B3" i="2"/>
  <c r="B4" i="2"/>
  <c r="B5" i="2"/>
</calcChain>
</file>

<file path=xl/sharedStrings.xml><?xml version="1.0" encoding="utf-8"?>
<sst xmlns="http://schemas.openxmlformats.org/spreadsheetml/2006/main" count="75" uniqueCount="46">
  <si>
    <t>N°</t>
  </si>
  <si>
    <t>NOMBRE</t>
  </si>
  <si>
    <t>CEDULA</t>
  </si>
  <si>
    <t>N° Licencia Conduccion</t>
  </si>
  <si>
    <t>Venc. Licencia Conduccion</t>
  </si>
  <si>
    <t>Categoria</t>
  </si>
  <si>
    <t>Placa</t>
  </si>
  <si>
    <t>Restricciones de Licencia</t>
  </si>
  <si>
    <t>Marca</t>
  </si>
  <si>
    <t>Modelo</t>
  </si>
  <si>
    <t>Tipo Vehiculo</t>
  </si>
  <si>
    <t>N° Licencia Transito</t>
  </si>
  <si>
    <t>N° SOAT</t>
  </si>
  <si>
    <t>N° Tecnomecanica</t>
  </si>
  <si>
    <t>PLACA</t>
  </si>
  <si>
    <t>N° Interno</t>
  </si>
  <si>
    <t>Area</t>
  </si>
  <si>
    <t>Ciudad</t>
  </si>
  <si>
    <t>CARLOS ANDRES CALDERON VARGAS</t>
  </si>
  <si>
    <t>BAJAJ</t>
  </si>
  <si>
    <t>KXD64F</t>
  </si>
  <si>
    <t>CRISTIAN ANDRES RICO YULE</t>
  </si>
  <si>
    <t>SAE17D</t>
  </si>
  <si>
    <t>AKT</t>
  </si>
  <si>
    <t>JOHN ELKIN RIOS CORDOBA</t>
  </si>
  <si>
    <t>QTZ14B</t>
  </si>
  <si>
    <t>SUZUKI</t>
  </si>
  <si>
    <t>&gt;= 125 CC</t>
  </si>
  <si>
    <t>JORGE GONZALEZ MARTINEZ</t>
  </si>
  <si>
    <t>VRR30G</t>
  </si>
  <si>
    <t>JOSE WILLIAM PEÑA GONZALEZ</t>
  </si>
  <si>
    <t>INX92B</t>
  </si>
  <si>
    <t>HONDA</t>
  </si>
  <si>
    <t>MANOLO MENZA ESCOBAR</t>
  </si>
  <si>
    <t>MAC23C</t>
  </si>
  <si>
    <t>CRISTIAN DAVID BRAVO QUINTERO</t>
  </si>
  <si>
    <t>JGC42H</t>
  </si>
  <si>
    <t>REJ11H</t>
  </si>
  <si>
    <t>HERO</t>
  </si>
  <si>
    <t>RFL57H</t>
  </si>
  <si>
    <t>A2</t>
  </si>
  <si>
    <t>1508020348020941</t>
  </si>
  <si>
    <t>CONDUCIR CON LENTES</t>
  </si>
  <si>
    <t>NINGUNA</t>
  </si>
  <si>
    <t>4141049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</si>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</sst>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" fontId="0" fillId="0" borderId="0" xfId="1" applyNumberFormat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</cellXfs>
  <cellStyles count="2">
    <cellStyle name="Millares" xfId="1" builtinId="3"/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8EF9E-F657-4A9B-97F3-DEAEEF4C48B6}" name="Conductores_Moto" displayName="Conductores_Moto" ref="B2:O11" totalsRowShown="0" headerRowDxfId="23" dataDxfId="14">
  <autoFilter ref="B2:O11" xr:uid="{4EB8EF9E-F657-4A9B-97F3-DEAEEF4C48B6}"/>
  <tableColumns count="14">
    <tableColumn id="1" xr3:uid="{B05DCF9F-8C19-4B9F-891A-71C56544E8BB}" name="N°" dataDxfId="13">
      <calculatedColumnFormula>ROW()-2</calculatedColumnFormula>
    </tableColumn>
    <tableColumn id="2" xr3:uid="{04722251-E16B-483F-885A-8F5489E8C081}" name="NOMBRE" dataDxfId="12"/>
    <tableColumn id="3" xr3:uid="{1667FFC6-5CFA-4D16-A2E8-789677901F04}" name="CEDULA" dataDxfId="11"/>
    <tableColumn id="7" xr3:uid="{6BD6C41E-8ED0-4B3A-BA85-8817E7F84948}" name="Placa" dataDxfId="10"/>
    <tableColumn id="9" xr3:uid="{04C1F34D-211E-404D-8881-7AD9C173F2CE}" name="Marca" dataDxfId="9"/>
    <tableColumn id="10" xr3:uid="{21E5DA93-BBC1-4DA1-94FE-7873DAB21C12}" name="Modelo" dataDxfId="8"/>
    <tableColumn id="11" xr3:uid="{613BFCEA-9818-44A5-BA5B-7E3022F70E5E}" name="Tipo Vehiculo" dataDxfId="7"/>
    <tableColumn id="16" xr3:uid="{9C85E032-E7FA-449D-ADD8-BC273AB25810}" name="N° Licencia Conduccion" dataDxfId="6"/>
    <tableColumn id="17" xr3:uid="{0EABB337-A64F-42DA-B479-1533888B4CF4}" name="Venc. Licencia Conduccion" dataDxfId="5"/>
    <tableColumn id="18" xr3:uid="{79DBE90D-83C1-4AD8-8ECB-BBBF754F58F9}" name="Categoria" dataDxfId="4"/>
    <tableColumn id="19" xr3:uid="{52861595-2667-4D03-ACDB-22A430E6757F}" name="Restricciones de Licencia" dataDxfId="3"/>
    <tableColumn id="12" xr3:uid="{544A733D-86E5-45F0-8F5E-D5E1D1803CC4}" name="N° Licencia Transito" dataDxfId="2"/>
    <tableColumn id="13" xr3:uid="{09A347FA-CD4A-4A8E-9BB1-882E6A9E78B3}" name="N° SOAT" dataDxfId="1"/>
    <tableColumn id="14" xr3:uid="{F6D76FC3-D07A-4F3E-BCEA-BEF0EE802139}" name="N° Tecnomecanica" dataDxfId="0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0A5079-24CC-4112-AD76-C9290F2524CC}" name="Tabla2" displayName="Tabla2" ref="B2:G6" totalsRowShown="0" headerRowDxfId="22" dataDxfId="15">
  <autoFilter ref="B2:G6" xr:uid="{2A0A5079-24CC-4112-AD76-C9290F2524CC}"/>
  <tableColumns count="6">
    <tableColumn id="1" xr3:uid="{C3E741DD-FA44-4ADA-B312-DC357B39E691}" name="N°" dataDxfId="21">
      <calculatedColumnFormula>ROW()-2</calculatedColumnFormula>
    </tableColumn>
    <tableColumn id="2" xr3:uid="{4A828654-26E7-4BCB-9ADD-970633C742BB}" name="NOMBRE" dataDxfId="20"/>
    <tableColumn id="3" xr3:uid="{83E3B254-B7D3-4BF5-8F39-973510DC4E4D}" name="PLACA" dataDxfId="19"/>
    <tableColumn id="4" xr3:uid="{5B8AAE0D-2F8F-4F26-90CD-90B5213E4CC0}" name="N° Interno" dataDxfId="18"/>
    <tableColumn id="5" xr3:uid="{85355C69-F663-447D-935C-A82B1BAC882A}" name="Area" dataDxfId="17"/>
    <tableColumn id="6" xr3:uid="{14595361-A5D5-42ED-B318-C9BD12D23960}" name="Ciudad" dataDxfId="16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1"/>
  <sheetViews>
    <sheetView tabSelected="1" zoomScale="85" zoomScaleNormal="85" workbookViewId="0">
      <selection activeCell="M13" sqref="M13"/>
    </sheetView>
  </sheetViews>
  <sheetFormatPr baseColWidth="10" defaultColWidth="9.140625" defaultRowHeight="15" x14ac:dyDescent="0.25"/>
  <cols>
    <col min="2" max="2" width="8.5703125" bestFit="1" customWidth="1"/>
    <col min="3" max="3" width="33.7109375" bestFit="1" customWidth="1"/>
    <col min="4" max="4" width="12.5703125" bestFit="1" customWidth="1"/>
    <col min="5" max="5" width="10.140625" bestFit="1" customWidth="1"/>
    <col min="6" max="6" width="11.7109375" bestFit="1" customWidth="1"/>
    <col min="7" max="7" width="12.5703125" bestFit="1" customWidth="1"/>
    <col min="8" max="8" width="17.7109375" bestFit="1" customWidth="1"/>
    <col min="9" max="9" width="26.140625" bestFit="1" customWidth="1"/>
    <col min="10" max="10" width="29" bestFit="1" customWidth="1"/>
    <col min="11" max="11" width="14.42578125" bestFit="1" customWidth="1"/>
    <col min="12" max="12" width="27.7109375" bestFit="1" customWidth="1"/>
    <col min="13" max="13" width="25.140625" customWidth="1"/>
    <col min="14" max="14" width="21" bestFit="1" customWidth="1"/>
    <col min="15" max="15" width="21.85546875" bestFit="1" customWidth="1"/>
  </cols>
  <sheetData>
    <row r="2" spans="2:15" ht="30" customHeight="1" x14ac:dyDescent="0.25">
      <c r="B2" s="4" t="s">
        <v>0</v>
      </c>
      <c r="C2" s="4" t="s">
        <v>1</v>
      </c>
      <c r="D2" s="4" t="s">
        <v>2</v>
      </c>
      <c r="E2" s="4" t="s">
        <v>6</v>
      </c>
      <c r="F2" s="4" t="s">
        <v>8</v>
      </c>
      <c r="G2" s="4" t="s">
        <v>9</v>
      </c>
      <c r="H2" s="4" t="s">
        <v>10</v>
      </c>
      <c r="I2" s="4" t="s">
        <v>3</v>
      </c>
      <c r="J2" s="4" t="s">
        <v>4</v>
      </c>
      <c r="K2" s="4" t="s">
        <v>5</v>
      </c>
      <c r="L2" s="4" t="s">
        <v>7</v>
      </c>
      <c r="M2" s="4" t="s">
        <v>11</v>
      </c>
      <c r="N2" s="4" t="s">
        <v>12</v>
      </c>
      <c r="O2" s="4" t="s">
        <v>13</v>
      </c>
    </row>
    <row r="3" spans="2:15" ht="22.5" customHeight="1" x14ac:dyDescent="0.25">
      <c r="B3" s="4">
        <f t="shared" ref="B3:B4" si="0">ROW()-2</f>
        <v>1</v>
      </c>
      <c r="C3" s="4" t="s">
        <v>18</v>
      </c>
      <c r="D3" s="4">
        <v>1075324543</v>
      </c>
      <c r="E3" s="4" t="s">
        <v>20</v>
      </c>
      <c r="F3" s="4" t="s">
        <v>19</v>
      </c>
      <c r="G3" s="4">
        <v>2021</v>
      </c>
      <c r="H3" s="4" t="s">
        <v>27</v>
      </c>
      <c r="I3" s="8" t="s">
        <v>41</v>
      </c>
      <c r="J3" s="9">
        <v>47213</v>
      </c>
      <c r="K3" s="4" t="s">
        <v>40</v>
      </c>
      <c r="L3" s="4" t="s">
        <v>43</v>
      </c>
      <c r="M3" s="4">
        <v>10021034204</v>
      </c>
      <c r="N3" s="7">
        <v>14289413182430</v>
      </c>
      <c r="O3" s="4">
        <v>180673854</v>
      </c>
    </row>
    <row r="4" spans="2:15" x14ac:dyDescent="0.25">
      <c r="B4" s="4">
        <f t="shared" si="0"/>
        <v>2</v>
      </c>
      <c r="C4" s="4" t="s">
        <v>21</v>
      </c>
      <c r="D4" s="5">
        <v>1075311763</v>
      </c>
      <c r="E4" s="5" t="s">
        <v>22</v>
      </c>
      <c r="F4" s="5" t="s">
        <v>23</v>
      </c>
      <c r="G4" s="5">
        <v>2015</v>
      </c>
      <c r="H4" s="4" t="s">
        <v>27</v>
      </c>
      <c r="I4" s="5">
        <v>1075311763</v>
      </c>
      <c r="J4" s="10">
        <v>47370</v>
      </c>
      <c r="K4" s="4" t="s">
        <v>40</v>
      </c>
      <c r="L4" s="5" t="s">
        <v>42</v>
      </c>
      <c r="M4" s="6">
        <v>10018984694</v>
      </c>
      <c r="N4" s="7">
        <v>4308006501614000</v>
      </c>
      <c r="O4" s="4">
        <v>179996307</v>
      </c>
    </row>
    <row r="5" spans="2:15" x14ac:dyDescent="0.25">
      <c r="B5" s="3">
        <f>ROW()-2</f>
        <v>3</v>
      </c>
      <c r="C5" s="1" t="s">
        <v>24</v>
      </c>
      <c r="D5" s="1">
        <v>1075239239</v>
      </c>
      <c r="E5" s="1" t="s">
        <v>25</v>
      </c>
      <c r="F5" s="1" t="s">
        <v>26</v>
      </c>
      <c r="G5" s="1">
        <v>2010</v>
      </c>
      <c r="H5" s="4" t="s">
        <v>27</v>
      </c>
      <c r="I5" s="1">
        <v>1075239239</v>
      </c>
      <c r="J5" s="11">
        <v>48246</v>
      </c>
      <c r="K5" s="4" t="s">
        <v>40</v>
      </c>
      <c r="L5" s="1" t="s">
        <v>43</v>
      </c>
      <c r="M5" s="8" t="s">
        <v>44</v>
      </c>
      <c r="N5" s="12">
        <v>1308004373420000</v>
      </c>
      <c r="O5" s="1">
        <v>181663842</v>
      </c>
    </row>
    <row r="6" spans="2:15" x14ac:dyDescent="0.25">
      <c r="B6" s="3">
        <f>ROW()-2</f>
        <v>4</v>
      </c>
      <c r="C6" s="1" t="s">
        <v>28</v>
      </c>
      <c r="D6" s="1">
        <v>79411860</v>
      </c>
      <c r="E6" s="1" t="s">
        <v>29</v>
      </c>
      <c r="F6" s="1" t="s">
        <v>26</v>
      </c>
      <c r="G6" s="1">
        <v>2024</v>
      </c>
      <c r="H6" s="1" t="s">
        <v>27</v>
      </c>
      <c r="I6" s="1">
        <v>79411860</v>
      </c>
      <c r="J6" s="11">
        <v>46186</v>
      </c>
      <c r="K6" s="4" t="s">
        <v>40</v>
      </c>
      <c r="L6" s="5" t="s">
        <v>42</v>
      </c>
      <c r="M6" s="1">
        <v>10030491574</v>
      </c>
      <c r="N6" s="1">
        <v>93868954</v>
      </c>
      <c r="O6" s="1">
        <v>185413046</v>
      </c>
    </row>
    <row r="7" spans="2:15" x14ac:dyDescent="0.25">
      <c r="B7" s="3">
        <f>ROW()-2</f>
        <v>5</v>
      </c>
      <c r="C7" s="1" t="s">
        <v>30</v>
      </c>
      <c r="D7" s="1">
        <v>1082214903</v>
      </c>
      <c r="E7" s="1" t="s">
        <v>31</v>
      </c>
      <c r="F7" s="1" t="s">
        <v>32</v>
      </c>
      <c r="G7" s="1">
        <v>2008</v>
      </c>
      <c r="H7" s="1" t="s">
        <v>27</v>
      </c>
      <c r="I7" s="1">
        <v>1082214903</v>
      </c>
      <c r="J7" s="11">
        <v>48865</v>
      </c>
      <c r="K7" s="4" t="s">
        <v>40</v>
      </c>
      <c r="L7" s="1" t="s">
        <v>43</v>
      </c>
      <c r="M7" s="1">
        <v>2656449</v>
      </c>
      <c r="N7" s="12">
        <v>4308007922847000</v>
      </c>
      <c r="O7" s="1">
        <v>185049856</v>
      </c>
    </row>
    <row r="8" spans="2:15" x14ac:dyDescent="0.25">
      <c r="B8" s="13">
        <f>ROW()-2</f>
        <v>6</v>
      </c>
      <c r="C8" s="1" t="s">
        <v>33</v>
      </c>
      <c r="D8" s="1">
        <v>7725134</v>
      </c>
      <c r="E8" s="1" t="s">
        <v>34</v>
      </c>
      <c r="F8" s="1" t="s">
        <v>19</v>
      </c>
      <c r="G8" s="1">
        <v>2011</v>
      </c>
      <c r="H8" s="1" t="s">
        <v>27</v>
      </c>
      <c r="I8" s="1">
        <v>7725134</v>
      </c>
      <c r="J8" s="11">
        <v>48718</v>
      </c>
      <c r="K8" s="4" t="s">
        <v>40</v>
      </c>
      <c r="L8" s="1" t="s">
        <v>43</v>
      </c>
      <c r="M8" s="1">
        <v>10018663952</v>
      </c>
      <c r="N8" s="12">
        <v>4308006927176000</v>
      </c>
      <c r="O8" s="1">
        <v>182958025</v>
      </c>
    </row>
    <row r="9" spans="2:15" x14ac:dyDescent="0.25">
      <c r="B9" s="13">
        <f>ROW()-2</f>
        <v>7</v>
      </c>
      <c r="C9" s="1" t="s">
        <v>35</v>
      </c>
      <c r="D9" s="1">
        <v>1148442390</v>
      </c>
      <c r="E9" s="1" t="s">
        <v>36</v>
      </c>
      <c r="F9" s="1" t="s">
        <v>19</v>
      </c>
      <c r="G9" s="1">
        <v>2025</v>
      </c>
      <c r="H9" s="1" t="s">
        <v>27</v>
      </c>
      <c r="I9" s="1">
        <v>1148442390</v>
      </c>
      <c r="J9" s="11">
        <v>48231</v>
      </c>
      <c r="K9" s="4" t="s">
        <v>40</v>
      </c>
      <c r="L9" s="1" t="s">
        <v>43</v>
      </c>
      <c r="M9" s="1">
        <v>10033684046</v>
      </c>
      <c r="N9" s="1">
        <v>40993052</v>
      </c>
      <c r="O9" s="1" t="s">
        <v>45</v>
      </c>
    </row>
    <row r="10" spans="2:15" x14ac:dyDescent="0.25">
      <c r="B10" s="3">
        <f>ROW()-2</f>
        <v>8</v>
      </c>
      <c r="C10" s="1"/>
      <c r="D10" s="1"/>
      <c r="E10" s="1" t="s">
        <v>37</v>
      </c>
      <c r="F10" s="1" t="s">
        <v>38</v>
      </c>
      <c r="G10" s="1">
        <v>2026</v>
      </c>
      <c r="H10" s="1" t="s">
        <v>27</v>
      </c>
      <c r="I10" s="1"/>
      <c r="J10" s="1"/>
      <c r="K10" s="4" t="s">
        <v>40</v>
      </c>
      <c r="L10" s="1"/>
      <c r="M10" s="1">
        <v>10034787944</v>
      </c>
      <c r="N10" s="12">
        <v>4308006956131000</v>
      </c>
      <c r="O10" s="1" t="s">
        <v>45</v>
      </c>
    </row>
    <row r="11" spans="2:15" x14ac:dyDescent="0.25">
      <c r="B11" s="3">
        <f>ROW()-2</f>
        <v>9</v>
      </c>
      <c r="C11" s="1"/>
      <c r="D11" s="1"/>
      <c r="E11" s="1" t="s">
        <v>39</v>
      </c>
      <c r="F11" s="1" t="s">
        <v>38</v>
      </c>
      <c r="G11" s="1">
        <v>2026</v>
      </c>
      <c r="H11" s="1" t="s">
        <v>27</v>
      </c>
      <c r="I11" s="1"/>
      <c r="J11" s="1"/>
      <c r="K11" s="4" t="s">
        <v>40</v>
      </c>
      <c r="L11" s="1"/>
      <c r="M11" s="1">
        <v>10035852978</v>
      </c>
      <c r="N11" s="12">
        <v>4308007126959000</v>
      </c>
      <c r="O11" s="1" t="s">
        <v>45</v>
      </c>
    </row>
  </sheetData>
  <phoneticPr fontId="2" type="noConversion"/>
  <dataValidations count="1">
    <dataValidation type="list" allowBlank="1" showInputMessage="1" showErrorMessage="1" sqref="H3:H11" xr:uid="{37C8A2F9-456E-4B80-AE37-38566ABE0EB0}">
      <formula1>"&gt;= 125 CC, &lt; 125 cc"</formula1>
    </dataValidation>
  </dataValidations>
  <pageMargins left="0.7" right="0.7" top="0.75" bottom="0.75" header="0.3" footer="0.3"/>
  <ignoredErrors>
    <ignoredError sqref="I3 M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21AB-0148-41C4-B4F5-4C60F3EDF2E1}">
  <dimension ref="B2:G6"/>
  <sheetViews>
    <sheetView workbookViewId="0">
      <selection activeCell="C10" sqref="C10"/>
    </sheetView>
  </sheetViews>
  <sheetFormatPr baseColWidth="10" defaultRowHeight="15" x14ac:dyDescent="0.25"/>
  <cols>
    <col min="2" max="2" width="7.7109375" bestFit="1" customWidth="1"/>
    <col min="3" max="3" width="13.5703125" bestFit="1" customWidth="1"/>
    <col min="4" max="4" width="11.28515625" bestFit="1" customWidth="1"/>
    <col min="5" max="5" width="14.7109375" bestFit="1" customWidth="1"/>
    <col min="6" max="6" width="9.7109375" bestFit="1" customWidth="1"/>
    <col min="7" max="7" width="11.7109375" bestFit="1" customWidth="1"/>
  </cols>
  <sheetData>
    <row r="2" spans="2:7" ht="30" customHeight="1" x14ac:dyDescent="0.25">
      <c r="B2" s="1" t="s">
        <v>0</v>
      </c>
      <c r="C2" s="1" t="s">
        <v>1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7" ht="22.5" customHeight="1" x14ac:dyDescent="0.25">
      <c r="B3" s="2">
        <f t="shared" ref="B3:B5" si="0">ROW()-2</f>
        <v>1</v>
      </c>
      <c r="C3" s="2"/>
      <c r="D3" s="1"/>
      <c r="E3" s="1"/>
      <c r="F3" s="1"/>
      <c r="G3" s="1"/>
    </row>
    <row r="4" spans="2:7" x14ac:dyDescent="0.25">
      <c r="B4" s="1">
        <f t="shared" si="0"/>
        <v>2</v>
      </c>
      <c r="C4" s="1"/>
      <c r="D4" s="1"/>
      <c r="E4" s="1"/>
      <c r="F4" s="1"/>
      <c r="G4" s="1"/>
    </row>
    <row r="5" spans="2:7" x14ac:dyDescent="0.25">
      <c r="B5" s="1">
        <f t="shared" si="0"/>
        <v>3</v>
      </c>
      <c r="C5" s="1"/>
      <c r="D5" s="1"/>
      <c r="E5" s="1"/>
      <c r="F5" s="1"/>
      <c r="G5" s="1"/>
    </row>
    <row r="6" spans="2:7" x14ac:dyDescent="0.25">
      <c r="B6" s="3">
        <f>ROW()-2</f>
        <v>4</v>
      </c>
      <c r="C6" s="1"/>
      <c r="D6" s="1"/>
      <c r="E6" s="1"/>
      <c r="F6" s="1"/>
      <c r="G6" s="1"/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MOTO</vt:lpstr>
      <vt:lpstr>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Tovar Aviles</dc:creator>
  <cp:lastModifiedBy>Ruben Felipe Tovar Aviles</cp:lastModifiedBy>
  <dcterms:created xsi:type="dcterms:W3CDTF">2015-06-05T18:17:20Z</dcterms:created>
  <dcterms:modified xsi:type="dcterms:W3CDTF">2026-03-31T16:10:43Z</dcterms:modified>
</cp:coreProperties>
</file>