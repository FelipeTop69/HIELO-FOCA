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a\OneDrive\Documentos\HIELO-FOCA\Programacion Supermercados\"/>
    </mc:Choice>
  </mc:AlternateContent>
  <xr:revisionPtr revIDLastSave="0" documentId="13_ncr:1_{7D959888-179A-4EF2-8F63-9ED5B228B9C0}" xr6:coauthVersionLast="47" xr6:coauthVersionMax="47" xr10:uidLastSave="{00000000-0000-0000-0000-000000000000}"/>
  <bookViews>
    <workbookView xWindow="-120" yWindow="-120" windowWidth="20730" windowHeight="11760" tabRatio="713" activeTab="1" xr2:uid="{7F998C17-66EB-42E9-A447-7E0056C5F018}"/>
  </bookViews>
  <sheets>
    <sheet name="CODIGO DOMICILIARIOS" sheetId="23" r:id="rId1"/>
    <sheet name="SUPERMERCADOS" sheetId="24" r:id="rId2"/>
    <sheet name="MOVIMIENTO BANCO AGRARIO" sheetId="20" r:id="rId3"/>
    <sheet name="CONSORCIOS" sheetId="6" r:id="rId4"/>
    <sheet name="BANCO AGRARIO " sheetId="19" r:id="rId5"/>
    <sheet name="SENA " sheetId="21" r:id="rId6"/>
    <sheet name="PISCICOLA" sheetId="18" r:id="rId7"/>
    <sheet name="GARZON" sheetId="8" r:id="rId8"/>
    <sheet name="LA PLATA" sheetId="9" r:id="rId9"/>
    <sheet name="RIVERA" sheetId="12" r:id="rId10"/>
  </sheets>
  <definedNames>
    <definedName name="_xlnm._FilterDatabase" localSheetId="0" hidden="1">'CODIGO DOMICILIARIOS'!#REF!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20" l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</calcChain>
</file>

<file path=xl/sharedStrings.xml><?xml version="1.0" encoding="utf-8"?>
<sst xmlns="http://schemas.openxmlformats.org/spreadsheetml/2006/main" count="1067" uniqueCount="416">
  <si>
    <t>REMISION</t>
  </si>
  <si>
    <t>FECHA DE ENTREGA</t>
  </si>
  <si>
    <t>HORA DE ENTREGA</t>
  </si>
  <si>
    <t>CONDUCTOR</t>
  </si>
  <si>
    <t>VEHÍCULO</t>
  </si>
  <si>
    <t>PEDIDO PROGRAMADO</t>
  </si>
  <si>
    <t>CLIENTE</t>
  </si>
  <si>
    <t>CANTIDAD/ PRODUCTO</t>
  </si>
  <si>
    <t>PRECIO UNITARIO</t>
  </si>
  <si>
    <t>MODO PAGO</t>
  </si>
  <si>
    <t>CREDITO</t>
  </si>
  <si>
    <t>FECHA</t>
  </si>
  <si>
    <t>VEHICULO</t>
  </si>
  <si>
    <t>PEDIDO PROGRAMADO</t>
  </si>
  <si>
    <t>PRECIO UNI</t>
  </si>
  <si>
    <t>MOTO</t>
  </si>
  <si>
    <t>CODIGO</t>
  </si>
  <si>
    <t>MORANTES ROLON ZORAIDA</t>
  </si>
  <si>
    <r>
      <t>JESUS ENRIQUE PERDOMO IBAGON -  </t>
    </r>
    <r>
      <rPr>
        <b/>
        <sz val="10"/>
        <color rgb="FF222222"/>
        <rFont val="Arial"/>
        <family val="2"/>
      </rPr>
      <t>12.283.626</t>
    </r>
  </si>
  <si>
    <t>REVISAR OC</t>
  </si>
  <si>
    <t xml:space="preserve"> BOTELLONES </t>
  </si>
  <si>
    <t xml:space="preserve">FORMA DE PAGO </t>
  </si>
  <si>
    <t>RIOS CORDOBA JHON ELKIN</t>
  </si>
  <si>
    <t xml:space="preserve">COD. AUXILIAR </t>
  </si>
  <si>
    <t>MECANICOS ASOCIADOS S.A.S.  (CAMPO TELLO)</t>
  </si>
  <si>
    <t xml:space="preserve">OLIMPICA CAMPOALEGRE </t>
  </si>
  <si>
    <t xml:space="preserve">HORA DE SALIDA:  </t>
  </si>
  <si>
    <t>OLIMPICA GARZON</t>
  </si>
  <si>
    <t xml:space="preserve">CREDITO </t>
  </si>
  <si>
    <t xml:space="preserve">CONDUCTOR </t>
  </si>
  <si>
    <t>VANS 394</t>
  </si>
  <si>
    <t>PISCICOLA EL CARACOLI S.A.S.</t>
  </si>
  <si>
    <t>PISCICOLA LA SIRENA SAS</t>
  </si>
  <si>
    <t>13 BOTELLONES</t>
  </si>
  <si>
    <t>FACTURA ELECTRONICA</t>
  </si>
  <si>
    <r>
      <t xml:space="preserve">MAHECHA CASTELLANOS OSCAR GERMAN                                    </t>
    </r>
    <r>
      <rPr>
        <b/>
        <sz val="10"/>
        <color rgb="FF222222"/>
        <rFont val="Arial"/>
        <family val="2"/>
      </rPr>
      <t>CC: 79.500.677</t>
    </r>
  </si>
  <si>
    <t xml:space="preserve"> BOLSAS DE 7 KG</t>
  </si>
  <si>
    <t xml:space="preserve"> BOLSAS DE 3 KG</t>
  </si>
  <si>
    <t>PEÑA GONZALEZ JOSE WILLIAM</t>
  </si>
  <si>
    <t>ECOPROCESADORA ICE Y FISH SAS</t>
  </si>
  <si>
    <t>CREDITO 1 MES</t>
  </si>
  <si>
    <t xml:space="preserve">TAT / ESTANOS / GASTRO BARES / DISCOTECAS / SUPERMERCADOS </t>
  </si>
  <si>
    <t xml:space="preserve">AGUA 6 LITROS </t>
  </si>
  <si>
    <t xml:space="preserve">AGUA x15 Unidades </t>
  </si>
  <si>
    <t xml:space="preserve">AGUA x24 Unidades </t>
  </si>
  <si>
    <t xml:space="preserve">AGUA PET 600 ML x12 Unidades </t>
  </si>
  <si>
    <t xml:space="preserve">AGUA PET 500 ML x12 Unidades </t>
  </si>
  <si>
    <t xml:space="preserve">AGUA PET 300 ML x24 Unidades </t>
  </si>
  <si>
    <t xml:space="preserve">AGUA PET CON GAS 500 ML x12 Unidades </t>
  </si>
  <si>
    <t xml:space="preserve">AGUA PET CON GAS 600 ML x12 Unidades </t>
  </si>
  <si>
    <t xml:space="preserve">Hielo Tubular 1.5 Kilos </t>
  </si>
  <si>
    <t xml:space="preserve">Hielo Tubular 3 Kilos </t>
  </si>
  <si>
    <t xml:space="preserve">Hielo Tubulas 15 Kilos </t>
  </si>
  <si>
    <t xml:space="preserve">Hielo Tubulas 7 Kilos </t>
  </si>
  <si>
    <t xml:space="preserve">AREA </t>
  </si>
  <si>
    <t>CORREOS</t>
  </si>
  <si>
    <t xml:space="preserve">CONTACTO </t>
  </si>
  <si>
    <t xml:space="preserve">CARTERA </t>
  </si>
  <si>
    <t>cartera@hielofoca.com.co</t>
  </si>
  <si>
    <t xml:space="preserve">TESORERIA </t>
  </si>
  <si>
    <t>TALENTO HUMANO</t>
  </si>
  <si>
    <t>CONTABILIDAD</t>
  </si>
  <si>
    <t xml:space="preserve">COORDINADOR COMERCIAL </t>
  </si>
  <si>
    <t>ASESORA COMERCIAL</t>
  </si>
  <si>
    <t xml:space="preserve">GERENCIA </t>
  </si>
  <si>
    <t xml:space="preserve">CALIDAD </t>
  </si>
  <si>
    <t>CAJA</t>
  </si>
  <si>
    <t>INVENTARIO</t>
  </si>
  <si>
    <t>COMPRAS</t>
  </si>
  <si>
    <t>MANTENIMIENTO</t>
  </si>
  <si>
    <t>calidad@hielofoca.com.co</t>
  </si>
  <si>
    <t>pedidos@hielofoca.com.co</t>
  </si>
  <si>
    <t>CONTABILIDAD@hielofoca.com.co</t>
  </si>
  <si>
    <t>gerencia@hielofoca.com.co</t>
  </si>
  <si>
    <t>hielofoca.caja@gmail.com</t>
  </si>
  <si>
    <t>info@hielofoca.com.co  comercial@hielofoca.com.co</t>
  </si>
  <si>
    <t>talentohumano@hielofoca.com.co</t>
  </si>
  <si>
    <t>auxhsth@hielofoca.com.co</t>
  </si>
  <si>
    <t>AUXILIAR TALENTO HUMANO</t>
  </si>
  <si>
    <t xml:space="preserve">PEDIDOS </t>
  </si>
  <si>
    <t>Mantenimiento.cofrio@gmail.com</t>
  </si>
  <si>
    <t>tesoreriahielofoca@gmail.com</t>
  </si>
  <si>
    <t>Compras@hielofoca.com.co</t>
  </si>
  <si>
    <t>comercial2@hielofoca.com.co</t>
  </si>
  <si>
    <r>
      <t xml:space="preserve">PISCICOLA Z C </t>
    </r>
    <r>
      <rPr>
        <b/>
        <sz val="10"/>
        <color rgb="FF222222"/>
        <rFont val="Arial"/>
        <family val="2"/>
      </rPr>
      <t>NIT</t>
    </r>
    <r>
      <rPr>
        <sz val="10"/>
        <color rgb="FF222222"/>
        <rFont val="Arial"/>
        <family val="2"/>
      </rPr>
      <t xml:space="preserve"> 901.217.843</t>
    </r>
  </si>
  <si>
    <t xml:space="preserve">40 BLOQUES </t>
  </si>
  <si>
    <r>
      <t xml:space="preserve"> </t>
    </r>
    <r>
      <rPr>
        <b/>
        <u/>
        <sz val="10"/>
        <color rgb="FF222222"/>
        <rFont val="Arial"/>
        <family val="2"/>
      </rPr>
      <t>COD:</t>
    </r>
    <r>
      <rPr>
        <b/>
        <sz val="10"/>
        <color rgb="FF222222"/>
        <rFont val="Arial"/>
        <family val="2"/>
      </rPr>
      <t xml:space="preserve"> </t>
    </r>
  </si>
  <si>
    <t xml:space="preserve">COD: </t>
  </si>
  <si>
    <t>CODIGO AUX</t>
  </si>
  <si>
    <t>COD</t>
  </si>
  <si>
    <t xml:space="preserve"> BOLSAS TUB 15 KL </t>
  </si>
  <si>
    <t>RICO YULE CRISTIAN ANDRES</t>
  </si>
  <si>
    <t>TRANSFERENCIA</t>
  </si>
  <si>
    <t>FOTON NHU 059</t>
  </si>
  <si>
    <t xml:space="preserve">AGUA 5 LITROS </t>
  </si>
  <si>
    <t xml:space="preserve">AGUA 1 LITRO x6 Unidades </t>
  </si>
  <si>
    <t>PRECIOS NUEVOS TAT</t>
  </si>
  <si>
    <t>60 PACAS DE AGUA x15 UNIDADES</t>
  </si>
  <si>
    <t xml:space="preserve">18 BOLSAS DE 7 KILOS </t>
  </si>
  <si>
    <t xml:space="preserve">AMAYA MURCIA YAQUELINE </t>
  </si>
  <si>
    <t xml:space="preserve">CONTADO </t>
  </si>
  <si>
    <t>25 BOLSAS TUB 3 KG</t>
  </si>
  <si>
    <t xml:space="preserve">JHON RIOS </t>
  </si>
  <si>
    <t>30 BOLSAS TUB 3 KG</t>
  </si>
  <si>
    <t xml:space="preserve">120 BULTOS DE ESCARCHA </t>
  </si>
  <si>
    <t>FACTURA ELECTRONICA CREDITO 1 MES</t>
  </si>
  <si>
    <t>$260 BULTO Y EL FLETE $1.050</t>
  </si>
  <si>
    <t>GALLEGO FERNANDA</t>
  </si>
  <si>
    <t xml:space="preserve">40 PACAS DE AGUA X15 </t>
  </si>
  <si>
    <t xml:space="preserve">REMISION </t>
  </si>
  <si>
    <t>BARRIOS TRUJILLO JIMMY</t>
  </si>
  <si>
    <t>120 BOLSAS TUB 3 KG</t>
  </si>
  <si>
    <t>30 PACAS DE AGUA x15</t>
  </si>
  <si>
    <t xml:space="preserve">BARRIOS TRUJILLO JIMMY </t>
  </si>
  <si>
    <t xml:space="preserve">POS CONTADO </t>
  </si>
  <si>
    <t>INDEPENDIENTES</t>
  </si>
  <si>
    <t>NUMERO DE CEDULA</t>
  </si>
  <si>
    <t>PEREZ CASAS JESUS</t>
  </si>
  <si>
    <t>MANTILLA TRUJILLO LUIS MIGUEL</t>
  </si>
  <si>
    <t>PERDOMO CELEDONIO</t>
  </si>
  <si>
    <t>FARAD CENEN DARIO</t>
  </si>
  <si>
    <t xml:space="preserve">OCHOA ROJAS WILSON </t>
  </si>
  <si>
    <t>BARRAGAN SALAS CARLOS ALBEIRO</t>
  </si>
  <si>
    <t>VASQUEZ DEL VASTO RODOLFO</t>
  </si>
  <si>
    <t>RUBIANO CAMACHO HOLMAN</t>
  </si>
  <si>
    <t>MARTINEZ DEVIA EDINSON</t>
  </si>
  <si>
    <t xml:space="preserve">MENDOZA GAMEZ JULIO ALBERTO </t>
  </si>
  <si>
    <t>LOPEZ GUARNIZO ELIZABETH</t>
  </si>
  <si>
    <t xml:space="preserve">PERDOMO PEREZ SANTIAGO ANDRES </t>
  </si>
  <si>
    <t xml:space="preserve">SANCHEZ HERNANDEZ JAIRO </t>
  </si>
  <si>
    <t>CABRERA MENDEZ OMAR</t>
  </si>
  <si>
    <t>GUACA PASAJE JOSE ELVER</t>
  </si>
  <si>
    <t>ACHIPIS GUALI RICHAR</t>
  </si>
  <si>
    <t>PERDOMO MOSSOS RICARDO</t>
  </si>
  <si>
    <t>PEREZ PERDOMO SEBASTIAN</t>
  </si>
  <si>
    <t>100 PACAS DE AGUA x15</t>
  </si>
  <si>
    <t xml:space="preserve">OLIMPICA PITALITO </t>
  </si>
  <si>
    <t>30 BULTOS ESCARCHA 042</t>
  </si>
  <si>
    <t>MAHECHA CASTELLANOS OSCAR GERMAN                                    CC: 79.500.677</t>
  </si>
  <si>
    <t>OLIMPICA CAMPOALEGRE</t>
  </si>
  <si>
    <t xml:space="preserve"> ARROBA BLOQUE</t>
  </si>
  <si>
    <t xml:space="preserve"> AGUA 6 LITROS</t>
  </si>
  <si>
    <t>40 PACAS DE AGUA x15</t>
  </si>
  <si>
    <t xml:space="preserve">36.382.051 MARIA EUGENIA CEBALLOS QUINTERO </t>
  </si>
  <si>
    <t xml:space="preserve">6 BOTELLONES </t>
  </si>
  <si>
    <r>
      <t>COD:</t>
    </r>
    <r>
      <rPr>
        <sz val="10"/>
        <color rgb="FF222222"/>
        <rFont val="Arial"/>
        <family val="2"/>
      </rPr>
      <t xml:space="preserve"> </t>
    </r>
  </si>
  <si>
    <t xml:space="preserve">SEDES BANCO AGRARIO </t>
  </si>
  <si>
    <t>MUNICIPIO</t>
  </si>
  <si>
    <t xml:space="preserve">DIRECCION </t>
  </si>
  <si>
    <t xml:space="preserve">BARRIO </t>
  </si>
  <si>
    <t xml:space="preserve">CELULAR </t>
  </si>
  <si>
    <t xml:space="preserve">NOMBRE </t>
  </si>
  <si>
    <t>CANTIDAD</t>
  </si>
  <si>
    <t xml:space="preserve">PRODUCTO </t>
  </si>
  <si>
    <t>AIPE</t>
  </si>
  <si>
    <t xml:space="preserve">BOTELLON </t>
  </si>
  <si>
    <t>ALGECIRAS</t>
  </si>
  <si>
    <t>CAMPOALEGRE</t>
  </si>
  <si>
    <t>GIGANTE</t>
  </si>
  <si>
    <t>HOBO</t>
  </si>
  <si>
    <t>GARZON</t>
  </si>
  <si>
    <t>PAICOL</t>
  </si>
  <si>
    <t>LA PLATA</t>
  </si>
  <si>
    <t>LA ARGENTINA</t>
  </si>
  <si>
    <t>NATAGA</t>
  </si>
  <si>
    <t>TESALIA</t>
  </si>
  <si>
    <t>PALERMO</t>
  </si>
  <si>
    <t>RIVERA</t>
  </si>
  <si>
    <t>IQUIRA</t>
  </si>
  <si>
    <t>YAGUARA</t>
  </si>
  <si>
    <t>TERUEL</t>
  </si>
  <si>
    <t>TELLO</t>
  </si>
  <si>
    <t>VILLAVIEJA</t>
  </si>
  <si>
    <t>PITALITO</t>
  </si>
  <si>
    <t>BURSELAS</t>
  </si>
  <si>
    <t>SAN AGUSTIN</t>
  </si>
  <si>
    <t>TARQUI</t>
  </si>
  <si>
    <t>TIMANA</t>
  </si>
  <si>
    <t xml:space="preserve">4 BOTELLONES </t>
  </si>
  <si>
    <t>BANCO AGRARIO DE COLOMBIA S.A. (TELLO)</t>
  </si>
  <si>
    <t>BANCO AGRARIO DE COLOMBIA S.A. (VILLAVIEJA)</t>
  </si>
  <si>
    <t xml:space="preserve">REMISION BANCO AGRARIO DE COLOMBIA S.A. </t>
  </si>
  <si>
    <t xml:space="preserve">BANCO AGRARIO </t>
  </si>
  <si>
    <t xml:space="preserve">PISO </t>
  </si>
  <si>
    <t xml:space="preserve">PARQUEADERO </t>
  </si>
  <si>
    <t xml:space="preserve">NUMERO DE PISO </t>
  </si>
  <si>
    <t>NUMERO DE BOTELLONES</t>
  </si>
  <si>
    <t xml:space="preserve">EQUIPO </t>
  </si>
  <si>
    <t>2 DISPENSADORES</t>
  </si>
  <si>
    <t>1 DISPENSADOR</t>
  </si>
  <si>
    <t>593 / 592</t>
  </si>
  <si>
    <t xml:space="preserve">8 BOTELLONES </t>
  </si>
  <si>
    <t>$6.000 FACTURA ELECTRONICA</t>
  </si>
  <si>
    <t>BANCO AGRARIO DE COLOMBIA S.A. (REGIONAL SUR)</t>
  </si>
  <si>
    <t>BANCO AGRARIO DE COLOMBIA S.A. (NEIVA)</t>
  </si>
  <si>
    <t>OFICINA AL PUBLICO</t>
  </si>
  <si>
    <r>
      <t>COD:</t>
    </r>
    <r>
      <rPr>
        <b/>
        <sz val="10"/>
        <color rgb="FF222222"/>
        <rFont val="Arial"/>
        <family val="2"/>
      </rPr>
      <t xml:space="preserve"> </t>
    </r>
  </si>
  <si>
    <t>COD:</t>
  </si>
  <si>
    <t xml:space="preserve"> COD:</t>
  </si>
  <si>
    <t xml:space="preserve">OFICINA COPS / PARQUEADERO </t>
  </si>
  <si>
    <t xml:space="preserve">CLUB CAMPESTRE </t>
  </si>
  <si>
    <t xml:space="preserve">10 BOTELLONES </t>
  </si>
  <si>
    <t>50 BOLSAS TUB 3 KG</t>
  </si>
  <si>
    <r>
      <t xml:space="preserve"> MEDINA MARIA EUGENIA (ELBA COFFE)            </t>
    </r>
    <r>
      <rPr>
        <b/>
        <sz val="10"/>
        <color rgb="FF222222"/>
        <rFont val="Arial"/>
        <family val="2"/>
      </rPr>
      <t>CEL: 3138917792</t>
    </r>
  </si>
  <si>
    <t>FACTURA POS CONTADO</t>
  </si>
  <si>
    <t xml:space="preserve">5 BOTELLONES </t>
  </si>
  <si>
    <t>AS DISTRIBUCION INSTITUCIONAL S.A.S. (SENA LA PLATA Y PAICOL - CENTRO DE DESARROLLO AGROEMPRES Y TURISTICO</t>
  </si>
  <si>
    <t>BOTELLONES</t>
  </si>
  <si>
    <t>SEDE</t>
  </si>
  <si>
    <t xml:space="preserve">ENTREGADO </t>
  </si>
  <si>
    <t>PENDIENTE</t>
  </si>
  <si>
    <t xml:space="preserve">AIPE </t>
  </si>
  <si>
    <t xml:space="preserve">LA PLATA </t>
  </si>
  <si>
    <t>ARGENTINA</t>
  </si>
  <si>
    <t xml:space="preserve">PALERMO </t>
  </si>
  <si>
    <t>BRUSELAS</t>
  </si>
  <si>
    <t>x</t>
  </si>
  <si>
    <t>SENA</t>
  </si>
  <si>
    <t>INDUSTRIAL</t>
  </si>
  <si>
    <t xml:space="preserve">COMERCIAL </t>
  </si>
  <si>
    <t xml:space="preserve">CAMPOALEGRE </t>
  </si>
  <si>
    <t>LA PLATA Y PAICOL</t>
  </si>
  <si>
    <t>CANDIDO</t>
  </si>
  <si>
    <t>GUADUALES</t>
  </si>
  <si>
    <t>BANCO AGRARIO DE COLOMBIA S.A. (PAICOL)</t>
  </si>
  <si>
    <t>BANCO AGRARIO DE COLOMBIA S.A. (LA PLATA)</t>
  </si>
  <si>
    <t>BANCO AGRARIO DE COLOMBIA S.A. (LA ARGENTINA)</t>
  </si>
  <si>
    <t>BANCO AGRARIO DE COLOMBIA S.A. (NATAGA)</t>
  </si>
  <si>
    <t>BANCO AGRARIO DE COLOMBIA S.A. (TESALIA)</t>
  </si>
  <si>
    <t xml:space="preserve">15 BOTELLONES </t>
  </si>
  <si>
    <r>
      <t xml:space="preserve"> AUTOVIA NEIVA GIRARDOT SAS (</t>
    </r>
    <r>
      <rPr>
        <b/>
        <sz val="10"/>
        <color theme="1"/>
        <rFont val="Arial"/>
        <family val="2"/>
      </rPr>
      <t>900903279</t>
    </r>
    <r>
      <rPr>
        <sz val="10"/>
        <color theme="1"/>
        <rFont val="Arial"/>
        <family val="2"/>
      </rPr>
      <t>)</t>
    </r>
  </si>
  <si>
    <t>PATRIMONIOS AUTONOMOS FIDUCIARIA BANCOLOMBIA SA SOCIEDAD FIDUCIARIA PEAJE NEIVA</t>
  </si>
  <si>
    <t xml:space="preserve"> BOTELLONES</t>
  </si>
  <si>
    <t>PATRIMONIOS AUTONOMOS FIDUCIARIA BANCOLOMBIA SA SOCIEDAD FIDUCIARIA	CENTRO DE CONTROL OPERACIONAL CCO</t>
  </si>
  <si>
    <t xml:space="preserve">PATRIMONIOS AUTONOMOS FIDUCIARIA BANCOLOMBIA SA SOCIEDAD FIDUCIARIA 	BASCULA SUR </t>
  </si>
  <si>
    <t>PATRIMONIOS AUTONOMOS FIDUCIARIA BANCOLOMBIA SA SOCIEDAD FIDUCIARIA 	BASCULA NORTE</t>
  </si>
  <si>
    <t>PATRIMONIOS AUTONOMOS FIDUCIARIA BANCOLOMBIA SA SOCIEDAD FIDUCIARIA	PEAJE EL PATA</t>
  </si>
  <si>
    <t>BANCO AGRARIO DE COLOMBIA S.A. (ALGECIRAS)</t>
  </si>
  <si>
    <t>BANCO AGRARIO DE COLOMBIA S.A. (HOBO)</t>
  </si>
  <si>
    <t xml:space="preserve">9 BOTELLONES </t>
  </si>
  <si>
    <t>TWM S.A.S</t>
  </si>
  <si>
    <t>REMISION TWM S.A.S</t>
  </si>
  <si>
    <t>REMISION TWM S.A.S (SEDE SANTA CLARA)</t>
  </si>
  <si>
    <t>FERROMINERALES DEL HUILA SAS</t>
  </si>
  <si>
    <t>40 BOLSAS TUB 3 KG</t>
  </si>
  <si>
    <t>PATRIMONIOS AUTONOMOS FIDUCIARIA BANCOLOMBIA SA SOCIEDAD FIDUCIARIA AREA DE SERVICIOS NEIVA KL8</t>
  </si>
  <si>
    <t xml:space="preserve">CUELLAR JHON </t>
  </si>
  <si>
    <t xml:space="preserve">5 BULTOS ESCARCHA </t>
  </si>
  <si>
    <t>AS DISTRIBUCION INSTITUCIONAL S.A.S. (SENA COMERCIAL)</t>
  </si>
  <si>
    <t>AS DISTRIBUCION INSTITUCIONAL S.A.S. (SENA INDUSTRIAL)</t>
  </si>
  <si>
    <t xml:space="preserve">13 BOTELLONES </t>
  </si>
  <si>
    <t>TWM S.A.S (TENAY)</t>
  </si>
  <si>
    <t>TWM S.A.S (BABILLA)</t>
  </si>
  <si>
    <t>100 BOLSAS TUB 3 KG</t>
  </si>
  <si>
    <t>OLIMPICA SAN AGUSTIN</t>
  </si>
  <si>
    <t>CRESPO GUZMAN LUIS MARTIN (DIST RIVERA)</t>
  </si>
  <si>
    <t>10 BOLSAS TUB 3 KG</t>
  </si>
  <si>
    <t>ANTURY CARVAJAL OLVER (DEPOSITO Y TRILLADORA LA UNION / TIENDAS MIO)</t>
  </si>
  <si>
    <t>CUELLAR JHON</t>
  </si>
  <si>
    <t xml:space="preserve">4 BOLSAS DE 7 KILOS </t>
  </si>
  <si>
    <t>STUP DE COLOMBIA S A S</t>
  </si>
  <si>
    <t>PEÑA WILLIAM</t>
  </si>
  <si>
    <t>BANCO AGRARIO DE COLOMBIA S.A. (CAMPOALEGRE )</t>
  </si>
  <si>
    <t xml:space="preserve">7 BOTELLONES </t>
  </si>
  <si>
    <t>BANCO AGRARIO DE COLOMBIA S.A. (GARZON)</t>
  </si>
  <si>
    <t>NHR LPY 606</t>
  </si>
  <si>
    <t>80 BOLSAS TUB 7 KG</t>
  </si>
  <si>
    <t>10 BOTELLONES</t>
  </si>
  <si>
    <t xml:space="preserve">GONZALEZ SERGIO </t>
  </si>
  <si>
    <t>ELECTRONICA</t>
  </si>
  <si>
    <t>OLIMPICA S.A. GARZON</t>
  </si>
  <si>
    <t>6 PACAS x24 UNIDADES</t>
  </si>
  <si>
    <t xml:space="preserve">11 BOTELLONES </t>
  </si>
  <si>
    <t>PROSUM ECOLOGIC SAS (SENA)</t>
  </si>
  <si>
    <t>PROSUM ECOLOGIC SAS (SENA GARZON)</t>
  </si>
  <si>
    <t>PROSUM ECOLOGIC SAS (SENA CAMPOALEGRE)</t>
  </si>
  <si>
    <t>PROSUM ECOLOGIC SAS (SENA PAICOL)</t>
  </si>
  <si>
    <t xml:space="preserve">SENA INDUSTRIAL </t>
  </si>
  <si>
    <t>SENA COMERCIAL</t>
  </si>
  <si>
    <t>SENA CANDIDO TECNOACADEMIA</t>
  </si>
  <si>
    <t xml:space="preserve">2 BOTELLONES </t>
  </si>
  <si>
    <t>SENA LA PLATA Y PAICOL - CENTRO DE DESARROLLO AGROEMPRES Y TURISTICO</t>
  </si>
  <si>
    <t xml:space="preserve">CENTRO AGROEMPRESARIAL Y DESARROLLO PECUARIO DEL HUILA </t>
  </si>
  <si>
    <t>CENTRO DE FORMACION AGROINDUSTRIAL</t>
  </si>
  <si>
    <t>PROSUM ECOLOGIC SAS (SENA PITALITO)</t>
  </si>
  <si>
    <t>GESTION Y DESARROLLO SURCOLOMBIANO</t>
  </si>
  <si>
    <t>PROSUM ECOLOGIC SAS (SENA LA PLATA)</t>
  </si>
  <si>
    <t>CENTRO DE DESARROLLO AGROEMPRES Y TURISTICO</t>
  </si>
  <si>
    <t>50 BOLSA AGUA 6 LTS</t>
  </si>
  <si>
    <t xml:space="preserve">10 GARRAFAS 5 LITROS </t>
  </si>
  <si>
    <t>25 BOLSAS TUB 15 KG</t>
  </si>
  <si>
    <t>5 BOTELLONES</t>
  </si>
  <si>
    <t>AL REGRESAR DEL BANCO</t>
  </si>
  <si>
    <t>BANCO AGRARIO DE COLOMBIA S.A. (RIVERA)</t>
  </si>
  <si>
    <t xml:space="preserve"> AGUAS x15 Und</t>
  </si>
  <si>
    <t>Nº</t>
  </si>
  <si>
    <t>OFICINA</t>
  </si>
  <si>
    <t xml:space="preserve">MEDINA MARIA EUGENIA (ELBA COFFE) </t>
  </si>
  <si>
    <t>CONTADO POS</t>
  </si>
  <si>
    <t>2 ARROBAS ESCARCHA 043</t>
  </si>
  <si>
    <t>10 BOLSAS 7 KILOS</t>
  </si>
  <si>
    <t>40 PACAS DE AGUA x24 UND</t>
  </si>
  <si>
    <t>10 ARROBAS ESCARCHA</t>
  </si>
  <si>
    <t>100 BOLSAS TUB 7 KG</t>
  </si>
  <si>
    <t>44 BOLSA TUB 15 KILOS</t>
  </si>
  <si>
    <t>50 BOLSA DE 7 KILOS</t>
  </si>
  <si>
    <t>40 ARROBA ESCARCHA</t>
  </si>
  <si>
    <t xml:space="preserve">13 BOLSAS DE 7 KILOS </t>
  </si>
  <si>
    <t>TOLEDO CHAUX YORYI ARLEY</t>
  </si>
  <si>
    <t xml:space="preserve">JULIO </t>
  </si>
  <si>
    <t>AGOSTO</t>
  </si>
  <si>
    <t>X</t>
  </si>
  <si>
    <t>VLF MONTAJES ELECTROMECANICOS S.A.S</t>
  </si>
  <si>
    <t>$6.500 FACTURA ELECTRONICA</t>
  </si>
  <si>
    <t>2 BOLSAS TUB 7 KG</t>
  </si>
  <si>
    <t>$8.500 FACTURA ELECTRONICA</t>
  </si>
  <si>
    <t xml:space="preserve">1 BOLSAS TUB 15 KL </t>
  </si>
  <si>
    <t>5 PACAS DE AGUA x24 UND</t>
  </si>
  <si>
    <t>30 PACAS DE AGUA x24 UND</t>
  </si>
  <si>
    <t xml:space="preserve">PATRIMONIOS AUTONOMOS FIDUCIARIA BANCOLOMBIA SA SOCIEDAD FIDUCIARIA AREA DE SERVICIOS NEIVA KL8 </t>
  </si>
  <si>
    <t>CORPORACION PARA LA INVESTIGACION Y DESARROLLO EN CIENCIAS D (CIMA)</t>
  </si>
  <si>
    <t>BANCO AGRARIO DE COLOMBIA S.A. (PITALITO)</t>
  </si>
  <si>
    <t>15 BOLSAS TUB 7 KG</t>
  </si>
  <si>
    <t xml:space="preserve">CEBALLOS QUINTERO MARIA EUGENIA </t>
  </si>
  <si>
    <t>18 BOLSAS TUB 7 KG</t>
  </si>
  <si>
    <t>JESUS ENRIQUE PERDOMO IBAGON -  12.283.626</t>
  </si>
  <si>
    <t>80 BOLSA TUB 15 KILOS</t>
  </si>
  <si>
    <t>130 BOLSA DE 7 KILOS</t>
  </si>
  <si>
    <t>10 AGUAS x15 Und</t>
  </si>
  <si>
    <t xml:space="preserve">ACEVEDO GLOBYS </t>
  </si>
  <si>
    <t>42 PACAS x24 UND</t>
  </si>
  <si>
    <t>3 BLOQUES GRANDES 013</t>
  </si>
  <si>
    <t>POS CONTADO</t>
  </si>
  <si>
    <t>10PACAS DE AGUA x24 UNIDADES</t>
  </si>
  <si>
    <t>CONSORCIO CONSTRUCTOR AUTOVIA NEIVA GIRARDOT (AIPE)</t>
  </si>
  <si>
    <t>5 PACAS DE AGUA x24 UNIDADES</t>
  </si>
  <si>
    <t>3 BOTELLONES</t>
  </si>
  <si>
    <t>50 PACAS DE AGUA x15</t>
  </si>
  <si>
    <t>70 BOLSAS TUB 3 KG</t>
  </si>
  <si>
    <t>BANCO AGRARIO DE COLOMBIA S.A. (GIGANTE)</t>
  </si>
  <si>
    <t>FOTON</t>
  </si>
  <si>
    <t>ANDRES CAMACHO</t>
  </si>
  <si>
    <t>220 BOLSAS TUB 3 KG</t>
  </si>
  <si>
    <t>BANCO AGRARIO DE COLOMBIA S.A. (TIMANA )</t>
  </si>
  <si>
    <t>BANCO AGRARIO DE COLOMBIA S.A. (TARQUI )</t>
  </si>
  <si>
    <t>SEÑOR CONDUCTOR DEBE LLEVAR UN DISPENSADOR NUEVO Y ENTREGARLO EN LA SEDE DE BANCO AGRARIO DE PITALITO Y RECOGER UNO QUE ESTA DAÑADO</t>
  </si>
  <si>
    <t>WILLIAM PEÑA</t>
  </si>
  <si>
    <t>SUPERMERCADO CINCO MENOS LA MARAVILLA SAS (SUR CANAIMA)</t>
  </si>
  <si>
    <t>50  BOLSAS TUB 3 KG</t>
  </si>
  <si>
    <t>JHON CUELLAR</t>
  </si>
  <si>
    <t>BANCO AGRARIO DE COLOMBIA S.A. (YAGUARA)</t>
  </si>
  <si>
    <t>BANCO AGRARIO DE COLOMBIA S.A. (IQUIRA)</t>
  </si>
  <si>
    <t xml:space="preserve">CLUB CAMPESTRE DE NEIVA </t>
  </si>
  <si>
    <t>20 PACAS X 15 UND</t>
  </si>
  <si>
    <t xml:space="preserve">VANS </t>
  </si>
  <si>
    <t>6 PACAS DE AGUA X 24 UNID</t>
  </si>
  <si>
    <t xml:space="preserve">5  BOTELLONES </t>
  </si>
  <si>
    <t xml:space="preserve">26  BOTELLONES </t>
  </si>
  <si>
    <t>PEÑA WILLIAN</t>
  </si>
  <si>
    <t>50 BOTELLONES</t>
  </si>
  <si>
    <t>11  BOTELLONES</t>
  </si>
  <si>
    <t>3  BOTELLONES </t>
  </si>
  <si>
    <t>12 BOTELLONES </t>
  </si>
  <si>
    <t>9 BOTELLONES</t>
  </si>
  <si>
    <t>POR FAVOR RECORDAR QUE ES UNA SOLA REMISION DE 14  BOTELLONES PARA TWM PERO EL CONDUCTOR LOS ENTREGA EN EL ORDEN DE LA PROGRAMACION</t>
  </si>
  <si>
    <t>21 BOTELLONES</t>
  </si>
  <si>
    <t>PATRIMONIOS AUTONOMOS FIDUCIARIA BANCOLOMBIA SA SOCIEDAD FIDUCIARIA PEAJE EL PATA</t>
  </si>
  <si>
    <t>MECANICOS ASOCIADOS S.A.S. (CAMPO TELLO)</t>
  </si>
  <si>
    <t>REMISION TWM S.A.S (TENAY)</t>
  </si>
  <si>
    <t xml:space="preserve"> REMISION TWM S.A.S (TENAY)</t>
  </si>
  <si>
    <t xml:space="preserve"> REMISION TWM S.A.S (BABILLA)</t>
  </si>
  <si>
    <t>REMSION MECANICOS ASOCIADOS</t>
  </si>
  <si>
    <t>SE DESPACHAN 11 BOTELLONES Y 2 BOLSA DE 7 KILOS TUBULAR PARA CAMPO TELLO OJO. SE FACTURA NORMAL LOS 13 BOTELLONES</t>
  </si>
  <si>
    <t>JHON RIOS</t>
  </si>
  <si>
    <t>105 BULTOS DE ESCARCHA 25 KL</t>
  </si>
  <si>
    <t>60 BOLSAS DE ESCARCHA 15 KL</t>
  </si>
  <si>
    <t>PRODUCTO</t>
  </si>
  <si>
    <t>VANS</t>
  </si>
  <si>
    <t>EDINSON RIOS</t>
  </si>
  <si>
    <t>CARLOS CALDERON</t>
  </si>
  <si>
    <t>CRISTIAN RICO</t>
  </si>
  <si>
    <t>KEVIN REYES</t>
  </si>
  <si>
    <t>ANDRES F CAMACHO</t>
  </si>
  <si>
    <t>JUAN S HERNANDEZ</t>
  </si>
  <si>
    <t>YILMAR TORRES BASTIDAS</t>
  </si>
  <si>
    <t>NHR (2)</t>
  </si>
  <si>
    <t>CALDERÓN VARGAS CARLOS ANDRES</t>
  </si>
  <si>
    <t>TORRES B YILMAR</t>
  </si>
  <si>
    <t>MANTILLA TRUJILLO LUIS</t>
  </si>
  <si>
    <t>OCHOA ROJAS WILSON</t>
  </si>
  <si>
    <t>BARRAGAN SALAS CARLOS</t>
  </si>
  <si>
    <t>VAZQUES RODOLFO</t>
  </si>
  <si>
    <t>PEREZ CAJAS JESUS</t>
  </si>
  <si>
    <t>MENDOZA GOMEZ JULIO</t>
  </si>
  <si>
    <t>MARTIN DEVIA EDINSON</t>
  </si>
  <si>
    <t>LOPEZ GUARNISO ELIZABETH</t>
  </si>
  <si>
    <t>SANCHES HERNADEZ JAIRO</t>
  </si>
  <si>
    <t>RIOS CORDOBA EDINSON</t>
  </si>
  <si>
    <t>PEREZ ANDRES DIOMEDES</t>
  </si>
  <si>
    <t>FOTON 059</t>
  </si>
  <si>
    <t>WILLIAN PEÑA</t>
  </si>
  <si>
    <t>MANOLO MENZA</t>
  </si>
  <si>
    <t>JAC 517</t>
  </si>
  <si>
    <t>YILMAR BASTIDAS</t>
  </si>
  <si>
    <t>HERNANDEZ JUAN SEBASTIAN</t>
  </si>
  <si>
    <t>CODIGO - CONDUCTOR</t>
  </si>
  <si>
    <t>DOCUMENTO</t>
  </si>
  <si>
    <t>INFORMACION PERSONAL</t>
  </si>
  <si>
    <t>CODIGO - INDEPENDIENTE</t>
  </si>
  <si>
    <t>FAC ELEC</t>
  </si>
  <si>
    <t>N° OC</t>
  </si>
  <si>
    <t>GOMEZ FIERRO JHON ALEXANDER</t>
  </si>
  <si>
    <t>FECHA DE REGISTRO</t>
  </si>
  <si>
    <t>HORA DE REGISTRO</t>
  </si>
  <si>
    <t xml:space="preserve"> </t>
  </si>
  <si>
    <t>Programacion de Pedidos
SUPERMERCADOS
Control de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</si>
</sst>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2" formatCode="_-&quot;$&quot;\ * #,##0_-;\-&quot;$&quot;\ * #,##0_-;_-&quot;$&quot;\ * &quot;-&quot;_-;_-@_-"/>
    <numFmt numFmtId="164" formatCode="[$-F400]h:mm:ss\ AM/PM"/>
    <numFmt numFmtId="165" formatCode="&quot;$&quot;\ #,##0"/>
  </numFmts>
  <fonts count="31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222222"/>
      <name val="Arial"/>
      <family val="2"/>
    </font>
    <font>
      <b/>
      <u/>
      <sz val="10"/>
      <color rgb="FF22222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rgb="FF222222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rgb="FFFF0000"/>
      <name val="Arial"/>
      <family val="2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1"/>
      <color rgb="FF222222"/>
      <name val="Calibri"/>
      <family val="2"/>
      <scheme val="minor"/>
    </font>
    <font>
      <b/>
      <u/>
      <sz val="12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2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2" fontId="7" fillId="0" borderId="0" applyFont="0" applyFill="0" applyBorder="0" applyAlignment="0" applyProtection="0"/>
  </cellStyleXfs>
  <cellXfs count="208">
    <xf numFmtId="0" fontId="0" fillId="0" borderId="0" xfId="0"/>
    <xf numFmtId="0" fontId="0" fillId="3" borderId="0" xfId="0" applyFill="1"/>
    <xf numFmtId="6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6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vertical="center"/>
    </xf>
    <xf numFmtId="20" fontId="5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6" fontId="2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20" fontId="6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6" fontId="1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17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 wrapText="1"/>
    </xf>
    <xf numFmtId="6" fontId="2" fillId="3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6" fontId="2" fillId="3" borderId="3" xfId="1" applyNumberFormat="1" applyFont="1" applyFill="1" applyBorder="1" applyAlignment="1">
      <alignment horizontal="center" vertical="center" wrapText="1"/>
    </xf>
    <xf numFmtId="6" fontId="2" fillId="3" borderId="2" xfId="1" applyNumberFormat="1" applyFont="1" applyFill="1" applyBorder="1" applyAlignment="1">
      <alignment horizontal="center" vertical="center" wrapText="1"/>
    </xf>
    <xf numFmtId="6" fontId="0" fillId="3" borderId="1" xfId="0" applyNumberForma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wrapText="1"/>
    </xf>
    <xf numFmtId="0" fontId="17" fillId="11" borderId="1" xfId="0" applyFont="1" applyFill="1" applyBorder="1" applyAlignment="1">
      <alignment wrapText="1"/>
    </xf>
    <xf numFmtId="0" fontId="17" fillId="12" borderId="1" xfId="0" applyFont="1" applyFill="1" applyBorder="1" applyAlignment="1">
      <alignment horizontal="center" wrapText="1"/>
    </xf>
    <xf numFmtId="0" fontId="17" fillId="12" borderId="1" xfId="0" applyFont="1" applyFill="1" applyBorder="1" applyAlignment="1">
      <alignment wrapText="1"/>
    </xf>
    <xf numFmtId="0" fontId="17" fillId="13" borderId="1" xfId="0" applyFont="1" applyFill="1" applyBorder="1" applyAlignment="1">
      <alignment horizontal="center" wrapText="1"/>
    </xf>
    <xf numFmtId="0" fontId="17" fillId="13" borderId="1" xfId="0" applyFont="1" applyFill="1" applyBorder="1" applyAlignment="1">
      <alignment wrapText="1"/>
    </xf>
    <xf numFmtId="0" fontId="17" fillId="14" borderId="1" xfId="0" applyFont="1" applyFill="1" applyBorder="1" applyAlignment="1">
      <alignment horizontal="center" wrapText="1"/>
    </xf>
    <xf numFmtId="0" fontId="17" fillId="14" borderId="1" xfId="0" applyFont="1" applyFill="1" applyBorder="1" applyAlignment="1">
      <alignment wrapText="1"/>
    </xf>
    <xf numFmtId="0" fontId="17" fillId="15" borderId="1" xfId="0" applyFont="1" applyFill="1" applyBorder="1" applyAlignment="1">
      <alignment horizontal="center" wrapText="1"/>
    </xf>
    <xf numFmtId="0" fontId="17" fillId="15" borderId="1" xfId="0" applyFont="1" applyFill="1" applyBorder="1" applyAlignment="1">
      <alignment wrapText="1"/>
    </xf>
    <xf numFmtId="0" fontId="2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11" fillId="0" borderId="1" xfId="2" applyBorder="1"/>
    <xf numFmtId="0" fontId="11" fillId="0" borderId="1" xfId="2" applyBorder="1" applyAlignment="1"/>
    <xf numFmtId="0" fontId="1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4" fontId="2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0" fillId="3" borderId="1" xfId="1" applyNumberFormat="1" applyFont="1" applyFill="1" applyBorder="1" applyAlignment="1">
      <alignment horizontal="center" vertical="center" wrapText="1"/>
    </xf>
    <xf numFmtId="165" fontId="28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0" fillId="3" borderId="1" xfId="1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20" fontId="1" fillId="2" borderId="3" xfId="0" applyNumberFormat="1" applyFont="1" applyFill="1" applyBorder="1" applyAlignment="1">
      <alignment horizontal="center" vertical="center"/>
    </xf>
    <xf numFmtId="20" fontId="1" fillId="2" borderId="4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6" fontId="2" fillId="3" borderId="3" xfId="1" applyNumberFormat="1" applyFont="1" applyFill="1" applyBorder="1" applyAlignment="1">
      <alignment horizontal="center" vertical="center" wrapText="1"/>
    </xf>
    <xf numFmtId="6" fontId="2" fillId="3" borderId="2" xfId="1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6" fontId="2" fillId="3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" fontId="1" fillId="2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18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6" fontId="2" fillId="0" borderId="3" xfId="0" applyNumberFormat="1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20" fontId="1" fillId="3" borderId="3" xfId="0" applyNumberFormat="1" applyFont="1" applyFill="1" applyBorder="1" applyAlignment="1">
      <alignment horizontal="center" vertical="center" wrapText="1"/>
    </xf>
    <xf numFmtId="20" fontId="1" fillId="3" borderId="2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9" fillId="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</cellXfs>
  <cellStyles count="4">
    <cellStyle name="Hipervínculo" xfId="2" builtinId="8"/>
    <cellStyle name="Moneda [0]" xfId="1" builtinId="7"/>
    <cellStyle name="Moneda [0] 2" xfId="3" xr:uid="{A700F51D-CFE4-48B1-93DF-61A182D08489}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9BDE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38100</xdr:rowOff>
    </xdr:from>
    <xdr:to>
      <xdr:col>2</xdr:col>
      <xdr:colOff>714375</xdr:colOff>
      <xdr:row>6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9FB4C5-A181-2911-7BB6-8A8AF87D8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31" b="12651"/>
        <a:stretch>
          <a:fillRect/>
        </a:stretch>
      </xdr:blipFill>
      <xdr:spPr>
        <a:xfrm>
          <a:off x="733425" y="609600"/>
          <a:ext cx="2667000" cy="781050"/>
        </a:xfrm>
        <a:prstGeom prst="rect">
          <a:avLst/>
        </a:prstGeom>
      </xdr:spPr>
    </xdr:pic>
    <xdr:clientData/>
  </xdr:twoCellAnchor>
  <xdr:twoCellAnchor>
    <xdr:from>
      <xdr:col>8</xdr:col>
      <xdr:colOff>161926</xdr:colOff>
      <xdr:row>2</xdr:row>
      <xdr:rowOff>123826</xdr:rowOff>
    </xdr:from>
    <xdr:to>
      <xdr:col>9</xdr:col>
      <xdr:colOff>495301</xdr:colOff>
      <xdr:row>7</xdr:row>
      <xdr:rowOff>66676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A33AD6-3091-876E-B0E4-84548698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97378">
          <a:off x="10029826" y="504826"/>
          <a:ext cx="97155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lentohumano@hielofoca.com.co" TargetMode="External"/><Relationship Id="rId13" Type="http://schemas.openxmlformats.org/officeDocument/2006/relationships/hyperlink" Target="mailto:Compras@hielofoca.com.co" TargetMode="External"/><Relationship Id="rId3" Type="http://schemas.openxmlformats.org/officeDocument/2006/relationships/hyperlink" Target="mailto:CONTABILIDAD@hielofoca.com.co" TargetMode="External"/><Relationship Id="rId7" Type="http://schemas.openxmlformats.org/officeDocument/2006/relationships/hyperlink" Target="mailto:hielofoca.caja@gmail.com" TargetMode="External"/><Relationship Id="rId12" Type="http://schemas.openxmlformats.org/officeDocument/2006/relationships/hyperlink" Target="mailto:tesoreriahielofoca@gmail.com" TargetMode="External"/><Relationship Id="rId2" Type="http://schemas.openxmlformats.org/officeDocument/2006/relationships/hyperlink" Target="mailto:gerencia@hielofoca.com.co" TargetMode="External"/><Relationship Id="rId1" Type="http://schemas.openxmlformats.org/officeDocument/2006/relationships/hyperlink" Target="mailto:info@hielofoca.com.co%20-" TargetMode="External"/><Relationship Id="rId6" Type="http://schemas.openxmlformats.org/officeDocument/2006/relationships/hyperlink" Target="mailto:hielofoca.caja@gmail.com" TargetMode="External"/><Relationship Id="rId11" Type="http://schemas.openxmlformats.org/officeDocument/2006/relationships/hyperlink" Target="mailto:Mantenimiento.cofrio@gmail.com" TargetMode="External"/><Relationship Id="rId5" Type="http://schemas.openxmlformats.org/officeDocument/2006/relationships/hyperlink" Target="mailto:calidad@hielofoca.com.co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pedidos@hielofoca.com.co" TargetMode="External"/><Relationship Id="rId4" Type="http://schemas.openxmlformats.org/officeDocument/2006/relationships/hyperlink" Target="mailto:cartera@hielofoca.com.co" TargetMode="External"/><Relationship Id="rId9" Type="http://schemas.openxmlformats.org/officeDocument/2006/relationships/hyperlink" Target="mailto:auxhsth@hielofoca.com.co" TargetMode="External"/><Relationship Id="rId14" Type="http://schemas.openxmlformats.org/officeDocument/2006/relationships/hyperlink" Target="mailto:comercial2@hielofoca.com.c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6EF1-1413-490B-B8B7-AEA40B513DE6}">
  <dimension ref="A1:N51"/>
  <sheetViews>
    <sheetView topLeftCell="F5" workbookViewId="0">
      <selection activeCell="N25" sqref="N25"/>
    </sheetView>
  </sheetViews>
  <sheetFormatPr baseColWidth="10" defaultRowHeight="15" x14ac:dyDescent="0.25"/>
  <cols>
    <col min="1" max="1" width="10.28515625" bestFit="1" customWidth="1"/>
    <col min="2" max="2" width="12.5703125" bestFit="1" customWidth="1"/>
    <col min="3" max="3" width="41" bestFit="1" customWidth="1"/>
    <col min="4" max="4" width="16.85546875" customWidth="1"/>
    <col min="5" max="5" width="45.28515625" customWidth="1"/>
    <col min="6" max="6" width="11.5703125" customWidth="1"/>
    <col min="8" max="8" width="28" bestFit="1" customWidth="1"/>
    <col min="9" max="9" width="32.28515625" bestFit="1" customWidth="1"/>
    <col min="10" max="10" width="11.28515625" bestFit="1" customWidth="1"/>
    <col min="12" max="12" width="41.140625" bestFit="1" customWidth="1"/>
    <col min="13" max="13" width="9.85546875" bestFit="1" customWidth="1"/>
    <col min="14" max="14" width="23.85546875" bestFit="1" customWidth="1"/>
  </cols>
  <sheetData>
    <row r="1" spans="1:14" ht="30" customHeight="1" x14ac:dyDescent="0.25">
      <c r="A1" s="110" t="s">
        <v>405</v>
      </c>
      <c r="B1" s="110"/>
      <c r="C1" s="110"/>
      <c r="E1" s="110" t="s">
        <v>96</v>
      </c>
      <c r="F1" s="110"/>
      <c r="H1" s="110" t="s">
        <v>407</v>
      </c>
      <c r="I1" s="110"/>
      <c r="J1" s="110"/>
      <c r="L1" s="111" t="s">
        <v>408</v>
      </c>
      <c r="M1" s="111"/>
      <c r="N1" s="111"/>
    </row>
    <row r="2" spans="1:14" ht="24" customHeight="1" x14ac:dyDescent="0.25">
      <c r="A2" s="76" t="s">
        <v>16</v>
      </c>
      <c r="B2" s="76" t="s">
        <v>12</v>
      </c>
      <c r="C2" s="76" t="s">
        <v>3</v>
      </c>
      <c r="E2" s="112" t="s">
        <v>41</v>
      </c>
      <c r="F2" s="112"/>
      <c r="H2" s="87" t="s">
        <v>54</v>
      </c>
      <c r="I2" s="87" t="s">
        <v>55</v>
      </c>
      <c r="J2" s="38" t="s">
        <v>56</v>
      </c>
      <c r="L2" s="92" t="s">
        <v>115</v>
      </c>
      <c r="M2" s="92" t="s">
        <v>16</v>
      </c>
      <c r="N2" s="92" t="s">
        <v>116</v>
      </c>
    </row>
    <row r="3" spans="1:14" ht="16.5" customHeight="1" x14ac:dyDescent="0.25">
      <c r="A3" s="77">
        <v>28</v>
      </c>
      <c r="B3" s="77" t="s">
        <v>377</v>
      </c>
      <c r="C3" s="78" t="s">
        <v>378</v>
      </c>
      <c r="E3" s="88" t="s">
        <v>42</v>
      </c>
      <c r="F3" s="75">
        <v>3000</v>
      </c>
      <c r="H3" s="89" t="s">
        <v>57</v>
      </c>
      <c r="I3" s="90" t="s">
        <v>58</v>
      </c>
      <c r="J3" s="26"/>
      <c r="L3" s="93" t="s">
        <v>118</v>
      </c>
      <c r="M3" s="94">
        <v>5</v>
      </c>
      <c r="N3" s="95">
        <v>7725044</v>
      </c>
    </row>
    <row r="4" spans="1:14" ht="15.75" x14ac:dyDescent="0.25">
      <c r="A4" s="77">
        <v>29</v>
      </c>
      <c r="B4" s="77" t="s">
        <v>377</v>
      </c>
      <c r="C4" s="78" t="s">
        <v>346</v>
      </c>
      <c r="E4" s="88" t="s">
        <v>94</v>
      </c>
      <c r="F4" s="75">
        <v>3900</v>
      </c>
      <c r="H4" s="89" t="s">
        <v>59</v>
      </c>
      <c r="I4" s="90" t="s">
        <v>81</v>
      </c>
      <c r="J4" s="26">
        <v>3167400038</v>
      </c>
      <c r="L4" s="93" t="s">
        <v>119</v>
      </c>
      <c r="M4" s="94">
        <v>6</v>
      </c>
      <c r="N4" s="95">
        <v>17328221</v>
      </c>
    </row>
    <row r="5" spans="1:14" ht="15.75" x14ac:dyDescent="0.25">
      <c r="A5" s="77">
        <v>30</v>
      </c>
      <c r="B5" s="77" t="s">
        <v>377</v>
      </c>
      <c r="C5" s="78" t="s">
        <v>379</v>
      </c>
      <c r="E5" s="88" t="s">
        <v>95</v>
      </c>
      <c r="F5" s="75">
        <v>9000</v>
      </c>
      <c r="H5" s="89" t="s">
        <v>78</v>
      </c>
      <c r="I5" s="90" t="s">
        <v>77</v>
      </c>
      <c r="J5" s="26"/>
      <c r="L5" s="93" t="s">
        <v>120</v>
      </c>
      <c r="M5" s="94">
        <v>7</v>
      </c>
      <c r="N5" s="95">
        <v>7247582</v>
      </c>
    </row>
    <row r="6" spans="1:14" ht="15.75" x14ac:dyDescent="0.25">
      <c r="A6" s="77">
        <v>31</v>
      </c>
      <c r="B6" s="77" t="s">
        <v>377</v>
      </c>
      <c r="C6" s="78" t="s">
        <v>380</v>
      </c>
      <c r="E6" s="88" t="s">
        <v>43</v>
      </c>
      <c r="F6" s="75">
        <v>3500</v>
      </c>
      <c r="H6" s="89" t="s">
        <v>60</v>
      </c>
      <c r="I6" s="90" t="s">
        <v>76</v>
      </c>
      <c r="J6" s="26"/>
      <c r="L6" s="93" t="s">
        <v>121</v>
      </c>
      <c r="M6" s="94">
        <v>8</v>
      </c>
      <c r="N6" s="95">
        <v>7685879</v>
      </c>
    </row>
    <row r="7" spans="1:14" ht="15.75" x14ac:dyDescent="0.25">
      <c r="A7" s="77">
        <v>32</v>
      </c>
      <c r="B7" s="77" t="s">
        <v>377</v>
      </c>
      <c r="C7" s="78" t="s">
        <v>381</v>
      </c>
      <c r="E7" s="88" t="s">
        <v>44</v>
      </c>
      <c r="F7" s="75">
        <v>5500</v>
      </c>
      <c r="H7" s="89" t="s">
        <v>61</v>
      </c>
      <c r="I7" s="90" t="s">
        <v>72</v>
      </c>
      <c r="J7" s="26"/>
      <c r="L7" s="93" t="s">
        <v>122</v>
      </c>
      <c r="M7" s="94">
        <v>12</v>
      </c>
      <c r="N7" s="95">
        <v>7721366</v>
      </c>
    </row>
    <row r="8" spans="1:14" ht="15.75" x14ac:dyDescent="0.25">
      <c r="A8" s="77">
        <v>33</v>
      </c>
      <c r="B8" s="77" t="s">
        <v>377</v>
      </c>
      <c r="C8" s="78" t="s">
        <v>382</v>
      </c>
      <c r="E8" s="88" t="s">
        <v>45</v>
      </c>
      <c r="F8" s="75">
        <v>14000</v>
      </c>
      <c r="H8" s="89" t="s">
        <v>62</v>
      </c>
      <c r="I8" s="91" t="s">
        <v>75</v>
      </c>
      <c r="J8" s="26"/>
      <c r="L8" s="93" t="s">
        <v>123</v>
      </c>
      <c r="M8" s="94">
        <v>13</v>
      </c>
      <c r="N8" s="95">
        <v>12121403</v>
      </c>
    </row>
    <row r="9" spans="1:14" ht="15.75" x14ac:dyDescent="0.25">
      <c r="A9" s="77">
        <v>34</v>
      </c>
      <c r="B9" s="77" t="s">
        <v>377</v>
      </c>
      <c r="C9" s="78" t="s">
        <v>383</v>
      </c>
      <c r="E9" s="88" t="s">
        <v>46</v>
      </c>
      <c r="F9" s="75">
        <v>13000</v>
      </c>
      <c r="H9" s="89" t="s">
        <v>63</v>
      </c>
      <c r="I9" s="90" t="s">
        <v>83</v>
      </c>
      <c r="J9" s="26">
        <v>3155457907</v>
      </c>
      <c r="L9" s="93" t="s">
        <v>124</v>
      </c>
      <c r="M9" s="94">
        <v>15</v>
      </c>
      <c r="N9" s="95">
        <v>7731136</v>
      </c>
    </row>
    <row r="10" spans="1:14" ht="15.75" x14ac:dyDescent="0.25">
      <c r="A10" s="77">
        <v>35</v>
      </c>
      <c r="B10" s="77" t="s">
        <v>377</v>
      </c>
      <c r="C10" s="78" t="s">
        <v>373</v>
      </c>
      <c r="E10" s="88" t="s">
        <v>47</v>
      </c>
      <c r="F10" s="75">
        <v>17000</v>
      </c>
      <c r="H10" s="89" t="s">
        <v>64</v>
      </c>
      <c r="I10" s="90" t="s">
        <v>73</v>
      </c>
      <c r="J10" s="26"/>
      <c r="L10" s="93" t="s">
        <v>117</v>
      </c>
      <c r="M10" s="94">
        <v>16</v>
      </c>
      <c r="N10" s="95">
        <v>83224248</v>
      </c>
    </row>
    <row r="11" spans="1:14" ht="15.75" x14ac:dyDescent="0.25">
      <c r="A11" s="77">
        <v>36</v>
      </c>
      <c r="B11" s="77" t="s">
        <v>377</v>
      </c>
      <c r="C11" s="78" t="s">
        <v>384</v>
      </c>
      <c r="E11" s="88" t="s">
        <v>48</v>
      </c>
      <c r="F11" s="75">
        <v>15000</v>
      </c>
      <c r="H11" s="89" t="s">
        <v>65</v>
      </c>
      <c r="I11" s="90" t="s">
        <v>70</v>
      </c>
      <c r="J11" s="26"/>
      <c r="L11" s="93" t="s">
        <v>125</v>
      </c>
      <c r="M11" s="94">
        <v>23</v>
      </c>
      <c r="N11" s="95">
        <v>83229799</v>
      </c>
    </row>
    <row r="12" spans="1:14" ht="15.75" x14ac:dyDescent="0.25">
      <c r="A12" s="79">
        <v>37</v>
      </c>
      <c r="B12" s="79" t="s">
        <v>385</v>
      </c>
      <c r="C12" s="80" t="s">
        <v>349</v>
      </c>
      <c r="E12" s="88" t="s">
        <v>49</v>
      </c>
      <c r="F12" s="75">
        <v>16000</v>
      </c>
      <c r="H12" s="89" t="s">
        <v>66</v>
      </c>
      <c r="I12" s="90" t="s">
        <v>74</v>
      </c>
      <c r="J12" s="26">
        <v>3174363364</v>
      </c>
      <c r="L12" s="93" t="s">
        <v>126</v>
      </c>
      <c r="M12" s="94">
        <v>19</v>
      </c>
      <c r="N12" s="95">
        <v>5165026</v>
      </c>
    </row>
    <row r="13" spans="1:14" ht="15.75" x14ac:dyDescent="0.25">
      <c r="A13" s="79">
        <v>38</v>
      </c>
      <c r="B13" s="79" t="s">
        <v>385</v>
      </c>
      <c r="C13" s="80" t="s">
        <v>386</v>
      </c>
      <c r="E13" s="88" t="s">
        <v>50</v>
      </c>
      <c r="F13" s="75">
        <v>2000</v>
      </c>
      <c r="H13" s="89" t="s">
        <v>67</v>
      </c>
      <c r="I13" s="90" t="s">
        <v>74</v>
      </c>
      <c r="J13" s="26"/>
      <c r="L13" s="93" t="s">
        <v>127</v>
      </c>
      <c r="M13" s="94">
        <v>24</v>
      </c>
      <c r="N13" s="95">
        <v>36153689</v>
      </c>
    </row>
    <row r="14" spans="1:14" ht="15.75" x14ac:dyDescent="0.25">
      <c r="A14" s="79">
        <v>39</v>
      </c>
      <c r="B14" s="79" t="s">
        <v>385</v>
      </c>
      <c r="C14" s="80" t="s">
        <v>381</v>
      </c>
      <c r="E14" s="88" t="s">
        <v>51</v>
      </c>
      <c r="F14" s="75">
        <v>3100</v>
      </c>
      <c r="H14" s="89" t="s">
        <v>68</v>
      </c>
      <c r="I14" s="90" t="s">
        <v>82</v>
      </c>
      <c r="J14" s="26">
        <v>3124710180</v>
      </c>
      <c r="L14" s="93" t="s">
        <v>128</v>
      </c>
      <c r="M14" s="94">
        <v>36</v>
      </c>
      <c r="N14" s="95">
        <v>1075320222</v>
      </c>
    </row>
    <row r="15" spans="1:14" ht="15.75" x14ac:dyDescent="0.25">
      <c r="A15" s="79">
        <v>40</v>
      </c>
      <c r="B15" s="79" t="s">
        <v>385</v>
      </c>
      <c r="C15" s="80" t="s">
        <v>380</v>
      </c>
      <c r="E15" s="88" t="s">
        <v>53</v>
      </c>
      <c r="F15" s="75">
        <v>6500</v>
      </c>
      <c r="H15" s="89" t="s">
        <v>69</v>
      </c>
      <c r="I15" s="90" t="s">
        <v>80</v>
      </c>
      <c r="J15" s="26"/>
      <c r="L15" s="93" t="s">
        <v>129</v>
      </c>
      <c r="M15" s="94">
        <v>26</v>
      </c>
      <c r="N15" s="95">
        <v>12114401</v>
      </c>
    </row>
    <row r="16" spans="1:14" ht="15.75" x14ac:dyDescent="0.25">
      <c r="A16" s="79">
        <v>41</v>
      </c>
      <c r="B16" s="79" t="s">
        <v>385</v>
      </c>
      <c r="C16" s="80" t="s">
        <v>346</v>
      </c>
      <c r="E16" s="88" t="s">
        <v>52</v>
      </c>
      <c r="F16" s="75">
        <v>12000</v>
      </c>
      <c r="H16" s="89" t="s">
        <v>79</v>
      </c>
      <c r="I16" s="90" t="s">
        <v>71</v>
      </c>
      <c r="J16" s="26">
        <v>3153236712</v>
      </c>
      <c r="L16" s="93" t="s">
        <v>130</v>
      </c>
      <c r="M16" s="94"/>
      <c r="N16" s="95">
        <v>17632318</v>
      </c>
    </row>
    <row r="17" spans="1:14" ht="15.75" x14ac:dyDescent="0.25">
      <c r="A17" s="79">
        <v>42</v>
      </c>
      <c r="B17" s="79" t="s">
        <v>385</v>
      </c>
      <c r="C17" s="80" t="s">
        <v>373</v>
      </c>
      <c r="L17" s="93" t="s">
        <v>131</v>
      </c>
      <c r="M17" s="94"/>
      <c r="N17" s="95">
        <v>12170925</v>
      </c>
    </row>
    <row r="18" spans="1:14" ht="15.75" x14ac:dyDescent="0.25">
      <c r="A18" s="79">
        <v>44</v>
      </c>
      <c r="B18" s="79" t="s">
        <v>385</v>
      </c>
      <c r="C18" s="80" t="s">
        <v>383</v>
      </c>
      <c r="L18" s="93" t="s">
        <v>132</v>
      </c>
      <c r="M18" s="94"/>
      <c r="N18" s="95">
        <v>12277398</v>
      </c>
    </row>
    <row r="19" spans="1:14" ht="15.75" x14ac:dyDescent="0.25">
      <c r="A19" s="79">
        <v>45</v>
      </c>
      <c r="B19" s="79" t="s">
        <v>385</v>
      </c>
      <c r="C19" s="80" t="s">
        <v>378</v>
      </c>
      <c r="L19" s="93" t="s">
        <v>133</v>
      </c>
      <c r="M19" s="94"/>
      <c r="N19" s="95">
        <v>1075222202</v>
      </c>
    </row>
    <row r="20" spans="1:14" ht="15.75" x14ac:dyDescent="0.25">
      <c r="A20" s="79">
        <v>46</v>
      </c>
      <c r="B20" s="79" t="s">
        <v>385</v>
      </c>
      <c r="C20" s="80" t="s">
        <v>387</v>
      </c>
      <c r="L20" s="93" t="s">
        <v>134</v>
      </c>
      <c r="M20" s="94"/>
      <c r="N20" s="95">
        <v>1007681658</v>
      </c>
    </row>
    <row r="21" spans="1:14" ht="15.75" x14ac:dyDescent="0.25">
      <c r="A21" s="81">
        <v>5</v>
      </c>
      <c r="B21" s="81" t="s">
        <v>15</v>
      </c>
      <c r="C21" s="82" t="s">
        <v>388</v>
      </c>
      <c r="L21" s="93" t="s">
        <v>411</v>
      </c>
      <c r="M21" s="26"/>
      <c r="N21" s="95">
        <v>1075299501</v>
      </c>
    </row>
    <row r="22" spans="1:14" ht="15.75" x14ac:dyDescent="0.25">
      <c r="A22" s="81">
        <v>6</v>
      </c>
      <c r="B22" s="81" t="s">
        <v>15</v>
      </c>
      <c r="C22" s="82" t="s">
        <v>119</v>
      </c>
    </row>
    <row r="23" spans="1:14" ht="15.75" x14ac:dyDescent="0.25">
      <c r="A23" s="81">
        <v>7</v>
      </c>
      <c r="B23" s="81" t="s">
        <v>15</v>
      </c>
      <c r="C23" s="82" t="s">
        <v>120</v>
      </c>
    </row>
    <row r="24" spans="1:14" ht="15.75" x14ac:dyDescent="0.25">
      <c r="A24" s="81">
        <v>8</v>
      </c>
      <c r="B24" s="81" t="s">
        <v>15</v>
      </c>
      <c r="C24" s="82" t="s">
        <v>389</v>
      </c>
    </row>
    <row r="25" spans="1:14" ht="15.75" x14ac:dyDescent="0.25">
      <c r="A25" s="81">
        <v>12</v>
      </c>
      <c r="B25" s="81" t="s">
        <v>15</v>
      </c>
      <c r="C25" s="82" t="s">
        <v>390</v>
      </c>
    </row>
    <row r="26" spans="1:14" ht="15.75" x14ac:dyDescent="0.25">
      <c r="A26" s="81">
        <v>13</v>
      </c>
      <c r="B26" s="81" t="s">
        <v>15</v>
      </c>
      <c r="C26" s="82" t="s">
        <v>391</v>
      </c>
    </row>
    <row r="27" spans="1:14" ht="15.75" x14ac:dyDescent="0.25">
      <c r="A27" s="81">
        <v>15</v>
      </c>
      <c r="B27" s="81" t="s">
        <v>15</v>
      </c>
      <c r="C27" s="82" t="s">
        <v>124</v>
      </c>
    </row>
    <row r="28" spans="1:14" ht="15.75" x14ac:dyDescent="0.25">
      <c r="A28" s="81">
        <v>16</v>
      </c>
      <c r="B28" s="81" t="s">
        <v>15</v>
      </c>
      <c r="C28" s="82" t="s">
        <v>392</v>
      </c>
    </row>
    <row r="29" spans="1:14" ht="15.75" x14ac:dyDescent="0.25">
      <c r="A29" s="81">
        <v>19</v>
      </c>
      <c r="B29" s="81" t="s">
        <v>15</v>
      </c>
      <c r="C29" s="82" t="s">
        <v>393</v>
      </c>
    </row>
    <row r="30" spans="1:14" ht="15.75" x14ac:dyDescent="0.25">
      <c r="A30" s="81">
        <v>23</v>
      </c>
      <c r="B30" s="81" t="s">
        <v>15</v>
      </c>
      <c r="C30" s="82" t="s">
        <v>394</v>
      </c>
    </row>
    <row r="31" spans="1:14" ht="15.75" x14ac:dyDescent="0.25">
      <c r="A31" s="81">
        <v>24</v>
      </c>
      <c r="B31" s="81" t="s">
        <v>15</v>
      </c>
      <c r="C31" s="82" t="s">
        <v>395</v>
      </c>
    </row>
    <row r="32" spans="1:14" ht="15.75" x14ac:dyDescent="0.25">
      <c r="A32" s="81">
        <v>26</v>
      </c>
      <c r="B32" s="81" t="s">
        <v>15</v>
      </c>
      <c r="C32" s="82" t="s">
        <v>396</v>
      </c>
    </row>
    <row r="33" spans="1:3" ht="15.75" x14ac:dyDescent="0.25">
      <c r="A33" s="81">
        <v>51</v>
      </c>
      <c r="B33" s="81" t="s">
        <v>15</v>
      </c>
      <c r="C33" s="82" t="s">
        <v>397</v>
      </c>
    </row>
    <row r="34" spans="1:3" ht="15.75" x14ac:dyDescent="0.25">
      <c r="A34" s="81">
        <v>52</v>
      </c>
      <c r="B34" s="81" t="s">
        <v>15</v>
      </c>
      <c r="C34" s="82" t="s">
        <v>22</v>
      </c>
    </row>
    <row r="35" spans="1:3" ht="15.75" x14ac:dyDescent="0.25">
      <c r="A35" s="81">
        <v>53</v>
      </c>
      <c r="B35" s="81" t="s">
        <v>15</v>
      </c>
      <c r="C35" s="82" t="s">
        <v>386</v>
      </c>
    </row>
    <row r="36" spans="1:3" ht="15.75" x14ac:dyDescent="0.25">
      <c r="A36" s="81">
        <v>54</v>
      </c>
      <c r="B36" s="81" t="s">
        <v>15</v>
      </c>
      <c r="C36" s="82" t="s">
        <v>38</v>
      </c>
    </row>
    <row r="37" spans="1:3" ht="15.75" x14ac:dyDescent="0.25">
      <c r="A37" s="81">
        <v>55</v>
      </c>
      <c r="B37" s="81" t="s">
        <v>15</v>
      </c>
      <c r="C37" s="82" t="s">
        <v>308</v>
      </c>
    </row>
    <row r="38" spans="1:3" ht="15.75" x14ac:dyDescent="0.25">
      <c r="A38" s="81">
        <v>56</v>
      </c>
      <c r="B38" s="81" t="s">
        <v>15</v>
      </c>
      <c r="C38" s="82" t="s">
        <v>398</v>
      </c>
    </row>
    <row r="39" spans="1:3" ht="15.75" x14ac:dyDescent="0.25">
      <c r="A39" s="81">
        <v>57</v>
      </c>
      <c r="B39" s="81" t="s">
        <v>15</v>
      </c>
      <c r="C39" s="82" t="s">
        <v>91</v>
      </c>
    </row>
    <row r="40" spans="1:3" ht="15.75" x14ac:dyDescent="0.25">
      <c r="A40" s="81">
        <v>58</v>
      </c>
      <c r="B40" s="81" t="s">
        <v>15</v>
      </c>
      <c r="C40" s="82" t="s">
        <v>404</v>
      </c>
    </row>
    <row r="41" spans="1:3" ht="15.75" x14ac:dyDescent="0.25">
      <c r="A41" s="83">
        <v>61</v>
      </c>
      <c r="B41" s="83" t="s">
        <v>399</v>
      </c>
      <c r="C41" s="84" t="s">
        <v>349</v>
      </c>
    </row>
    <row r="42" spans="1:3" ht="15.75" x14ac:dyDescent="0.25">
      <c r="A42" s="83">
        <v>62</v>
      </c>
      <c r="B42" s="83" t="s">
        <v>399</v>
      </c>
      <c r="C42" s="84" t="s">
        <v>380</v>
      </c>
    </row>
    <row r="43" spans="1:3" ht="15.75" x14ac:dyDescent="0.25">
      <c r="A43" s="83">
        <v>63</v>
      </c>
      <c r="B43" s="83" t="s">
        <v>399</v>
      </c>
      <c r="C43" s="84" t="s">
        <v>381</v>
      </c>
    </row>
    <row r="44" spans="1:3" ht="15.75" x14ac:dyDescent="0.25">
      <c r="A44" s="83">
        <v>64</v>
      </c>
      <c r="B44" s="83" t="s">
        <v>399</v>
      </c>
      <c r="C44" s="84" t="s">
        <v>400</v>
      </c>
    </row>
    <row r="45" spans="1:3" ht="15.75" x14ac:dyDescent="0.25">
      <c r="A45" s="83">
        <v>65</v>
      </c>
      <c r="B45" s="83" t="s">
        <v>399</v>
      </c>
      <c r="C45" s="84" t="s">
        <v>373</v>
      </c>
    </row>
    <row r="46" spans="1:3" ht="15.75" x14ac:dyDescent="0.25">
      <c r="A46" s="83">
        <v>66</v>
      </c>
      <c r="B46" s="83" t="s">
        <v>399</v>
      </c>
      <c r="C46" s="84" t="s">
        <v>401</v>
      </c>
    </row>
    <row r="47" spans="1:3" ht="15.75" x14ac:dyDescent="0.25">
      <c r="A47" s="85">
        <v>71</v>
      </c>
      <c r="B47" s="85" t="s">
        <v>402</v>
      </c>
      <c r="C47" s="86" t="s">
        <v>403</v>
      </c>
    </row>
    <row r="48" spans="1:3" ht="15.75" x14ac:dyDescent="0.25">
      <c r="A48" s="85">
        <v>72</v>
      </c>
      <c r="B48" s="85" t="s">
        <v>402</v>
      </c>
      <c r="C48" s="86" t="s">
        <v>380</v>
      </c>
    </row>
    <row r="49" spans="1:3" ht="15.75" x14ac:dyDescent="0.25">
      <c r="A49" s="85">
        <v>73</v>
      </c>
      <c r="B49" s="85" t="s">
        <v>402</v>
      </c>
      <c r="C49" s="86" t="s">
        <v>346</v>
      </c>
    </row>
    <row r="50" spans="1:3" ht="15.75" x14ac:dyDescent="0.25">
      <c r="A50" s="85">
        <v>74</v>
      </c>
      <c r="B50" s="85" t="s">
        <v>402</v>
      </c>
      <c r="C50" s="86" t="s">
        <v>381</v>
      </c>
    </row>
    <row r="51" spans="1:3" ht="15.75" x14ac:dyDescent="0.25">
      <c r="A51" s="85">
        <v>75</v>
      </c>
      <c r="B51" s="85" t="s">
        <v>402</v>
      </c>
      <c r="C51" s="86" t="s">
        <v>373</v>
      </c>
    </row>
  </sheetData>
  <mergeCells count="5">
    <mergeCell ref="H1:J1"/>
    <mergeCell ref="L1:N1"/>
    <mergeCell ref="A1:C1"/>
    <mergeCell ref="E2:F2"/>
    <mergeCell ref="E1:F1"/>
  </mergeCells>
  <hyperlinks>
    <hyperlink ref="I8" r:id="rId1" display="info@hielofoca.com.co - " xr:uid="{1A28F4EC-7FCD-4168-AD6B-F2772A1519FF}"/>
    <hyperlink ref="I10" r:id="rId2" xr:uid="{39DBB3A4-7441-4D69-A657-81639B2B82FF}"/>
    <hyperlink ref="I7" r:id="rId3" xr:uid="{AD4421D3-D586-4A2C-BEBC-9A8A1965A2E5}"/>
    <hyperlink ref="I3" r:id="rId4" xr:uid="{C6A0210A-F5CA-43D4-A8A9-3A38253CEAFA}"/>
    <hyperlink ref="I11" r:id="rId5" xr:uid="{BD7C4AC0-C36E-43FC-9DC2-EC0AA53BDFA2}"/>
    <hyperlink ref="I12" r:id="rId6" xr:uid="{BCB03E3A-458E-4A42-AFBD-AF63954E63D3}"/>
    <hyperlink ref="I13" r:id="rId7" xr:uid="{1D5D6849-7066-4B3E-A40A-452C3DEBD7E4}"/>
    <hyperlink ref="I6" r:id="rId8" xr:uid="{081DCDC0-1A79-4CC6-8C28-6D3F08E5D5A7}"/>
    <hyperlink ref="I5" r:id="rId9" xr:uid="{0F569CF1-992B-4BD0-A1F2-AAFEB5A3CA2D}"/>
    <hyperlink ref="I16" r:id="rId10" xr:uid="{E9E09848-5F24-4C55-964C-905C5AF27C43}"/>
    <hyperlink ref="I15" r:id="rId11" xr:uid="{6EC5C5BF-762F-419C-BC16-AE034C9720E2}"/>
    <hyperlink ref="I4" r:id="rId12" xr:uid="{E06DF1E0-AD7A-462A-8709-E05589CAD3BF}"/>
    <hyperlink ref="I14" r:id="rId13" xr:uid="{E2F6074E-3581-44DF-967D-BD5A07265253}"/>
    <hyperlink ref="I9" r:id="rId14" xr:uid="{11F6340D-1028-4945-85C4-176ABFC35AF1}"/>
  </hyperlinks>
  <pageMargins left="0.70866141732283461" right="0.70866141732283461" top="0.39370078740157483" bottom="0.74803149606299213" header="0.39370078740157483" footer="0.31496062992125984"/>
  <pageSetup orientation="portrait" verticalDpi="36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F25C-3CA1-4780-B63C-D9DEDA2932CE}">
  <dimension ref="B3:J13"/>
  <sheetViews>
    <sheetView tabSelected="1" zoomScaleNormal="100" workbookViewId="0">
      <selection activeCell="G14" sqref="G14"/>
    </sheetView>
  </sheetViews>
  <sheetFormatPr baseColWidth="10" defaultRowHeight="15" x14ac:dyDescent="0.25"/>
  <cols>
    <col min="1" max="1" width="10.42578125" customWidth="1"/>
    <col min="2" max="2" width="29.85546875" customWidth="1"/>
    <col min="3" max="3" width="20.28515625" customWidth="1"/>
    <col min="4" max="5" width="14.28515625" customWidth="1"/>
    <col min="6" max="6" width="20.28515625" customWidth="1"/>
    <col min="7" max="8" width="19.28515625" bestFit="1" customWidth="1"/>
    <col min="9" max="9" width="9.5703125" customWidth="1"/>
    <col min="10" max="10" width="12.5703125" customWidth="1"/>
    <col min="11" max="11" width="14.5703125" customWidth="1"/>
    <col min="12" max="12" width="26.85546875" customWidth="1"/>
    <col min="13" max="13" width="27.85546875" customWidth="1"/>
    <col min="14" max="14" width="15.5703125" customWidth="1"/>
    <col min="15" max="15" width="15.85546875" customWidth="1"/>
    <col min="16" max="16" width="13.5703125" customWidth="1"/>
    <col min="17" max="17" width="16.28515625" customWidth="1"/>
  </cols>
  <sheetData>
    <row r="3" spans="2:10" x14ac:dyDescent="0.25">
      <c r="G3" t="s">
        <v>414</v>
      </c>
    </row>
    <row r="4" spans="2:10" ht="16.5" customHeight="1" x14ac:dyDescent="0.25">
      <c r="B4" s="204" t="s">
        <v>415</v>
      </c>
      <c r="C4" s="105"/>
      <c r="D4" s="105"/>
      <c r="E4" s="105"/>
      <c r="F4" s="105"/>
      <c r="G4" s="105"/>
      <c r="H4" s="105"/>
      <c r="I4" s="105"/>
      <c r="J4" s="105"/>
    </row>
    <row r="5" spans="2:10" ht="16.5" customHeight="1" x14ac:dyDescent="0.25">
      <c r="B5" s="105"/>
      <c r="C5" s="105"/>
      <c r="D5" s="105"/>
      <c r="E5" s="105"/>
      <c r="F5" s="105"/>
      <c r="G5" s="105"/>
      <c r="H5" s="105"/>
      <c r="I5" s="105"/>
      <c r="J5" s="105"/>
    </row>
    <row r="6" spans="2:10" ht="16.5" customHeight="1" x14ac:dyDescent="0.25">
      <c r="B6" s="105"/>
      <c r="C6" s="105"/>
      <c r="D6" s="105"/>
      <c r="E6" s="105"/>
      <c r="F6" s="105"/>
      <c r="G6" s="105"/>
      <c r="H6" s="105"/>
      <c r="I6" s="105"/>
      <c r="J6" s="105"/>
    </row>
    <row r="7" spans="2:10" ht="16.5" customHeight="1" x14ac:dyDescent="0.25">
      <c r="B7" s="105"/>
      <c r="C7" s="105"/>
      <c r="D7" s="105"/>
      <c r="E7" s="105"/>
      <c r="F7" s="105"/>
      <c r="G7" s="105"/>
      <c r="H7" s="105"/>
      <c r="I7" s="105"/>
      <c r="J7" s="105"/>
    </row>
    <row r="8" spans="2:10" ht="25.5" customHeight="1" x14ac:dyDescent="0.25">
      <c r="B8" s="205" t="s">
        <v>412</v>
      </c>
      <c r="C8" s="97"/>
      <c r="D8" s="206" t="s">
        <v>413</v>
      </c>
      <c r="E8" s="207"/>
      <c r="F8" s="96"/>
      <c r="G8" s="102" t="s">
        <v>3</v>
      </c>
      <c r="H8" s="107"/>
      <c r="I8" s="109"/>
      <c r="J8" s="108"/>
    </row>
    <row r="9" spans="2:10" ht="25.5" customHeight="1" x14ac:dyDescent="0.25">
      <c r="B9" s="102" t="s">
        <v>1</v>
      </c>
      <c r="C9" s="40"/>
      <c r="D9" s="206" t="s">
        <v>2</v>
      </c>
      <c r="E9" s="207"/>
      <c r="F9" s="96"/>
      <c r="G9" s="102" t="s">
        <v>12</v>
      </c>
      <c r="H9" s="40"/>
      <c r="I9" s="102" t="s">
        <v>16</v>
      </c>
      <c r="J9" s="40"/>
    </row>
    <row r="10" spans="2:10" ht="33" customHeight="1" x14ac:dyDescent="0.25">
      <c r="B10" s="106" t="s">
        <v>5</v>
      </c>
      <c r="C10" s="106"/>
      <c r="D10" s="106"/>
      <c r="E10" s="106"/>
      <c r="F10" s="106"/>
      <c r="G10" s="106"/>
      <c r="H10" s="106"/>
      <c r="I10" s="106"/>
      <c r="J10" s="106"/>
    </row>
    <row r="11" spans="2:10" ht="22.5" customHeight="1" x14ac:dyDescent="0.25">
      <c r="B11" s="102" t="s">
        <v>6</v>
      </c>
      <c r="C11" s="106" t="s">
        <v>376</v>
      </c>
      <c r="D11" s="106"/>
      <c r="E11" s="102" t="s">
        <v>152</v>
      </c>
      <c r="F11" s="102" t="s">
        <v>8</v>
      </c>
      <c r="G11" s="102" t="s">
        <v>406</v>
      </c>
      <c r="H11" s="102" t="s">
        <v>410</v>
      </c>
      <c r="I11" s="106" t="s">
        <v>9</v>
      </c>
      <c r="J11" s="106"/>
    </row>
    <row r="12" spans="2:10" ht="48.75" customHeight="1" x14ac:dyDescent="0.25">
      <c r="B12" s="98" t="s">
        <v>347</v>
      </c>
      <c r="C12" s="103" t="s">
        <v>348</v>
      </c>
      <c r="D12" s="103"/>
      <c r="E12" s="100">
        <v>4</v>
      </c>
      <c r="F12" s="101">
        <v>1200300</v>
      </c>
      <c r="G12" s="99" t="s">
        <v>409</v>
      </c>
      <c r="H12" s="40">
        <v>45454445544</v>
      </c>
      <c r="I12" s="104" t="s">
        <v>92</v>
      </c>
      <c r="J12" s="104"/>
    </row>
    <row r="13" spans="2:10" ht="48.75" customHeight="1" x14ac:dyDescent="0.25">
      <c r="B13" s="98"/>
      <c r="C13" s="103"/>
      <c r="D13" s="103"/>
      <c r="E13" s="100"/>
      <c r="F13" s="101"/>
      <c r="G13" s="99"/>
      <c r="H13" s="40"/>
      <c r="I13" s="104"/>
      <c r="J13" s="104"/>
    </row>
  </sheetData>
  <mergeCells count="11">
    <mergeCell ref="C13:D13"/>
    <mergeCell ref="I13:J13"/>
    <mergeCell ref="B4:J7"/>
    <mergeCell ref="B10:J10"/>
    <mergeCell ref="C11:D11"/>
    <mergeCell ref="I11:J11"/>
    <mergeCell ref="C12:D12"/>
    <mergeCell ref="I12:J12"/>
    <mergeCell ref="D8:E8"/>
    <mergeCell ref="D9:E9"/>
    <mergeCell ref="H8:J8"/>
  </mergeCells>
  <pageMargins left="0.7" right="0.7" top="0.75" bottom="0.75" header="0.3" footer="0.3"/>
  <pageSetup paperSize="9" orientation="portrait" verticalDpi="7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E42D-C5BA-488B-996E-D061588793A8}">
  <dimension ref="B3:H56"/>
  <sheetViews>
    <sheetView topLeftCell="A31" workbookViewId="0">
      <selection activeCell="C38" sqref="C38"/>
    </sheetView>
  </sheetViews>
  <sheetFormatPr baseColWidth="10" defaultRowHeight="15" x14ac:dyDescent="0.25"/>
  <cols>
    <col min="2" max="2" width="16.42578125" customWidth="1"/>
    <col min="3" max="3" width="18.7109375" customWidth="1"/>
    <col min="4" max="4" width="14.7109375" customWidth="1"/>
    <col min="5" max="5" width="14.85546875" customWidth="1"/>
    <col min="6" max="6" width="18.85546875" customWidth="1"/>
  </cols>
  <sheetData>
    <row r="3" spans="2:8" x14ac:dyDescent="0.25">
      <c r="B3" s="113" t="s">
        <v>146</v>
      </c>
      <c r="C3" s="113"/>
      <c r="D3" s="113"/>
      <c r="E3" s="113"/>
      <c r="F3" s="113"/>
      <c r="G3" s="113"/>
      <c r="H3" s="113"/>
    </row>
    <row r="4" spans="2:8" x14ac:dyDescent="0.25">
      <c r="B4" s="36" t="s">
        <v>147</v>
      </c>
      <c r="C4" s="36" t="s">
        <v>148</v>
      </c>
      <c r="D4" s="36" t="s">
        <v>149</v>
      </c>
      <c r="E4" s="36" t="s">
        <v>150</v>
      </c>
      <c r="F4" s="36" t="s">
        <v>151</v>
      </c>
      <c r="G4" s="36" t="s">
        <v>152</v>
      </c>
      <c r="H4" s="36" t="s">
        <v>153</v>
      </c>
    </row>
    <row r="5" spans="2:8" x14ac:dyDescent="0.25">
      <c r="B5" s="52" t="s">
        <v>154</v>
      </c>
      <c r="C5" s="49"/>
      <c r="D5" s="49"/>
      <c r="E5" s="50"/>
      <c r="F5" s="50"/>
      <c r="G5" s="51">
        <v>6</v>
      </c>
      <c r="H5" s="51" t="s">
        <v>155</v>
      </c>
    </row>
    <row r="6" spans="2:8" x14ac:dyDescent="0.25">
      <c r="B6" s="52" t="s">
        <v>156</v>
      </c>
      <c r="C6" s="49"/>
      <c r="D6" s="49"/>
      <c r="E6" s="50"/>
      <c r="F6" s="50"/>
      <c r="G6" s="51">
        <v>8</v>
      </c>
      <c r="H6" s="51" t="s">
        <v>155</v>
      </c>
    </row>
    <row r="7" spans="2:8" x14ac:dyDescent="0.25">
      <c r="B7" s="52" t="s">
        <v>157</v>
      </c>
      <c r="C7" s="49"/>
      <c r="D7" s="49"/>
      <c r="E7" s="50"/>
      <c r="F7" s="50"/>
      <c r="G7" s="51">
        <v>7</v>
      </c>
      <c r="H7" s="51" t="s">
        <v>155</v>
      </c>
    </row>
    <row r="8" spans="2:8" x14ac:dyDescent="0.25">
      <c r="B8" s="52" t="s">
        <v>158</v>
      </c>
      <c r="C8" s="49"/>
      <c r="D8" s="49"/>
      <c r="E8" s="50"/>
      <c r="F8" s="50"/>
      <c r="G8" s="51">
        <v>9</v>
      </c>
      <c r="H8" s="51" t="s">
        <v>155</v>
      </c>
    </row>
    <row r="9" spans="2:8" x14ac:dyDescent="0.25">
      <c r="B9" s="52" t="s">
        <v>159</v>
      </c>
      <c r="C9" s="49"/>
      <c r="D9" s="49"/>
      <c r="E9" s="50"/>
      <c r="F9" s="50"/>
      <c r="G9" s="51">
        <v>6</v>
      </c>
      <c r="H9" s="51" t="s">
        <v>155</v>
      </c>
    </row>
    <row r="10" spans="2:8" x14ac:dyDescent="0.25">
      <c r="B10" s="52" t="s">
        <v>160</v>
      </c>
      <c r="C10" s="49"/>
      <c r="D10" s="49"/>
      <c r="E10" s="50"/>
      <c r="F10" s="50"/>
      <c r="G10" s="51">
        <v>13</v>
      </c>
      <c r="H10" s="51" t="s">
        <v>155</v>
      </c>
    </row>
    <row r="11" spans="2:8" x14ac:dyDescent="0.25">
      <c r="B11" s="52" t="s">
        <v>161</v>
      </c>
      <c r="C11" s="49"/>
      <c r="D11" s="49"/>
      <c r="E11" s="50"/>
      <c r="F11" s="50"/>
      <c r="G11" s="51">
        <v>4</v>
      </c>
      <c r="H11" s="51" t="s">
        <v>155</v>
      </c>
    </row>
    <row r="12" spans="2:8" x14ac:dyDescent="0.25">
      <c r="B12" s="52" t="s">
        <v>162</v>
      </c>
      <c r="C12" s="49"/>
      <c r="D12" s="49"/>
      <c r="E12" s="50"/>
      <c r="F12" s="50"/>
      <c r="G12" s="51">
        <v>15</v>
      </c>
      <c r="H12" s="51" t="s">
        <v>155</v>
      </c>
    </row>
    <row r="13" spans="2:8" x14ac:dyDescent="0.25">
      <c r="B13" s="52" t="s">
        <v>163</v>
      </c>
      <c r="C13" s="49"/>
      <c r="D13" s="49"/>
      <c r="E13" s="50"/>
      <c r="F13" s="50"/>
      <c r="G13" s="51">
        <v>6</v>
      </c>
      <c r="H13" s="51" t="s">
        <v>155</v>
      </c>
    </row>
    <row r="14" spans="2:8" x14ac:dyDescent="0.25">
      <c r="B14" s="52" t="s">
        <v>164</v>
      </c>
      <c r="C14" s="49"/>
      <c r="D14" s="49"/>
      <c r="E14" s="50"/>
      <c r="F14" s="50"/>
      <c r="G14" s="51">
        <v>4</v>
      </c>
      <c r="H14" s="51" t="s">
        <v>155</v>
      </c>
    </row>
    <row r="15" spans="2:8" x14ac:dyDescent="0.25">
      <c r="B15" s="52" t="s">
        <v>165</v>
      </c>
      <c r="C15" s="49"/>
      <c r="D15" s="49"/>
      <c r="E15" s="50"/>
      <c r="F15" s="50"/>
      <c r="G15" s="51">
        <v>5</v>
      </c>
      <c r="H15" s="51" t="s">
        <v>155</v>
      </c>
    </row>
    <row r="16" spans="2:8" x14ac:dyDescent="0.25">
      <c r="B16" s="52" t="s">
        <v>166</v>
      </c>
      <c r="C16" s="49"/>
      <c r="D16" s="49"/>
      <c r="E16" s="50"/>
      <c r="F16" s="50"/>
      <c r="G16" s="51">
        <v>8</v>
      </c>
      <c r="H16" s="51" t="s">
        <v>155</v>
      </c>
    </row>
    <row r="17" spans="2:8" x14ac:dyDescent="0.25">
      <c r="B17" s="52" t="s">
        <v>167</v>
      </c>
      <c r="C17" s="49"/>
      <c r="D17" s="49"/>
      <c r="E17" s="50"/>
      <c r="F17" s="50"/>
      <c r="G17" s="51">
        <v>5</v>
      </c>
      <c r="H17" s="51" t="s">
        <v>155</v>
      </c>
    </row>
    <row r="18" spans="2:8" x14ac:dyDescent="0.25">
      <c r="B18" s="52" t="s">
        <v>168</v>
      </c>
      <c r="C18" s="49"/>
      <c r="D18" s="49"/>
      <c r="E18" s="50"/>
      <c r="F18" s="50"/>
      <c r="G18" s="51">
        <v>4</v>
      </c>
      <c r="H18" s="51" t="s">
        <v>155</v>
      </c>
    </row>
    <row r="19" spans="2:8" x14ac:dyDescent="0.25">
      <c r="B19" s="52" t="s">
        <v>169</v>
      </c>
      <c r="C19" s="49"/>
      <c r="D19" s="49"/>
      <c r="E19" s="50"/>
      <c r="F19" s="50"/>
      <c r="G19" s="51">
        <v>7</v>
      </c>
      <c r="H19" s="51" t="s">
        <v>155</v>
      </c>
    </row>
    <row r="20" spans="2:8" x14ac:dyDescent="0.25">
      <c r="B20" s="52" t="s">
        <v>170</v>
      </c>
      <c r="C20" s="49"/>
      <c r="D20" s="49"/>
      <c r="E20" s="50"/>
      <c r="F20" s="50"/>
      <c r="G20" s="51">
        <v>4</v>
      </c>
      <c r="H20" s="51" t="s">
        <v>155</v>
      </c>
    </row>
    <row r="21" spans="2:8" x14ac:dyDescent="0.25">
      <c r="B21" s="52" t="s">
        <v>171</v>
      </c>
      <c r="C21" s="49"/>
      <c r="D21" s="49"/>
      <c r="E21" s="50"/>
      <c r="F21" s="50"/>
      <c r="G21" s="51">
        <v>4</v>
      </c>
      <c r="H21" s="51" t="s">
        <v>155</v>
      </c>
    </row>
    <row r="22" spans="2:8" x14ac:dyDescent="0.25">
      <c r="B22" s="52" t="s">
        <v>172</v>
      </c>
      <c r="C22" s="49"/>
      <c r="D22" s="49"/>
      <c r="E22" s="50"/>
      <c r="F22" s="50"/>
      <c r="G22" s="51">
        <v>4</v>
      </c>
      <c r="H22" s="51" t="s">
        <v>155</v>
      </c>
    </row>
    <row r="23" spans="2:8" x14ac:dyDescent="0.25">
      <c r="B23" s="52" t="s">
        <v>173</v>
      </c>
      <c r="C23" s="49"/>
      <c r="D23" s="49"/>
      <c r="E23" s="50"/>
      <c r="F23" s="50"/>
      <c r="G23" s="51">
        <v>18</v>
      </c>
      <c r="H23" s="51" t="s">
        <v>155</v>
      </c>
    </row>
    <row r="24" spans="2:8" x14ac:dyDescent="0.25">
      <c r="B24" s="52" t="s">
        <v>174</v>
      </c>
      <c r="C24" s="49"/>
      <c r="D24" s="49"/>
      <c r="E24" s="50"/>
      <c r="F24" s="50"/>
      <c r="G24" s="51">
        <v>7</v>
      </c>
      <c r="H24" s="51" t="s">
        <v>155</v>
      </c>
    </row>
    <row r="25" spans="2:8" x14ac:dyDescent="0.25">
      <c r="B25" s="52" t="s">
        <v>175</v>
      </c>
      <c r="C25" s="49"/>
      <c r="D25" s="49"/>
      <c r="E25" s="50"/>
      <c r="F25" s="50"/>
      <c r="G25" s="51">
        <v>12</v>
      </c>
      <c r="H25" s="51" t="s">
        <v>155</v>
      </c>
    </row>
    <row r="26" spans="2:8" x14ac:dyDescent="0.25">
      <c r="B26" s="52" t="s">
        <v>176</v>
      </c>
      <c r="C26" s="49"/>
      <c r="D26" s="49"/>
      <c r="E26" s="50"/>
      <c r="F26" s="50"/>
      <c r="G26" s="51">
        <v>7</v>
      </c>
      <c r="H26" s="51" t="s">
        <v>155</v>
      </c>
    </row>
    <row r="27" spans="2:8" x14ac:dyDescent="0.25">
      <c r="B27" s="52" t="s">
        <v>177</v>
      </c>
      <c r="C27" s="49"/>
      <c r="D27" s="49"/>
      <c r="E27" s="50"/>
      <c r="F27" s="50"/>
      <c r="G27" s="51">
        <v>8</v>
      </c>
      <c r="H27" s="51" t="s">
        <v>155</v>
      </c>
    </row>
    <row r="33" spans="2:4" ht="15.75" x14ac:dyDescent="0.25">
      <c r="B33" s="72" t="s">
        <v>295</v>
      </c>
      <c r="C33" s="72" t="s">
        <v>296</v>
      </c>
      <c r="D33" s="72" t="s">
        <v>152</v>
      </c>
    </row>
    <row r="34" spans="2:4" x14ac:dyDescent="0.25">
      <c r="B34" s="58">
        <v>1</v>
      </c>
      <c r="C34" s="63" t="s">
        <v>154</v>
      </c>
      <c r="D34" s="58">
        <v>6</v>
      </c>
    </row>
    <row r="35" spans="2:4" x14ac:dyDescent="0.25">
      <c r="B35" s="64">
        <f>34:34+1</f>
        <v>2</v>
      </c>
      <c r="C35" s="65" t="s">
        <v>156</v>
      </c>
      <c r="D35" s="64">
        <v>8</v>
      </c>
    </row>
    <row r="36" spans="2:4" ht="17.25" customHeight="1" x14ac:dyDescent="0.25">
      <c r="B36" s="64">
        <f>35:35+1</f>
        <v>3</v>
      </c>
      <c r="C36" s="65" t="s">
        <v>157</v>
      </c>
      <c r="D36" s="64">
        <v>7</v>
      </c>
    </row>
    <row r="37" spans="2:4" x14ac:dyDescent="0.25">
      <c r="B37" s="64">
        <f t="shared" ref="B37:B56" si="0">36:36+1</f>
        <v>4</v>
      </c>
      <c r="C37" s="65" t="s">
        <v>158</v>
      </c>
      <c r="D37" s="64">
        <v>9</v>
      </c>
    </row>
    <row r="38" spans="2:4" x14ac:dyDescent="0.25">
      <c r="B38" s="64">
        <f t="shared" si="0"/>
        <v>5</v>
      </c>
      <c r="C38" s="65" t="s">
        <v>159</v>
      </c>
      <c r="D38" s="64">
        <v>6</v>
      </c>
    </row>
    <row r="39" spans="2:4" x14ac:dyDescent="0.25">
      <c r="B39" s="64">
        <f t="shared" si="0"/>
        <v>6</v>
      </c>
      <c r="C39" s="65" t="s">
        <v>160</v>
      </c>
      <c r="D39" s="64">
        <v>13</v>
      </c>
    </row>
    <row r="40" spans="2:4" x14ac:dyDescent="0.25">
      <c r="B40" s="66">
        <f t="shared" si="0"/>
        <v>7</v>
      </c>
      <c r="C40" s="67" t="s">
        <v>161</v>
      </c>
      <c r="D40" s="66">
        <v>4</v>
      </c>
    </row>
    <row r="41" spans="2:4" x14ac:dyDescent="0.25">
      <c r="B41" s="66">
        <f t="shared" si="0"/>
        <v>8</v>
      </c>
      <c r="C41" s="67" t="s">
        <v>162</v>
      </c>
      <c r="D41" s="66">
        <v>15</v>
      </c>
    </row>
    <row r="42" spans="2:4" ht="18.75" customHeight="1" x14ac:dyDescent="0.25">
      <c r="B42" s="66">
        <f t="shared" si="0"/>
        <v>9</v>
      </c>
      <c r="C42" s="67" t="s">
        <v>163</v>
      </c>
      <c r="D42" s="66">
        <v>6</v>
      </c>
    </row>
    <row r="43" spans="2:4" x14ac:dyDescent="0.25">
      <c r="B43" s="66">
        <f t="shared" si="0"/>
        <v>10</v>
      </c>
      <c r="C43" s="67" t="s">
        <v>164</v>
      </c>
      <c r="D43" s="66">
        <v>4</v>
      </c>
    </row>
    <row r="44" spans="2:4" x14ac:dyDescent="0.25">
      <c r="B44" s="66">
        <f t="shared" si="0"/>
        <v>11</v>
      </c>
      <c r="C44" s="67" t="s">
        <v>165</v>
      </c>
      <c r="D44" s="66">
        <v>5</v>
      </c>
    </row>
    <row r="45" spans="2:4" x14ac:dyDescent="0.25">
      <c r="B45" s="68">
        <f t="shared" si="0"/>
        <v>12</v>
      </c>
      <c r="C45" s="69" t="s">
        <v>166</v>
      </c>
      <c r="D45" s="68">
        <v>8</v>
      </c>
    </row>
    <row r="46" spans="2:4" x14ac:dyDescent="0.25">
      <c r="B46" s="68">
        <f t="shared" si="0"/>
        <v>13</v>
      </c>
      <c r="C46" s="69" t="s">
        <v>167</v>
      </c>
      <c r="D46" s="68">
        <v>5</v>
      </c>
    </row>
    <row r="47" spans="2:4" x14ac:dyDescent="0.25">
      <c r="B47" s="68">
        <f t="shared" si="0"/>
        <v>14</v>
      </c>
      <c r="C47" s="69" t="s">
        <v>168</v>
      </c>
      <c r="D47" s="68">
        <v>4</v>
      </c>
    </row>
    <row r="48" spans="2:4" x14ac:dyDescent="0.25">
      <c r="B48" s="68">
        <f t="shared" si="0"/>
        <v>15</v>
      </c>
      <c r="C48" s="69" t="s">
        <v>169</v>
      </c>
      <c r="D48" s="68">
        <v>7</v>
      </c>
    </row>
    <row r="49" spans="2:4" x14ac:dyDescent="0.25">
      <c r="B49" s="68">
        <f t="shared" si="0"/>
        <v>16</v>
      </c>
      <c r="C49" s="69" t="s">
        <v>170</v>
      </c>
      <c r="D49" s="68">
        <v>4</v>
      </c>
    </row>
    <row r="50" spans="2:4" x14ac:dyDescent="0.25">
      <c r="B50" s="70">
        <f t="shared" si="0"/>
        <v>17</v>
      </c>
      <c r="C50" s="71" t="s">
        <v>171</v>
      </c>
      <c r="D50" s="70">
        <v>4</v>
      </c>
    </row>
    <row r="51" spans="2:4" x14ac:dyDescent="0.25">
      <c r="B51" s="70">
        <f t="shared" si="0"/>
        <v>18</v>
      </c>
      <c r="C51" s="71" t="s">
        <v>172</v>
      </c>
      <c r="D51" s="70">
        <v>4</v>
      </c>
    </row>
    <row r="52" spans="2:4" x14ac:dyDescent="0.25">
      <c r="B52" s="59">
        <f t="shared" si="0"/>
        <v>19</v>
      </c>
      <c r="C52" s="62" t="s">
        <v>173</v>
      </c>
      <c r="D52" s="59">
        <v>18</v>
      </c>
    </row>
    <row r="53" spans="2:4" x14ac:dyDescent="0.25">
      <c r="B53" s="59">
        <f t="shared" si="0"/>
        <v>20</v>
      </c>
      <c r="C53" s="62" t="s">
        <v>174</v>
      </c>
      <c r="D53" s="59">
        <v>7</v>
      </c>
    </row>
    <row r="54" spans="2:4" ht="15.75" customHeight="1" x14ac:dyDescent="0.25">
      <c r="B54" s="59">
        <f t="shared" si="0"/>
        <v>21</v>
      </c>
      <c r="C54" s="62" t="s">
        <v>175</v>
      </c>
      <c r="D54" s="59">
        <v>12</v>
      </c>
    </row>
    <row r="55" spans="2:4" x14ac:dyDescent="0.25">
      <c r="B55" s="59">
        <f t="shared" si="0"/>
        <v>22</v>
      </c>
      <c r="C55" s="62" t="s">
        <v>176</v>
      </c>
      <c r="D55" s="59">
        <v>7</v>
      </c>
    </row>
    <row r="56" spans="2:4" x14ac:dyDescent="0.25">
      <c r="B56" s="59">
        <f t="shared" si="0"/>
        <v>23</v>
      </c>
      <c r="C56" s="62" t="s">
        <v>177</v>
      </c>
      <c r="D56" s="59">
        <v>8</v>
      </c>
    </row>
  </sheetData>
  <mergeCells count="1">
    <mergeCell ref="B3:H3"/>
  </mergeCells>
  <pageMargins left="0.7" right="0.7" top="0.75" bottom="0.75" header="0.3" footer="0.3"/>
  <pageSetup orientation="portrait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F2E2-E7C7-461A-998C-B798B49AFCA2}">
  <dimension ref="A2:G54"/>
  <sheetViews>
    <sheetView workbookViewId="0">
      <selection activeCell="I18" sqref="I18"/>
    </sheetView>
  </sheetViews>
  <sheetFormatPr baseColWidth="10" defaultRowHeight="15" x14ac:dyDescent="0.25"/>
  <cols>
    <col min="2" max="2" width="31.5703125" customWidth="1"/>
    <col min="3" max="3" width="16.140625" customWidth="1"/>
    <col min="4" max="4" width="18.5703125" customWidth="1"/>
    <col min="5" max="5" width="16.85546875" customWidth="1"/>
    <col min="6" max="6" width="4.85546875" bestFit="1" customWidth="1"/>
    <col min="7" max="7" width="16" customWidth="1"/>
    <col min="8" max="8" width="18.85546875" customWidth="1"/>
  </cols>
  <sheetData>
    <row r="2" spans="2:7" ht="15.75" customHeight="1" x14ac:dyDescent="0.25">
      <c r="B2" s="33" t="s">
        <v>11</v>
      </c>
      <c r="C2" s="16">
        <v>45923</v>
      </c>
      <c r="D2" s="27" t="s">
        <v>2</v>
      </c>
      <c r="E2" s="119">
        <v>0.25</v>
      </c>
      <c r="F2" s="120"/>
      <c r="G2" s="121"/>
    </row>
    <row r="3" spans="2:7" ht="16.5" customHeight="1" x14ac:dyDescent="0.25">
      <c r="B3" s="33" t="s">
        <v>29</v>
      </c>
      <c r="C3" s="20" t="s">
        <v>246</v>
      </c>
      <c r="D3" s="33" t="s">
        <v>12</v>
      </c>
      <c r="E3" s="41" t="s">
        <v>340</v>
      </c>
      <c r="F3" s="45" t="s">
        <v>89</v>
      </c>
      <c r="G3" s="13">
        <v>61</v>
      </c>
    </row>
    <row r="4" spans="2:7" x14ac:dyDescent="0.25">
      <c r="B4" s="130" t="s">
        <v>5</v>
      </c>
      <c r="C4" s="131"/>
      <c r="D4" s="131"/>
      <c r="E4" s="131"/>
      <c r="F4" s="131"/>
      <c r="G4" s="132"/>
    </row>
    <row r="5" spans="2:7" x14ac:dyDescent="0.25">
      <c r="B5" s="31" t="s">
        <v>6</v>
      </c>
      <c r="C5" s="130" t="s">
        <v>7</v>
      </c>
      <c r="D5" s="132"/>
      <c r="E5" s="130" t="s">
        <v>0</v>
      </c>
      <c r="F5" s="131"/>
      <c r="G5" s="132"/>
    </row>
    <row r="6" spans="2:7" s="1" customFormat="1" ht="38.25" x14ac:dyDescent="0.25">
      <c r="B6" s="19" t="s">
        <v>334</v>
      </c>
      <c r="C6" s="114" t="s">
        <v>359</v>
      </c>
      <c r="D6" s="115"/>
      <c r="E6" s="122" t="s">
        <v>334</v>
      </c>
      <c r="F6" s="123"/>
      <c r="G6" s="124"/>
    </row>
    <row r="7" spans="2:7" s="1" customFormat="1" ht="21" customHeight="1" x14ac:dyDescent="0.25">
      <c r="B7" s="10" t="s">
        <v>240</v>
      </c>
      <c r="C7" s="133" t="s">
        <v>360</v>
      </c>
      <c r="D7" s="134"/>
      <c r="E7" s="116" t="s">
        <v>241</v>
      </c>
      <c r="F7" s="117"/>
      <c r="G7" s="118"/>
    </row>
    <row r="8" spans="2:7" s="1" customFormat="1" ht="24" customHeight="1" x14ac:dyDescent="0.25">
      <c r="B8" s="10" t="s">
        <v>240</v>
      </c>
      <c r="C8" s="133" t="s">
        <v>361</v>
      </c>
      <c r="D8" s="134"/>
      <c r="E8" s="116" t="s">
        <v>242</v>
      </c>
      <c r="F8" s="117"/>
      <c r="G8" s="118"/>
    </row>
    <row r="9" spans="2:7" s="1" customFormat="1" ht="24" customHeight="1" x14ac:dyDescent="0.25">
      <c r="B9" s="10" t="s">
        <v>251</v>
      </c>
      <c r="C9" s="114" t="s">
        <v>362</v>
      </c>
      <c r="D9" s="115"/>
      <c r="E9" s="116" t="s">
        <v>368</v>
      </c>
      <c r="F9" s="117"/>
      <c r="G9" s="118"/>
    </row>
    <row r="10" spans="2:7" s="1" customFormat="1" ht="24" hidden="1" customHeight="1" x14ac:dyDescent="0.25">
      <c r="B10" s="10" t="s">
        <v>251</v>
      </c>
      <c r="C10" s="114" t="s">
        <v>335</v>
      </c>
      <c r="D10" s="115"/>
      <c r="E10" s="116" t="s">
        <v>251</v>
      </c>
      <c r="F10" s="117"/>
      <c r="G10" s="118"/>
    </row>
    <row r="11" spans="2:7" s="1" customFormat="1" ht="24" customHeight="1" x14ac:dyDescent="0.25">
      <c r="B11" s="10" t="s">
        <v>251</v>
      </c>
      <c r="C11" s="114" t="s">
        <v>355</v>
      </c>
      <c r="D11" s="115"/>
      <c r="E11" s="116" t="s">
        <v>369</v>
      </c>
      <c r="F11" s="117"/>
      <c r="G11" s="118"/>
    </row>
    <row r="12" spans="2:7" s="1" customFormat="1" ht="24" customHeight="1" x14ac:dyDescent="0.25">
      <c r="B12" s="10" t="s">
        <v>252</v>
      </c>
      <c r="C12" s="114" t="s">
        <v>363</v>
      </c>
      <c r="D12" s="115"/>
      <c r="E12" s="116" t="s">
        <v>370</v>
      </c>
      <c r="F12" s="117"/>
      <c r="G12" s="118"/>
    </row>
    <row r="13" spans="2:7" s="1" customFormat="1" ht="21.75" hidden="1" customHeight="1" x14ac:dyDescent="0.25">
      <c r="B13" s="19" t="s">
        <v>312</v>
      </c>
      <c r="C13" s="114" t="s">
        <v>333</v>
      </c>
      <c r="D13" s="115"/>
      <c r="E13" s="122" t="s">
        <v>313</v>
      </c>
      <c r="F13" s="123"/>
      <c r="G13" s="124"/>
    </row>
    <row r="14" spans="2:7" s="1" customFormat="1" ht="53.25" customHeight="1" x14ac:dyDescent="0.25">
      <c r="B14" s="10" t="s">
        <v>230</v>
      </c>
      <c r="C14" s="114" t="s">
        <v>33</v>
      </c>
      <c r="D14" s="115"/>
      <c r="E14" s="116" t="s">
        <v>319</v>
      </c>
      <c r="F14" s="117"/>
      <c r="G14" s="118"/>
    </row>
    <row r="15" spans="2:7" s="1" customFormat="1" ht="48.75" customHeight="1" x14ac:dyDescent="0.25">
      <c r="B15" s="10" t="s">
        <v>230</v>
      </c>
      <c r="C15" s="114" t="s">
        <v>360</v>
      </c>
      <c r="D15" s="115"/>
      <c r="E15" s="116" t="s">
        <v>233</v>
      </c>
      <c r="F15" s="117"/>
      <c r="G15" s="118"/>
    </row>
    <row r="16" spans="2:7" s="1" customFormat="1" ht="48.75" customHeight="1" x14ac:dyDescent="0.25">
      <c r="B16" s="10" t="s">
        <v>230</v>
      </c>
      <c r="C16" s="114" t="s">
        <v>365</v>
      </c>
      <c r="D16" s="115"/>
      <c r="E16" s="116" t="s">
        <v>366</v>
      </c>
      <c r="F16" s="117"/>
      <c r="G16" s="118"/>
    </row>
    <row r="17" spans="1:7" s="1" customFormat="1" ht="36.75" hidden="1" customHeight="1" x14ac:dyDescent="0.25">
      <c r="B17" s="10" t="s">
        <v>230</v>
      </c>
      <c r="C17" s="114" t="s">
        <v>336</v>
      </c>
      <c r="D17" s="115"/>
      <c r="E17" s="116" t="s">
        <v>234</v>
      </c>
      <c r="F17" s="117"/>
      <c r="G17" s="118"/>
    </row>
    <row r="18" spans="1:7" s="1" customFormat="1" ht="40.5" customHeight="1" x14ac:dyDescent="0.25">
      <c r="B18" s="10" t="s">
        <v>230</v>
      </c>
      <c r="C18" s="114" t="s">
        <v>267</v>
      </c>
      <c r="D18" s="115"/>
      <c r="E18" s="116" t="s">
        <v>231</v>
      </c>
      <c r="F18" s="117"/>
      <c r="G18" s="118"/>
    </row>
    <row r="19" spans="1:7" s="1" customFormat="1" ht="40.5" customHeight="1" x14ac:dyDescent="0.25">
      <c r="B19" s="10" t="s">
        <v>367</v>
      </c>
      <c r="C19" s="140" t="s">
        <v>33</v>
      </c>
      <c r="D19" s="141"/>
      <c r="E19" s="116" t="s">
        <v>371</v>
      </c>
      <c r="F19" s="117"/>
      <c r="G19" s="118"/>
    </row>
    <row r="20" spans="1:7" ht="50.25" customHeight="1" x14ac:dyDescent="0.25">
      <c r="A20" s="57"/>
      <c r="B20" s="135" t="s">
        <v>364</v>
      </c>
      <c r="C20" s="136"/>
      <c r="D20" s="136"/>
      <c r="E20" s="136"/>
      <c r="F20" s="136"/>
      <c r="G20" s="137"/>
    </row>
    <row r="21" spans="1:7" ht="43.5" customHeight="1" x14ac:dyDescent="0.3">
      <c r="B21" s="138" t="s">
        <v>372</v>
      </c>
      <c r="C21" s="139"/>
      <c r="D21" s="139"/>
      <c r="E21" s="139"/>
      <c r="F21" s="139"/>
      <c r="G21" s="139"/>
    </row>
    <row r="22" spans="1:7" ht="25.5" customHeight="1" x14ac:dyDescent="0.25"/>
    <row r="23" spans="1:7" ht="25.5" customHeight="1" x14ac:dyDescent="0.25">
      <c r="B23" s="19" t="s">
        <v>24</v>
      </c>
      <c r="C23" s="125" t="s">
        <v>201</v>
      </c>
      <c r="D23" s="126"/>
      <c r="E23" s="127" t="s">
        <v>24</v>
      </c>
      <c r="F23" s="128"/>
      <c r="G23" s="129"/>
    </row>
    <row r="24" spans="1:7" ht="25.5" x14ac:dyDescent="0.25">
      <c r="B24" s="19" t="s">
        <v>312</v>
      </c>
      <c r="C24" s="114" t="s">
        <v>314</v>
      </c>
      <c r="D24" s="115"/>
      <c r="E24" s="127" t="s">
        <v>315</v>
      </c>
      <c r="F24" s="128"/>
      <c r="G24" s="129"/>
    </row>
    <row r="28" spans="1:7" ht="51" customHeight="1" x14ac:dyDescent="0.25">
      <c r="B28" s="10" t="s">
        <v>230</v>
      </c>
      <c r="C28" s="114" t="s">
        <v>232</v>
      </c>
      <c r="D28" s="115"/>
      <c r="E28" s="116" t="s">
        <v>231</v>
      </c>
      <c r="F28" s="117"/>
      <c r="G28" s="118"/>
    </row>
    <row r="29" spans="1:7" ht="51" customHeight="1" x14ac:dyDescent="0.25">
      <c r="B29" s="10" t="s">
        <v>230</v>
      </c>
      <c r="C29" s="114" t="s">
        <v>232</v>
      </c>
      <c r="D29" s="115"/>
      <c r="E29" s="116" t="s">
        <v>233</v>
      </c>
      <c r="F29" s="117"/>
      <c r="G29" s="118"/>
    </row>
    <row r="30" spans="1:7" ht="51" customHeight="1" x14ac:dyDescent="0.25">
      <c r="B30" s="10" t="s">
        <v>230</v>
      </c>
      <c r="C30" s="114" t="s">
        <v>207</v>
      </c>
      <c r="D30" s="115"/>
      <c r="E30" s="116" t="s">
        <v>234</v>
      </c>
      <c r="F30" s="117"/>
      <c r="G30" s="118"/>
    </row>
    <row r="31" spans="1:7" ht="51" customHeight="1" x14ac:dyDescent="0.25">
      <c r="B31" s="10" t="s">
        <v>230</v>
      </c>
      <c r="C31" s="114" t="s">
        <v>232</v>
      </c>
      <c r="D31" s="115"/>
      <c r="E31" s="116" t="s">
        <v>235</v>
      </c>
      <c r="F31" s="117"/>
      <c r="G31" s="118"/>
    </row>
    <row r="32" spans="1:7" ht="51" customHeight="1" x14ac:dyDescent="0.25">
      <c r="B32" s="10" t="s">
        <v>230</v>
      </c>
      <c r="C32" s="114" t="s">
        <v>232</v>
      </c>
      <c r="D32" s="115"/>
      <c r="E32" s="116" t="s">
        <v>245</v>
      </c>
      <c r="F32" s="117"/>
      <c r="G32" s="118"/>
    </row>
    <row r="33" spans="2:7" ht="51" customHeight="1" x14ac:dyDescent="0.25">
      <c r="B33" s="10" t="s">
        <v>230</v>
      </c>
      <c r="C33" s="114" t="s">
        <v>232</v>
      </c>
      <c r="D33" s="115"/>
      <c r="E33" s="116" t="s">
        <v>236</v>
      </c>
      <c r="F33" s="117"/>
      <c r="G33" s="118"/>
    </row>
    <row r="34" spans="2:7" ht="25.5" x14ac:dyDescent="0.25">
      <c r="B34" s="19" t="s">
        <v>24</v>
      </c>
      <c r="C34" s="114" t="s">
        <v>191</v>
      </c>
      <c r="D34" s="115"/>
      <c r="E34" s="122" t="s">
        <v>24</v>
      </c>
      <c r="F34" s="123"/>
      <c r="G34" s="124"/>
    </row>
    <row r="40" spans="2:7" x14ac:dyDescent="0.25">
      <c r="B40" s="33" t="s">
        <v>11</v>
      </c>
      <c r="C40" s="16"/>
      <c r="D40" s="27" t="s">
        <v>2</v>
      </c>
      <c r="E40" s="119"/>
      <c r="F40" s="120"/>
      <c r="G40" s="121"/>
    </row>
    <row r="41" spans="2:7" x14ac:dyDescent="0.25">
      <c r="B41" s="33" t="s">
        <v>29</v>
      </c>
      <c r="C41" s="20"/>
      <c r="D41" s="33" t="s">
        <v>12</v>
      </c>
      <c r="E41" s="41"/>
      <c r="F41" s="45" t="s">
        <v>89</v>
      </c>
      <c r="G41" s="13"/>
    </row>
    <row r="42" spans="2:7" x14ac:dyDescent="0.25">
      <c r="B42" s="130" t="s">
        <v>5</v>
      </c>
      <c r="C42" s="131"/>
      <c r="D42" s="131"/>
      <c r="E42" s="131"/>
      <c r="F42" s="131"/>
      <c r="G42" s="132"/>
    </row>
    <row r="43" spans="2:7" x14ac:dyDescent="0.25">
      <c r="B43" s="31" t="s">
        <v>6</v>
      </c>
      <c r="C43" s="130" t="s">
        <v>7</v>
      </c>
      <c r="D43" s="132"/>
      <c r="E43" s="130" t="s">
        <v>0</v>
      </c>
      <c r="F43" s="131"/>
      <c r="G43" s="132"/>
    </row>
    <row r="44" spans="2:7" ht="27" customHeight="1" x14ac:dyDescent="0.25">
      <c r="B44" s="10"/>
      <c r="C44" s="114"/>
      <c r="D44" s="115"/>
      <c r="E44" s="116"/>
      <c r="F44" s="117"/>
      <c r="G44" s="118"/>
    </row>
    <row r="45" spans="2:7" x14ac:dyDescent="0.25">
      <c r="B45" s="19"/>
      <c r="C45" s="125"/>
      <c r="D45" s="126"/>
      <c r="E45" s="127"/>
      <c r="F45" s="128"/>
      <c r="G45" s="129"/>
    </row>
    <row r="49" spans="2:7" x14ac:dyDescent="0.25">
      <c r="B49" s="33" t="s">
        <v>11</v>
      </c>
      <c r="C49" s="16"/>
      <c r="D49" s="27" t="s">
        <v>2</v>
      </c>
      <c r="E49" s="119"/>
      <c r="F49" s="120"/>
      <c r="G49" s="121"/>
    </row>
    <row r="50" spans="2:7" x14ac:dyDescent="0.25">
      <c r="B50" s="33" t="s">
        <v>29</v>
      </c>
      <c r="C50" s="20"/>
      <c r="D50" s="33" t="s">
        <v>12</v>
      </c>
      <c r="E50" s="41"/>
      <c r="F50" s="45" t="s">
        <v>89</v>
      </c>
      <c r="G50" s="13"/>
    </row>
    <row r="51" spans="2:7" x14ac:dyDescent="0.25">
      <c r="B51" s="130" t="s">
        <v>5</v>
      </c>
      <c r="C51" s="131"/>
      <c r="D51" s="131"/>
      <c r="E51" s="131"/>
      <c r="F51" s="131"/>
      <c r="G51" s="132"/>
    </row>
    <row r="52" spans="2:7" x14ac:dyDescent="0.25">
      <c r="B52" s="31" t="s">
        <v>6</v>
      </c>
      <c r="C52" s="130" t="s">
        <v>7</v>
      </c>
      <c r="D52" s="132"/>
      <c r="E52" s="130" t="s">
        <v>0</v>
      </c>
      <c r="F52" s="131"/>
      <c r="G52" s="132"/>
    </row>
    <row r="53" spans="2:7" x14ac:dyDescent="0.25">
      <c r="B53" s="19"/>
      <c r="C53" s="125"/>
      <c r="D53" s="126"/>
      <c r="E53" s="127"/>
      <c r="F53" s="128"/>
      <c r="G53" s="129"/>
    </row>
    <row r="54" spans="2:7" x14ac:dyDescent="0.25">
      <c r="B54" s="19"/>
      <c r="C54" s="125"/>
      <c r="D54" s="126"/>
      <c r="E54" s="127"/>
      <c r="F54" s="128"/>
      <c r="G54" s="129"/>
    </row>
  </sheetData>
  <mergeCells count="68">
    <mergeCell ref="C11:D11"/>
    <mergeCell ref="E11:G11"/>
    <mergeCell ref="C19:D19"/>
    <mergeCell ref="E19:G19"/>
    <mergeCell ref="C18:D18"/>
    <mergeCell ref="E18:G18"/>
    <mergeCell ref="C34:D34"/>
    <mergeCell ref="E34:G34"/>
    <mergeCell ref="C17:D17"/>
    <mergeCell ref="E17:G17"/>
    <mergeCell ref="C16:D16"/>
    <mergeCell ref="E16:G16"/>
    <mergeCell ref="E29:G29"/>
    <mergeCell ref="C33:D33"/>
    <mergeCell ref="C32:D32"/>
    <mergeCell ref="E31:G31"/>
    <mergeCell ref="B21:G21"/>
    <mergeCell ref="C54:D54"/>
    <mergeCell ref="E54:G54"/>
    <mergeCell ref="C14:D14"/>
    <mergeCell ref="E14:G14"/>
    <mergeCell ref="B20:G20"/>
    <mergeCell ref="C23:D23"/>
    <mergeCell ref="E23:G23"/>
    <mergeCell ref="C15:D15"/>
    <mergeCell ref="C52:D52"/>
    <mergeCell ref="E52:G52"/>
    <mergeCell ref="C53:D53"/>
    <mergeCell ref="E53:G53"/>
    <mergeCell ref="C28:D28"/>
    <mergeCell ref="E28:G28"/>
    <mergeCell ref="E33:G33"/>
    <mergeCell ref="C29:D29"/>
    <mergeCell ref="B51:G51"/>
    <mergeCell ref="C43:D43"/>
    <mergeCell ref="E43:G43"/>
    <mergeCell ref="B42:G42"/>
    <mergeCell ref="E40:G40"/>
    <mergeCell ref="C44:D44"/>
    <mergeCell ref="E44:G44"/>
    <mergeCell ref="E2:G2"/>
    <mergeCell ref="E5:G5"/>
    <mergeCell ref="B4:G4"/>
    <mergeCell ref="C5:D5"/>
    <mergeCell ref="C9:D9"/>
    <mergeCell ref="E9:G9"/>
    <mergeCell ref="E7:G7"/>
    <mergeCell ref="C8:D8"/>
    <mergeCell ref="E8:G8"/>
    <mergeCell ref="C7:D7"/>
    <mergeCell ref="C6:D6"/>
    <mergeCell ref="E6:G6"/>
    <mergeCell ref="C10:D10"/>
    <mergeCell ref="E10:G10"/>
    <mergeCell ref="E15:G15"/>
    <mergeCell ref="E49:G49"/>
    <mergeCell ref="C31:D31"/>
    <mergeCell ref="C12:D12"/>
    <mergeCell ref="E12:G12"/>
    <mergeCell ref="C13:D13"/>
    <mergeCell ref="E13:G13"/>
    <mergeCell ref="C45:D45"/>
    <mergeCell ref="E45:G45"/>
    <mergeCell ref="C24:D24"/>
    <mergeCell ref="E24:G24"/>
    <mergeCell ref="C30:D30"/>
    <mergeCell ref="E30:G30"/>
    <mergeCell ref="E32:G32"/>
  </mergeCells>
  <pageMargins left="0.7" right="0.7" top="0.75" bottom="0.75" header="0.3" footer="0.3"/>
  <pageSetup paperSize="9" orientation="portrait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C32E-80BF-4EE6-A394-29FDFC384E05}">
  <dimension ref="B3:G111"/>
  <sheetViews>
    <sheetView topLeftCell="A58" workbookViewId="0">
      <selection activeCell="D55" sqref="D55"/>
    </sheetView>
  </sheetViews>
  <sheetFormatPr baseColWidth="10" defaultRowHeight="15" x14ac:dyDescent="0.25"/>
  <cols>
    <col min="2" max="2" width="31.42578125" customWidth="1"/>
    <col min="3" max="3" width="19.5703125" customWidth="1"/>
    <col min="4" max="4" width="10.42578125" customWidth="1"/>
    <col min="5" max="5" width="17.7109375" customWidth="1"/>
    <col min="6" max="6" width="9.42578125" customWidth="1"/>
    <col min="7" max="7" width="27.5703125" customWidth="1"/>
    <col min="9" max="9" width="15.42578125" customWidth="1"/>
    <col min="10" max="10" width="15.7109375" customWidth="1"/>
    <col min="11" max="11" width="16.28515625" customWidth="1"/>
    <col min="12" max="12" width="25.5703125" customWidth="1"/>
    <col min="13" max="13" width="17.5703125" customWidth="1"/>
    <col min="14" max="14" width="10.42578125" customWidth="1"/>
  </cols>
  <sheetData>
    <row r="3" spans="2:7" ht="17.25" customHeight="1" x14ac:dyDescent="0.25">
      <c r="B3" s="42" t="s">
        <v>1</v>
      </c>
      <c r="C3" s="20">
        <v>45864</v>
      </c>
      <c r="D3" s="164" t="s">
        <v>2</v>
      </c>
      <c r="E3" s="164"/>
      <c r="F3" s="152">
        <v>0.125</v>
      </c>
      <c r="G3" s="152"/>
    </row>
    <row r="4" spans="2:7" ht="17.25" customHeight="1" x14ac:dyDescent="0.25">
      <c r="B4" s="42" t="s">
        <v>3</v>
      </c>
      <c r="C4" s="43" t="s">
        <v>258</v>
      </c>
      <c r="D4" s="29" t="s">
        <v>4</v>
      </c>
      <c r="E4" s="41" t="s">
        <v>93</v>
      </c>
      <c r="F4" s="30" t="s">
        <v>145</v>
      </c>
      <c r="G4" s="37">
        <v>61</v>
      </c>
    </row>
    <row r="5" spans="2:7" x14ac:dyDescent="0.25">
      <c r="B5" s="163" t="s">
        <v>5</v>
      </c>
      <c r="C5" s="163"/>
      <c r="D5" s="163"/>
      <c r="E5" s="163"/>
      <c r="F5" s="163"/>
      <c r="G5" s="163"/>
    </row>
    <row r="6" spans="2:7" x14ac:dyDescent="0.25">
      <c r="B6" s="29" t="s">
        <v>6</v>
      </c>
      <c r="C6" s="163" t="s">
        <v>7</v>
      </c>
      <c r="D6" s="163"/>
      <c r="E6" s="29" t="s">
        <v>8</v>
      </c>
      <c r="F6" s="163" t="s">
        <v>9</v>
      </c>
      <c r="G6" s="163"/>
    </row>
    <row r="7" spans="2:7" ht="27.75" customHeight="1" x14ac:dyDescent="0.25">
      <c r="B7" s="10" t="s">
        <v>225</v>
      </c>
      <c r="C7" s="142" t="s">
        <v>229</v>
      </c>
      <c r="D7" s="142"/>
      <c r="E7" s="25" t="s">
        <v>0</v>
      </c>
      <c r="F7" s="143" t="s">
        <v>225</v>
      </c>
      <c r="G7" s="144"/>
    </row>
    <row r="8" spans="2:7" ht="27.75" customHeight="1" x14ac:dyDescent="0.25">
      <c r="B8" s="10" t="s">
        <v>228</v>
      </c>
      <c r="C8" s="142" t="s">
        <v>205</v>
      </c>
      <c r="D8" s="142"/>
      <c r="E8" s="25" t="s">
        <v>0</v>
      </c>
      <c r="F8" s="143" t="s">
        <v>228</v>
      </c>
      <c r="G8" s="144"/>
    </row>
    <row r="9" spans="2:7" ht="32.25" customHeight="1" x14ac:dyDescent="0.25">
      <c r="B9" s="10" t="s">
        <v>224</v>
      </c>
      <c r="C9" s="142" t="s">
        <v>178</v>
      </c>
      <c r="D9" s="142"/>
      <c r="E9" s="25" t="s">
        <v>0</v>
      </c>
      <c r="F9" s="143" t="s">
        <v>224</v>
      </c>
      <c r="G9" s="144"/>
    </row>
    <row r="10" spans="2:7" ht="32.25" customHeight="1" x14ac:dyDescent="0.25">
      <c r="B10" s="10" t="s">
        <v>227</v>
      </c>
      <c r="C10" s="142" t="s">
        <v>178</v>
      </c>
      <c r="D10" s="142"/>
      <c r="E10" s="25" t="s">
        <v>0</v>
      </c>
      <c r="F10" s="143" t="s">
        <v>227</v>
      </c>
      <c r="G10" s="144"/>
    </row>
    <row r="11" spans="2:7" ht="32.25" customHeight="1" x14ac:dyDescent="0.25">
      <c r="B11" s="5" t="s">
        <v>286</v>
      </c>
      <c r="C11" s="148" t="s">
        <v>201</v>
      </c>
      <c r="D11" s="149"/>
      <c r="E11" s="48" t="s">
        <v>109</v>
      </c>
      <c r="F11" s="147" t="s">
        <v>287</v>
      </c>
      <c r="G11" s="147"/>
    </row>
    <row r="12" spans="2:7" ht="38.25" customHeight="1" x14ac:dyDescent="0.25">
      <c r="B12" s="5" t="s">
        <v>323</v>
      </c>
      <c r="C12" s="145" t="s">
        <v>324</v>
      </c>
      <c r="D12" s="146"/>
      <c r="E12" s="48">
        <v>6000</v>
      </c>
      <c r="F12" s="147" t="s">
        <v>114</v>
      </c>
      <c r="G12" s="147"/>
    </row>
    <row r="13" spans="2:7" ht="38.25" customHeight="1" x14ac:dyDescent="0.25">
      <c r="B13" s="5" t="s">
        <v>297</v>
      </c>
      <c r="C13" s="145" t="s">
        <v>322</v>
      </c>
      <c r="D13" s="146"/>
      <c r="E13" s="48">
        <v>6300</v>
      </c>
      <c r="F13" s="147" t="s">
        <v>114</v>
      </c>
      <c r="G13" s="147"/>
    </row>
    <row r="14" spans="2:7" ht="38.25" customHeight="1" x14ac:dyDescent="0.25">
      <c r="B14" s="5" t="s">
        <v>325</v>
      </c>
      <c r="C14" s="165" t="s">
        <v>326</v>
      </c>
      <c r="D14" s="166"/>
      <c r="E14" s="6">
        <v>11000</v>
      </c>
      <c r="F14" s="168" t="s">
        <v>10</v>
      </c>
      <c r="G14" s="169"/>
    </row>
    <row r="15" spans="2:7" ht="38.25" customHeight="1" x14ac:dyDescent="0.25">
      <c r="B15" s="5" t="s">
        <v>325</v>
      </c>
      <c r="C15" s="167" t="s">
        <v>327</v>
      </c>
      <c r="D15" s="167"/>
      <c r="E15" s="6">
        <v>6300</v>
      </c>
      <c r="F15" s="168" t="s">
        <v>10</v>
      </c>
      <c r="G15" s="169"/>
    </row>
    <row r="16" spans="2:7" ht="38.25" customHeight="1" x14ac:dyDescent="0.25">
      <c r="B16" s="5" t="s">
        <v>325</v>
      </c>
      <c r="C16" s="165" t="s">
        <v>191</v>
      </c>
      <c r="D16" s="166"/>
      <c r="E16" s="6">
        <v>7000</v>
      </c>
      <c r="F16" s="168" t="s">
        <v>10</v>
      </c>
      <c r="G16" s="169"/>
    </row>
    <row r="17" spans="2:7" ht="38.25" customHeight="1" x14ac:dyDescent="0.25">
      <c r="B17" s="5" t="s">
        <v>325</v>
      </c>
      <c r="C17" s="165" t="s">
        <v>306</v>
      </c>
      <c r="D17" s="166"/>
      <c r="E17" s="6">
        <v>6300</v>
      </c>
      <c r="F17" s="168" t="s">
        <v>10</v>
      </c>
      <c r="G17" s="169"/>
    </row>
    <row r="18" spans="2:7" ht="38.25" customHeight="1" x14ac:dyDescent="0.25">
      <c r="B18" s="5" t="s">
        <v>325</v>
      </c>
      <c r="C18" s="148" t="s">
        <v>328</v>
      </c>
      <c r="D18" s="149"/>
      <c r="E18" s="6">
        <v>2600</v>
      </c>
      <c r="F18" s="168" t="s">
        <v>10</v>
      </c>
      <c r="G18" s="169"/>
    </row>
    <row r="21" spans="2:7" x14ac:dyDescent="0.25">
      <c r="B21" s="42" t="s">
        <v>1</v>
      </c>
      <c r="C21" s="20">
        <v>45882</v>
      </c>
      <c r="D21" s="164" t="s">
        <v>2</v>
      </c>
      <c r="E21" s="164"/>
      <c r="F21" s="162">
        <v>0.29166666666666669</v>
      </c>
      <c r="G21" s="162"/>
    </row>
    <row r="22" spans="2:7" x14ac:dyDescent="0.25">
      <c r="B22" s="42" t="s">
        <v>3</v>
      </c>
      <c r="C22" s="20" t="s">
        <v>341</v>
      </c>
      <c r="D22" s="29" t="s">
        <v>4</v>
      </c>
      <c r="E22" s="41"/>
      <c r="F22" s="30" t="s">
        <v>145</v>
      </c>
      <c r="G22" s="37">
        <v>56</v>
      </c>
    </row>
    <row r="23" spans="2:7" x14ac:dyDescent="0.25">
      <c r="B23" s="163" t="s">
        <v>5</v>
      </c>
      <c r="C23" s="163"/>
      <c r="D23" s="163"/>
      <c r="E23" s="163"/>
      <c r="F23" s="163"/>
      <c r="G23" s="163"/>
    </row>
    <row r="24" spans="2:7" x14ac:dyDescent="0.25">
      <c r="B24" s="29" t="s">
        <v>6</v>
      </c>
      <c r="C24" s="163" t="s">
        <v>7</v>
      </c>
      <c r="D24" s="163"/>
      <c r="E24" s="29" t="s">
        <v>8</v>
      </c>
      <c r="F24" s="163" t="s">
        <v>9</v>
      </c>
      <c r="G24" s="163"/>
    </row>
    <row r="25" spans="2:7" ht="36" customHeight="1" x14ac:dyDescent="0.25">
      <c r="B25" s="7" t="s">
        <v>179</v>
      </c>
      <c r="C25" s="142" t="s">
        <v>178</v>
      </c>
      <c r="D25" s="142"/>
      <c r="E25" s="25" t="s">
        <v>0</v>
      </c>
      <c r="F25" s="143" t="s">
        <v>181</v>
      </c>
      <c r="G25" s="144"/>
    </row>
    <row r="26" spans="2:7" ht="36.75" customHeight="1" x14ac:dyDescent="0.25">
      <c r="B26" s="7" t="s">
        <v>180</v>
      </c>
      <c r="C26" s="142" t="s">
        <v>178</v>
      </c>
      <c r="D26" s="142"/>
      <c r="E26" s="25" t="s">
        <v>0</v>
      </c>
      <c r="F26" s="143" t="s">
        <v>181</v>
      </c>
      <c r="G26" s="144"/>
    </row>
    <row r="27" spans="2:7" x14ac:dyDescent="0.25">
      <c r="B27" s="7"/>
      <c r="C27" s="142"/>
      <c r="D27" s="142"/>
      <c r="E27" s="25"/>
      <c r="F27" s="143"/>
      <c r="G27" s="144"/>
    </row>
    <row r="28" spans="2:7" x14ac:dyDescent="0.25">
      <c r="B28" s="7"/>
      <c r="C28" s="150"/>
      <c r="D28" s="151"/>
      <c r="E28" s="25"/>
      <c r="F28" s="143"/>
      <c r="G28" s="144"/>
    </row>
    <row r="29" spans="2:7" x14ac:dyDescent="0.25">
      <c r="B29" s="7"/>
      <c r="C29" s="150"/>
      <c r="D29" s="151"/>
      <c r="E29" s="25"/>
      <c r="F29" s="143"/>
      <c r="G29" s="144"/>
    </row>
    <row r="32" spans="2:7" x14ac:dyDescent="0.25">
      <c r="B32" s="42" t="s">
        <v>1</v>
      </c>
      <c r="C32" s="20">
        <v>45884</v>
      </c>
      <c r="D32" s="164" t="s">
        <v>2</v>
      </c>
      <c r="E32" s="164"/>
      <c r="F32" s="162">
        <v>0.27083333333333331</v>
      </c>
      <c r="G32" s="162"/>
    </row>
    <row r="33" spans="2:7" x14ac:dyDescent="0.25">
      <c r="B33" s="42" t="s">
        <v>3</v>
      </c>
      <c r="C33" s="20" t="s">
        <v>346</v>
      </c>
      <c r="D33" s="29" t="s">
        <v>4</v>
      </c>
      <c r="E33" s="41" t="s">
        <v>354</v>
      </c>
      <c r="F33" s="30" t="s">
        <v>145</v>
      </c>
      <c r="G33" s="37">
        <v>29</v>
      </c>
    </row>
    <row r="34" spans="2:7" x14ac:dyDescent="0.25">
      <c r="B34" s="163" t="s">
        <v>5</v>
      </c>
      <c r="C34" s="163"/>
      <c r="D34" s="163"/>
      <c r="E34" s="163"/>
      <c r="F34" s="163"/>
      <c r="G34" s="163"/>
    </row>
    <row r="35" spans="2:7" x14ac:dyDescent="0.25">
      <c r="B35" s="29" t="s">
        <v>6</v>
      </c>
      <c r="C35" s="163" t="s">
        <v>7</v>
      </c>
      <c r="D35" s="163"/>
      <c r="E35" s="29" t="s">
        <v>8</v>
      </c>
      <c r="F35" s="163" t="s">
        <v>9</v>
      </c>
      <c r="G35" s="163"/>
    </row>
    <row r="36" spans="2:7" ht="25.5" x14ac:dyDescent="0.25">
      <c r="B36" s="7" t="s">
        <v>350</v>
      </c>
      <c r="C36" s="142" t="s">
        <v>263</v>
      </c>
      <c r="D36" s="142"/>
      <c r="E36" s="25" t="s">
        <v>0</v>
      </c>
      <c r="F36" s="143" t="s">
        <v>181</v>
      </c>
      <c r="G36" s="144"/>
    </row>
    <row r="37" spans="2:7" ht="25.5" x14ac:dyDescent="0.25">
      <c r="B37" s="7" t="s">
        <v>351</v>
      </c>
      <c r="C37" s="142" t="s">
        <v>178</v>
      </c>
      <c r="D37" s="142"/>
      <c r="E37" s="25" t="s">
        <v>0</v>
      </c>
      <c r="F37" s="143" t="s">
        <v>181</v>
      </c>
      <c r="G37" s="144"/>
    </row>
    <row r="38" spans="2:7" x14ac:dyDescent="0.25">
      <c r="B38" s="7" t="s">
        <v>352</v>
      </c>
      <c r="C38" s="142" t="s">
        <v>353</v>
      </c>
      <c r="D38" s="142"/>
      <c r="E38" s="25">
        <v>3500</v>
      </c>
      <c r="F38" s="143" t="s">
        <v>10</v>
      </c>
      <c r="G38" s="144"/>
    </row>
    <row r="39" spans="2:7" hidden="1" x14ac:dyDescent="0.25">
      <c r="B39" s="7"/>
      <c r="C39" s="150"/>
      <c r="D39" s="151"/>
      <c r="E39" s="25"/>
      <c r="F39" s="143"/>
      <c r="G39" s="144"/>
    </row>
    <row r="40" spans="2:7" hidden="1" x14ac:dyDescent="0.25">
      <c r="B40" s="7"/>
      <c r="C40" s="150"/>
      <c r="D40" s="151"/>
      <c r="E40" s="25"/>
      <c r="F40" s="143"/>
      <c r="G40" s="144"/>
    </row>
    <row r="48" spans="2:7" x14ac:dyDescent="0.25">
      <c r="B48" s="42" t="s">
        <v>1</v>
      </c>
      <c r="C48" s="20">
        <v>45904</v>
      </c>
      <c r="D48" s="164" t="s">
        <v>2</v>
      </c>
      <c r="E48" s="164"/>
      <c r="F48" s="152">
        <v>0.58333333333333337</v>
      </c>
      <c r="G48" s="152"/>
    </row>
    <row r="49" spans="2:7" x14ac:dyDescent="0.25">
      <c r="B49" s="42" t="s">
        <v>3</v>
      </c>
      <c r="C49" s="20" t="s">
        <v>358</v>
      </c>
      <c r="D49" s="29" t="s">
        <v>4</v>
      </c>
      <c r="E49" s="41" t="s">
        <v>30</v>
      </c>
      <c r="F49" s="30" t="s">
        <v>145</v>
      </c>
      <c r="G49" s="37">
        <v>29</v>
      </c>
    </row>
    <row r="50" spans="2:7" x14ac:dyDescent="0.25">
      <c r="B50" s="163" t="s">
        <v>5</v>
      </c>
      <c r="C50" s="163"/>
      <c r="D50" s="163"/>
      <c r="E50" s="163"/>
      <c r="F50" s="163"/>
      <c r="G50" s="163"/>
    </row>
    <row r="51" spans="2:7" x14ac:dyDescent="0.25">
      <c r="B51" s="29" t="s">
        <v>6</v>
      </c>
      <c r="C51" s="163" t="s">
        <v>7</v>
      </c>
      <c r="D51" s="163"/>
      <c r="E51" s="29" t="s">
        <v>8</v>
      </c>
      <c r="F51" s="163" t="s">
        <v>9</v>
      </c>
      <c r="G51" s="163"/>
    </row>
    <row r="52" spans="2:7" ht="39" customHeight="1" x14ac:dyDescent="0.25">
      <c r="B52" s="7" t="s">
        <v>193</v>
      </c>
      <c r="C52" s="142" t="s">
        <v>357</v>
      </c>
      <c r="D52" s="142"/>
      <c r="E52" s="25" t="s">
        <v>0</v>
      </c>
      <c r="F52" s="143" t="s">
        <v>193</v>
      </c>
      <c r="G52" s="144"/>
    </row>
    <row r="53" spans="2:7" ht="25.5" x14ac:dyDescent="0.25">
      <c r="B53" s="7" t="s">
        <v>194</v>
      </c>
      <c r="C53" s="142" t="s">
        <v>356</v>
      </c>
      <c r="D53" s="142"/>
      <c r="E53" s="25" t="s">
        <v>0</v>
      </c>
      <c r="F53" s="143" t="s">
        <v>181</v>
      </c>
      <c r="G53" s="144"/>
    </row>
    <row r="56" spans="2:7" x14ac:dyDescent="0.25">
      <c r="B56" s="161" t="s">
        <v>193</v>
      </c>
      <c r="C56" s="153" t="s">
        <v>182</v>
      </c>
      <c r="D56" s="154"/>
      <c r="E56" s="155"/>
    </row>
    <row r="57" spans="2:7" ht="30" x14ac:dyDescent="0.25">
      <c r="B57" s="161"/>
      <c r="C57" s="38" t="s">
        <v>183</v>
      </c>
      <c r="D57" s="53" t="s">
        <v>185</v>
      </c>
      <c r="E57" s="53" t="s">
        <v>186</v>
      </c>
    </row>
    <row r="58" spans="2:7" x14ac:dyDescent="0.25">
      <c r="B58" s="161"/>
      <c r="C58" s="38" t="s">
        <v>183</v>
      </c>
      <c r="D58" s="40">
        <v>2</v>
      </c>
      <c r="E58" s="40">
        <v>5</v>
      </c>
    </row>
    <row r="59" spans="2:7" x14ac:dyDescent="0.25">
      <c r="B59" s="161"/>
      <c r="C59" s="38" t="s">
        <v>183</v>
      </c>
      <c r="D59" s="40">
        <v>3</v>
      </c>
      <c r="E59" s="40">
        <v>5</v>
      </c>
    </row>
    <row r="60" spans="2:7" x14ac:dyDescent="0.25">
      <c r="B60" s="161"/>
      <c r="C60" s="38" t="s">
        <v>183</v>
      </c>
      <c r="D60" s="40">
        <v>4</v>
      </c>
      <c r="E60" s="40">
        <v>6</v>
      </c>
    </row>
    <row r="61" spans="2:7" x14ac:dyDescent="0.25">
      <c r="B61" s="161"/>
      <c r="C61" s="38" t="s">
        <v>183</v>
      </c>
      <c r="D61" s="40">
        <v>16</v>
      </c>
      <c r="E61" s="40">
        <v>6</v>
      </c>
    </row>
    <row r="62" spans="2:7" ht="30" x14ac:dyDescent="0.25">
      <c r="B62" s="161"/>
      <c r="C62" s="53" t="s">
        <v>199</v>
      </c>
      <c r="D62" s="156">
        <v>4</v>
      </c>
      <c r="E62" s="157"/>
    </row>
    <row r="63" spans="2:7" ht="25.5" x14ac:dyDescent="0.25">
      <c r="B63" s="55" t="s">
        <v>194</v>
      </c>
      <c r="C63" s="38" t="s">
        <v>195</v>
      </c>
      <c r="D63" s="156">
        <v>5</v>
      </c>
      <c r="E63" s="157"/>
    </row>
    <row r="68" spans="2:7" x14ac:dyDescent="0.25">
      <c r="B68" s="158" t="s">
        <v>182</v>
      </c>
      <c r="C68" s="158"/>
      <c r="D68" s="158"/>
      <c r="E68" s="158"/>
    </row>
    <row r="69" spans="2:7" x14ac:dyDescent="0.25">
      <c r="B69" s="13" t="s">
        <v>208</v>
      </c>
      <c r="C69" s="13" t="s">
        <v>152</v>
      </c>
      <c r="D69" s="13" t="s">
        <v>209</v>
      </c>
      <c r="E69" s="13" t="s">
        <v>210</v>
      </c>
      <c r="F69" s="13" t="s">
        <v>309</v>
      </c>
      <c r="G69" s="13" t="s">
        <v>310</v>
      </c>
    </row>
    <row r="70" spans="2:7" x14ac:dyDescent="0.25">
      <c r="B70" s="7" t="s">
        <v>211</v>
      </c>
      <c r="C70" s="13">
        <v>6</v>
      </c>
      <c r="D70" s="13"/>
      <c r="E70" s="13"/>
      <c r="F70" s="40" t="s">
        <v>311</v>
      </c>
      <c r="G70" s="26"/>
    </row>
    <row r="71" spans="2:7" x14ac:dyDescent="0.25">
      <c r="B71" s="13" t="s">
        <v>156</v>
      </c>
      <c r="C71" s="13">
        <v>8</v>
      </c>
      <c r="D71" s="13"/>
      <c r="E71" s="13"/>
      <c r="F71" s="40"/>
      <c r="G71" s="26"/>
    </row>
    <row r="72" spans="2:7" x14ac:dyDescent="0.25">
      <c r="B72" s="13" t="s">
        <v>157</v>
      </c>
      <c r="C72" s="13">
        <v>7</v>
      </c>
      <c r="D72" s="13"/>
      <c r="E72" s="13"/>
      <c r="F72" s="40"/>
      <c r="G72" s="26"/>
    </row>
    <row r="73" spans="2:7" x14ac:dyDescent="0.25">
      <c r="B73" s="13" t="s">
        <v>158</v>
      </c>
      <c r="C73" s="13">
        <v>9</v>
      </c>
      <c r="D73" s="13"/>
      <c r="E73" s="13"/>
      <c r="F73" s="40"/>
      <c r="G73" s="26"/>
    </row>
    <row r="74" spans="2:7" x14ac:dyDescent="0.25">
      <c r="B74" s="13" t="s">
        <v>159</v>
      </c>
      <c r="C74" s="13">
        <v>6</v>
      </c>
      <c r="D74" s="13"/>
      <c r="E74" s="13"/>
      <c r="F74" s="40"/>
      <c r="G74" s="26"/>
    </row>
    <row r="75" spans="2:7" x14ac:dyDescent="0.25">
      <c r="B75" s="13" t="s">
        <v>160</v>
      </c>
      <c r="C75" s="13">
        <v>13</v>
      </c>
      <c r="D75" s="13"/>
      <c r="E75" s="13"/>
      <c r="F75" s="40"/>
      <c r="G75" s="26"/>
    </row>
    <row r="76" spans="2:7" x14ac:dyDescent="0.25">
      <c r="B76" s="13" t="s">
        <v>161</v>
      </c>
      <c r="C76" s="13">
        <v>4</v>
      </c>
      <c r="D76" s="13"/>
      <c r="E76" s="13"/>
      <c r="F76" s="40"/>
      <c r="G76" s="26"/>
    </row>
    <row r="77" spans="2:7" x14ac:dyDescent="0.25">
      <c r="B77" s="13" t="s">
        <v>212</v>
      </c>
      <c r="C77" s="13">
        <v>15</v>
      </c>
      <c r="D77" s="13"/>
      <c r="E77" s="13"/>
      <c r="F77" s="40" t="s">
        <v>311</v>
      </c>
      <c r="G77" s="26"/>
    </row>
    <row r="78" spans="2:7" x14ac:dyDescent="0.25">
      <c r="B78" s="13" t="s">
        <v>213</v>
      </c>
      <c r="C78" s="13">
        <v>6</v>
      </c>
      <c r="D78" s="13"/>
      <c r="E78" s="13"/>
      <c r="F78" s="40" t="s">
        <v>311</v>
      </c>
      <c r="G78" s="26"/>
    </row>
    <row r="79" spans="2:7" x14ac:dyDescent="0.25">
      <c r="B79" s="13" t="s">
        <v>164</v>
      </c>
      <c r="C79" s="13">
        <v>4</v>
      </c>
      <c r="D79" s="13"/>
      <c r="E79" s="13"/>
      <c r="F79" s="40"/>
      <c r="G79" s="26"/>
    </row>
    <row r="80" spans="2:7" x14ac:dyDescent="0.25">
      <c r="B80" s="13" t="s">
        <v>165</v>
      </c>
      <c r="C80" s="13">
        <v>5</v>
      </c>
      <c r="D80" s="13"/>
      <c r="E80" s="13"/>
      <c r="F80" s="40" t="s">
        <v>311</v>
      </c>
      <c r="G80" s="26"/>
    </row>
    <row r="81" spans="2:7" x14ac:dyDescent="0.25">
      <c r="B81" s="13" t="s">
        <v>214</v>
      </c>
      <c r="C81" s="13">
        <v>8</v>
      </c>
      <c r="D81" s="13"/>
      <c r="E81" s="13"/>
      <c r="F81" s="40"/>
      <c r="G81" s="26"/>
    </row>
    <row r="82" spans="2:7" x14ac:dyDescent="0.25">
      <c r="B82" s="13" t="s">
        <v>167</v>
      </c>
      <c r="C82" s="13">
        <v>5</v>
      </c>
      <c r="D82" s="13"/>
      <c r="E82" s="13"/>
      <c r="F82" s="40"/>
      <c r="G82" s="26"/>
    </row>
    <row r="83" spans="2:7" x14ac:dyDescent="0.25">
      <c r="B83" s="13" t="s">
        <v>168</v>
      </c>
      <c r="C83" s="13">
        <v>4</v>
      </c>
      <c r="D83" s="13"/>
      <c r="E83" s="13"/>
      <c r="F83" s="40"/>
      <c r="G83" s="26"/>
    </row>
    <row r="84" spans="2:7" x14ac:dyDescent="0.25">
      <c r="B84" s="13" t="s">
        <v>169</v>
      </c>
      <c r="C84" s="13">
        <v>7</v>
      </c>
      <c r="D84" s="13"/>
      <c r="E84" s="13"/>
      <c r="F84" s="40"/>
      <c r="G84" s="26"/>
    </row>
    <row r="85" spans="2:7" x14ac:dyDescent="0.25">
      <c r="B85" s="13" t="s">
        <v>170</v>
      </c>
      <c r="C85" s="13">
        <v>4</v>
      </c>
      <c r="D85" s="13"/>
      <c r="E85" s="13"/>
      <c r="F85" s="40"/>
      <c r="G85" s="26"/>
    </row>
    <row r="86" spans="2:7" x14ac:dyDescent="0.25">
      <c r="B86" s="13" t="s">
        <v>171</v>
      </c>
      <c r="C86" s="13">
        <v>4</v>
      </c>
      <c r="D86" s="13"/>
      <c r="E86" s="13"/>
      <c r="F86" s="40" t="s">
        <v>311</v>
      </c>
      <c r="G86" s="26"/>
    </row>
    <row r="87" spans="2:7" x14ac:dyDescent="0.25">
      <c r="B87" s="13" t="s">
        <v>172</v>
      </c>
      <c r="C87" s="13">
        <v>4</v>
      </c>
      <c r="D87" s="13"/>
      <c r="E87" s="13"/>
      <c r="F87" s="40" t="s">
        <v>311</v>
      </c>
      <c r="G87" s="26"/>
    </row>
    <row r="88" spans="2:7" x14ac:dyDescent="0.25">
      <c r="B88" s="13" t="s">
        <v>173</v>
      </c>
      <c r="C88" s="13">
        <v>18</v>
      </c>
      <c r="D88" s="13"/>
      <c r="E88" s="13"/>
      <c r="F88" s="40"/>
      <c r="G88" s="26"/>
    </row>
    <row r="89" spans="2:7" x14ac:dyDescent="0.25">
      <c r="B89" s="13" t="s">
        <v>215</v>
      </c>
      <c r="C89" s="13">
        <v>7</v>
      </c>
      <c r="D89" s="13"/>
      <c r="E89" s="13"/>
      <c r="F89" s="40"/>
      <c r="G89" s="26"/>
    </row>
    <row r="90" spans="2:7" x14ac:dyDescent="0.25">
      <c r="B90" s="13" t="s">
        <v>175</v>
      </c>
      <c r="C90" s="13">
        <v>12</v>
      </c>
      <c r="D90" s="13"/>
      <c r="E90" s="13"/>
      <c r="F90" s="40"/>
      <c r="G90" s="26"/>
    </row>
    <row r="91" spans="2:7" x14ac:dyDescent="0.25">
      <c r="B91" s="13" t="s">
        <v>176</v>
      </c>
      <c r="C91" s="13">
        <v>7</v>
      </c>
      <c r="D91" s="13"/>
      <c r="E91" s="13"/>
      <c r="F91" s="40"/>
      <c r="G91" s="26"/>
    </row>
    <row r="92" spans="2:7" x14ac:dyDescent="0.25">
      <c r="B92" s="13" t="s">
        <v>177</v>
      </c>
      <c r="C92" s="13">
        <v>8</v>
      </c>
      <c r="D92" s="13"/>
      <c r="E92" s="13"/>
      <c r="F92" s="40"/>
      <c r="G92" s="26"/>
    </row>
    <row r="95" spans="2:7" x14ac:dyDescent="0.25">
      <c r="B95" s="159" t="s">
        <v>193</v>
      </c>
      <c r="C95" s="160" t="s">
        <v>182</v>
      </c>
      <c r="D95" s="160"/>
      <c r="E95" s="160"/>
      <c r="F95" s="160"/>
    </row>
    <row r="96" spans="2:7" ht="30" x14ac:dyDescent="0.25">
      <c r="B96" s="159"/>
      <c r="C96" s="38" t="s">
        <v>183</v>
      </c>
      <c r="D96" s="53" t="s">
        <v>185</v>
      </c>
      <c r="E96" s="53" t="s">
        <v>186</v>
      </c>
      <c r="F96" s="38" t="s">
        <v>187</v>
      </c>
    </row>
    <row r="97" spans="2:7" x14ac:dyDescent="0.25">
      <c r="B97" s="159"/>
      <c r="C97" s="38" t="s">
        <v>183</v>
      </c>
      <c r="D97" s="40">
        <v>2</v>
      </c>
      <c r="E97" s="40">
        <v>5</v>
      </c>
      <c r="F97" s="40" t="s">
        <v>189</v>
      </c>
      <c r="G97" s="40">
        <v>597</v>
      </c>
    </row>
    <row r="98" spans="2:7" x14ac:dyDescent="0.25">
      <c r="B98" s="159"/>
      <c r="C98" s="38" t="s">
        <v>183</v>
      </c>
      <c r="D98" s="40">
        <v>3</v>
      </c>
      <c r="E98" s="40">
        <v>5</v>
      </c>
      <c r="F98" s="40" t="s">
        <v>189</v>
      </c>
      <c r="G98" s="40">
        <v>591</v>
      </c>
    </row>
    <row r="99" spans="2:7" x14ac:dyDescent="0.25">
      <c r="B99" s="159"/>
      <c r="C99" s="38" t="s">
        <v>183</v>
      </c>
      <c r="D99" s="40">
        <v>4</v>
      </c>
      <c r="E99" s="40">
        <v>5</v>
      </c>
      <c r="F99" s="40" t="s">
        <v>189</v>
      </c>
      <c r="G99" s="40">
        <v>599</v>
      </c>
    </row>
    <row r="100" spans="2:7" x14ac:dyDescent="0.25">
      <c r="B100" s="159"/>
      <c r="C100" s="38" t="s">
        <v>183</v>
      </c>
      <c r="D100" s="40">
        <v>16</v>
      </c>
      <c r="E100" s="40">
        <v>6</v>
      </c>
      <c r="F100" s="40" t="s">
        <v>188</v>
      </c>
      <c r="G100" s="40" t="s">
        <v>190</v>
      </c>
    </row>
    <row r="101" spans="2:7" x14ac:dyDescent="0.25">
      <c r="B101" s="159"/>
      <c r="C101" s="38" t="s">
        <v>184</v>
      </c>
      <c r="D101" s="40"/>
      <c r="E101" s="40">
        <v>5</v>
      </c>
      <c r="F101" s="40" t="s">
        <v>189</v>
      </c>
      <c r="G101" s="40">
        <v>598</v>
      </c>
    </row>
    <row r="106" spans="2:7" ht="25.5" x14ac:dyDescent="0.25">
      <c r="B106" s="10" t="s">
        <v>237</v>
      </c>
      <c r="C106" s="142" t="s">
        <v>191</v>
      </c>
      <c r="D106" s="142"/>
      <c r="E106" s="25" t="s">
        <v>0</v>
      </c>
      <c r="F106" s="143" t="s">
        <v>0</v>
      </c>
      <c r="G106" s="144"/>
    </row>
    <row r="107" spans="2:7" ht="25.5" x14ac:dyDescent="0.25">
      <c r="B107" s="10" t="s">
        <v>224</v>
      </c>
      <c r="C107" s="142" t="s">
        <v>178</v>
      </c>
      <c r="D107" s="142"/>
      <c r="E107" s="25" t="s">
        <v>0</v>
      </c>
      <c r="F107" s="143" t="s">
        <v>0</v>
      </c>
      <c r="G107" s="144"/>
    </row>
    <row r="108" spans="2:7" ht="25.5" x14ac:dyDescent="0.25">
      <c r="B108" s="10" t="s">
        <v>225</v>
      </c>
      <c r="C108" s="142" t="s">
        <v>229</v>
      </c>
      <c r="D108" s="142"/>
      <c r="E108" s="25" t="s">
        <v>0</v>
      </c>
      <c r="F108" s="143" t="s">
        <v>0</v>
      </c>
      <c r="G108" s="144"/>
    </row>
    <row r="109" spans="2:7" ht="25.5" x14ac:dyDescent="0.25">
      <c r="B109" s="10" t="s">
        <v>226</v>
      </c>
      <c r="C109" s="142" t="s">
        <v>144</v>
      </c>
      <c r="D109" s="142"/>
      <c r="E109" s="25" t="s">
        <v>0</v>
      </c>
      <c r="F109" s="143" t="s">
        <v>0</v>
      </c>
      <c r="G109" s="144"/>
    </row>
    <row r="110" spans="2:7" ht="25.5" x14ac:dyDescent="0.25">
      <c r="B110" s="10" t="s">
        <v>227</v>
      </c>
      <c r="C110" s="142" t="s">
        <v>178</v>
      </c>
      <c r="D110" s="142"/>
      <c r="E110" s="25" t="s">
        <v>0</v>
      </c>
      <c r="F110" s="143" t="s">
        <v>0</v>
      </c>
      <c r="G110" s="144"/>
    </row>
    <row r="111" spans="2:7" ht="25.5" x14ac:dyDescent="0.25">
      <c r="B111" s="10" t="s">
        <v>228</v>
      </c>
      <c r="C111" s="142" t="s">
        <v>205</v>
      </c>
      <c r="D111" s="142"/>
      <c r="E111" s="25" t="s">
        <v>0</v>
      </c>
      <c r="F111" s="143" t="s">
        <v>0</v>
      </c>
      <c r="G111" s="144"/>
    </row>
  </sheetData>
  <mergeCells count="87">
    <mergeCell ref="C39:D39"/>
    <mergeCell ref="F39:G39"/>
    <mergeCell ref="C40:D40"/>
    <mergeCell ref="F40:G40"/>
    <mergeCell ref="C36:D36"/>
    <mergeCell ref="F36:G36"/>
    <mergeCell ref="C37:D37"/>
    <mergeCell ref="F37:G37"/>
    <mergeCell ref="C38:D38"/>
    <mergeCell ref="F38:G38"/>
    <mergeCell ref="D32:E32"/>
    <mergeCell ref="F32:G32"/>
    <mergeCell ref="B34:G34"/>
    <mergeCell ref="C35:D35"/>
    <mergeCell ref="F35:G35"/>
    <mergeCell ref="C9:D9"/>
    <mergeCell ref="F25:G25"/>
    <mergeCell ref="F26:G26"/>
    <mergeCell ref="F24:G24"/>
    <mergeCell ref="D21:E21"/>
    <mergeCell ref="F9:G9"/>
    <mergeCell ref="C14:D14"/>
    <mergeCell ref="C15:D15"/>
    <mergeCell ref="C18:D18"/>
    <mergeCell ref="F18:G18"/>
    <mergeCell ref="C16:D16"/>
    <mergeCell ref="C17:D17"/>
    <mergeCell ref="F14:G14"/>
    <mergeCell ref="F15:G15"/>
    <mergeCell ref="F16:G16"/>
    <mergeCell ref="F17:G17"/>
    <mergeCell ref="F8:G8"/>
    <mergeCell ref="F3:G3"/>
    <mergeCell ref="F7:G7"/>
    <mergeCell ref="D3:E3"/>
    <mergeCell ref="C6:D6"/>
    <mergeCell ref="C7:D7"/>
    <mergeCell ref="B5:G5"/>
    <mergeCell ref="F6:G6"/>
    <mergeCell ref="C8:D8"/>
    <mergeCell ref="C110:D110"/>
    <mergeCell ref="F21:G21"/>
    <mergeCell ref="B23:G23"/>
    <mergeCell ref="C24:D24"/>
    <mergeCell ref="C25:D25"/>
    <mergeCell ref="C26:D26"/>
    <mergeCell ref="F51:G51"/>
    <mergeCell ref="B50:G50"/>
    <mergeCell ref="C27:D27"/>
    <mergeCell ref="F28:G28"/>
    <mergeCell ref="F52:G52"/>
    <mergeCell ref="C51:D51"/>
    <mergeCell ref="F27:G27"/>
    <mergeCell ref="D48:E48"/>
    <mergeCell ref="F29:G29"/>
    <mergeCell ref="F110:G110"/>
    <mergeCell ref="F109:G109"/>
    <mergeCell ref="F53:G53"/>
    <mergeCell ref="C56:E56"/>
    <mergeCell ref="D62:E62"/>
    <mergeCell ref="B68:E68"/>
    <mergeCell ref="B95:B101"/>
    <mergeCell ref="C95:F95"/>
    <mergeCell ref="F107:G107"/>
    <mergeCell ref="C106:D106"/>
    <mergeCell ref="D63:E63"/>
    <mergeCell ref="C53:D53"/>
    <mergeCell ref="C108:D108"/>
    <mergeCell ref="F108:G108"/>
    <mergeCell ref="C109:D109"/>
    <mergeCell ref="B56:B62"/>
    <mergeCell ref="C111:D111"/>
    <mergeCell ref="C107:D107"/>
    <mergeCell ref="F106:G106"/>
    <mergeCell ref="C10:D10"/>
    <mergeCell ref="F10:G10"/>
    <mergeCell ref="C12:D12"/>
    <mergeCell ref="F12:G12"/>
    <mergeCell ref="C13:D13"/>
    <mergeCell ref="F13:G13"/>
    <mergeCell ref="C11:D11"/>
    <mergeCell ref="F11:G11"/>
    <mergeCell ref="C28:D28"/>
    <mergeCell ref="C52:D52"/>
    <mergeCell ref="F48:G48"/>
    <mergeCell ref="C29:D29"/>
    <mergeCell ref="F111:G111"/>
  </mergeCells>
  <pageMargins left="0.7" right="0.7" top="0.75" bottom="0.75" header="0.3" footer="0.3"/>
  <pageSetup orientation="portrait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4F27-F18B-4F07-9A6D-94BAAF45FAEF}">
  <dimension ref="B3:G68"/>
  <sheetViews>
    <sheetView topLeftCell="A17" workbookViewId="0">
      <selection activeCell="F9" sqref="F9:G9"/>
    </sheetView>
  </sheetViews>
  <sheetFormatPr baseColWidth="10" defaultRowHeight="15" x14ac:dyDescent="0.25"/>
  <cols>
    <col min="2" max="2" width="39.85546875" customWidth="1"/>
    <col min="3" max="3" width="21.140625" customWidth="1"/>
    <col min="4" max="4" width="11.42578125" customWidth="1"/>
    <col min="5" max="5" width="17.85546875" customWidth="1"/>
    <col min="6" max="6" width="14.85546875" customWidth="1"/>
    <col min="7" max="7" width="24.7109375" customWidth="1"/>
  </cols>
  <sheetData>
    <row r="3" spans="2:7" x14ac:dyDescent="0.25">
      <c r="B3" s="42" t="s">
        <v>1</v>
      </c>
      <c r="C3" s="20"/>
      <c r="D3" s="164" t="s">
        <v>2</v>
      </c>
      <c r="E3" s="164"/>
      <c r="F3" s="152"/>
      <c r="G3" s="152"/>
    </row>
    <row r="4" spans="2:7" x14ac:dyDescent="0.25">
      <c r="B4" s="42" t="s">
        <v>3</v>
      </c>
      <c r="C4" s="43"/>
      <c r="D4" s="42" t="s">
        <v>4</v>
      </c>
      <c r="E4" s="41"/>
      <c r="F4" s="30" t="s">
        <v>198</v>
      </c>
      <c r="G4" s="13"/>
    </row>
    <row r="5" spans="2:7" x14ac:dyDescent="0.25">
      <c r="B5" s="163" t="s">
        <v>5</v>
      </c>
      <c r="C5" s="163"/>
      <c r="D5" s="163"/>
      <c r="E5" s="163"/>
      <c r="F5" s="163"/>
      <c r="G5" s="163"/>
    </row>
    <row r="6" spans="2:7" x14ac:dyDescent="0.25">
      <c r="B6" s="29" t="s">
        <v>6</v>
      </c>
      <c r="C6" s="163" t="s">
        <v>7</v>
      </c>
      <c r="D6" s="163"/>
      <c r="E6" s="29" t="s">
        <v>8</v>
      </c>
      <c r="F6" s="163" t="s">
        <v>9</v>
      </c>
      <c r="G6" s="163"/>
    </row>
    <row r="7" spans="2:7" ht="44.25" customHeight="1" x14ac:dyDescent="0.25">
      <c r="B7" s="5" t="s">
        <v>273</v>
      </c>
      <c r="C7" s="148" t="s">
        <v>250</v>
      </c>
      <c r="D7" s="149"/>
      <c r="E7" s="48" t="s">
        <v>109</v>
      </c>
      <c r="F7" s="170" t="s">
        <v>278</v>
      </c>
      <c r="G7" s="170"/>
    </row>
    <row r="8" spans="2:7" ht="39.75" customHeight="1" x14ac:dyDescent="0.25">
      <c r="B8" s="5" t="s">
        <v>273</v>
      </c>
      <c r="C8" s="148" t="s">
        <v>250</v>
      </c>
      <c r="D8" s="149"/>
      <c r="E8" s="48" t="s">
        <v>109</v>
      </c>
      <c r="F8" s="170" t="s">
        <v>277</v>
      </c>
      <c r="G8" s="170"/>
    </row>
    <row r="9" spans="2:7" ht="44.25" customHeight="1" x14ac:dyDescent="0.25">
      <c r="B9" s="5" t="s">
        <v>273</v>
      </c>
      <c r="C9" s="148" t="s">
        <v>280</v>
      </c>
      <c r="D9" s="149"/>
      <c r="E9" s="48" t="s">
        <v>109</v>
      </c>
      <c r="F9" s="170" t="s">
        <v>279</v>
      </c>
      <c r="G9" s="170"/>
    </row>
    <row r="10" spans="2:7" ht="50.25" customHeight="1" x14ac:dyDescent="0.25">
      <c r="B10" s="5" t="s">
        <v>273</v>
      </c>
      <c r="C10" s="148" t="s">
        <v>201</v>
      </c>
      <c r="D10" s="149"/>
      <c r="E10" s="48" t="s">
        <v>109</v>
      </c>
      <c r="F10" s="147" t="s">
        <v>206</v>
      </c>
      <c r="G10" s="147"/>
    </row>
    <row r="15" spans="2:7" x14ac:dyDescent="0.25">
      <c r="B15" s="158" t="s">
        <v>217</v>
      </c>
      <c r="C15" s="158"/>
      <c r="D15" s="158"/>
      <c r="E15" s="158"/>
    </row>
    <row r="16" spans="2:7" x14ac:dyDescent="0.25">
      <c r="B16" s="13" t="s">
        <v>208</v>
      </c>
      <c r="C16" s="13" t="s">
        <v>152</v>
      </c>
      <c r="D16" s="13" t="s">
        <v>209</v>
      </c>
      <c r="E16" s="13" t="s">
        <v>210</v>
      </c>
    </row>
    <row r="17" spans="2:5" x14ac:dyDescent="0.25">
      <c r="B17" s="7" t="s">
        <v>218</v>
      </c>
      <c r="C17" s="13">
        <v>5</v>
      </c>
      <c r="D17" s="13" t="s">
        <v>216</v>
      </c>
      <c r="E17" s="13"/>
    </row>
    <row r="18" spans="2:5" x14ac:dyDescent="0.25">
      <c r="B18" s="13" t="s">
        <v>219</v>
      </c>
      <c r="C18" s="13">
        <v>15</v>
      </c>
      <c r="D18" s="13" t="s">
        <v>216</v>
      </c>
      <c r="E18" s="13"/>
    </row>
    <row r="19" spans="2:5" x14ac:dyDescent="0.25">
      <c r="B19" s="13" t="s">
        <v>222</v>
      </c>
      <c r="C19" s="13">
        <v>2</v>
      </c>
      <c r="D19" s="13" t="s">
        <v>216</v>
      </c>
      <c r="E19" s="13"/>
    </row>
    <row r="20" spans="2:5" x14ac:dyDescent="0.25">
      <c r="B20" s="13" t="s">
        <v>223</v>
      </c>
      <c r="C20" s="13">
        <v>2</v>
      </c>
      <c r="D20" s="13" t="s">
        <v>216</v>
      </c>
      <c r="E20" s="13"/>
    </row>
    <row r="21" spans="2:5" x14ac:dyDescent="0.25">
      <c r="B21" s="13" t="s">
        <v>220</v>
      </c>
      <c r="C21" s="13">
        <v>10</v>
      </c>
      <c r="D21" s="13" t="s">
        <v>216</v>
      </c>
      <c r="E21" s="13"/>
    </row>
    <row r="22" spans="2:5" x14ac:dyDescent="0.25">
      <c r="B22" s="13" t="s">
        <v>160</v>
      </c>
      <c r="C22" s="13">
        <v>10</v>
      </c>
      <c r="D22" s="13" t="s">
        <v>216</v>
      </c>
      <c r="E22" s="13"/>
    </row>
    <row r="23" spans="2:5" x14ac:dyDescent="0.25">
      <c r="B23" s="13" t="s">
        <v>173</v>
      </c>
      <c r="C23" s="13">
        <v>30</v>
      </c>
      <c r="D23" s="13"/>
      <c r="E23" s="13"/>
    </row>
    <row r="24" spans="2:5" x14ac:dyDescent="0.25">
      <c r="B24" s="13" t="s">
        <v>221</v>
      </c>
      <c r="C24" s="13">
        <v>10</v>
      </c>
      <c r="D24" s="13"/>
      <c r="E24" s="13"/>
    </row>
    <row r="25" spans="2:5" x14ac:dyDescent="0.25">
      <c r="B25" s="13"/>
      <c r="C25" s="13"/>
      <c r="D25" s="13"/>
      <c r="E25" s="13"/>
    </row>
    <row r="26" spans="2:5" x14ac:dyDescent="0.25">
      <c r="B26" s="13"/>
      <c r="C26" s="13"/>
      <c r="D26" s="13"/>
      <c r="E26" s="13"/>
    </row>
    <row r="27" spans="2:5" x14ac:dyDescent="0.25">
      <c r="B27" s="13"/>
      <c r="C27" s="13"/>
      <c r="D27" s="13"/>
      <c r="E27" s="13"/>
    </row>
    <row r="28" spans="2:5" x14ac:dyDescent="0.25">
      <c r="B28" s="13"/>
      <c r="C28" s="13"/>
      <c r="D28" s="13"/>
      <c r="E28" s="13"/>
    </row>
    <row r="29" spans="2:5" x14ac:dyDescent="0.25">
      <c r="B29" s="13"/>
      <c r="C29" s="13"/>
      <c r="D29" s="13"/>
      <c r="E29" s="13"/>
    </row>
    <row r="30" spans="2:5" x14ac:dyDescent="0.25">
      <c r="B30" s="13"/>
      <c r="C30" s="13"/>
      <c r="D30" s="13"/>
      <c r="E30" s="13"/>
    </row>
    <row r="31" spans="2:5" x14ac:dyDescent="0.25">
      <c r="B31" s="13"/>
      <c r="C31" s="13"/>
      <c r="D31" s="13"/>
      <c r="E31" s="13"/>
    </row>
    <row r="32" spans="2:5" x14ac:dyDescent="0.25">
      <c r="B32" s="13"/>
      <c r="C32" s="13"/>
      <c r="D32" s="13"/>
      <c r="E32" s="13"/>
    </row>
    <row r="33" spans="2:7" x14ac:dyDescent="0.25">
      <c r="B33" s="13"/>
      <c r="C33" s="13"/>
      <c r="D33" s="13"/>
      <c r="E33" s="13"/>
    </row>
    <row r="34" spans="2:7" x14ac:dyDescent="0.25">
      <c r="B34" s="13"/>
      <c r="C34" s="13"/>
      <c r="D34" s="13"/>
      <c r="E34" s="13"/>
    </row>
    <row r="35" spans="2:7" x14ac:dyDescent="0.25">
      <c r="B35" s="13"/>
      <c r="C35" s="13"/>
      <c r="D35" s="13"/>
      <c r="E35" s="13"/>
    </row>
    <row r="36" spans="2:7" x14ac:dyDescent="0.25">
      <c r="B36" s="13"/>
      <c r="C36" s="13"/>
      <c r="D36" s="13"/>
      <c r="E36" s="13"/>
    </row>
    <row r="37" spans="2:7" x14ac:dyDescent="0.25">
      <c r="B37" s="13"/>
      <c r="C37" s="13"/>
      <c r="D37" s="13"/>
      <c r="E37" s="13"/>
    </row>
    <row r="38" spans="2:7" x14ac:dyDescent="0.25">
      <c r="B38" s="13"/>
      <c r="C38" s="13"/>
      <c r="D38" s="13"/>
      <c r="E38" s="13"/>
    </row>
    <row r="39" spans="2:7" x14ac:dyDescent="0.25">
      <c r="B39" s="13"/>
      <c r="C39" s="13"/>
      <c r="D39" s="13"/>
      <c r="E39" s="13"/>
    </row>
    <row r="40" spans="2:7" x14ac:dyDescent="0.25">
      <c r="B40" s="13"/>
      <c r="C40" s="13"/>
      <c r="D40" s="13"/>
      <c r="E40" s="13"/>
    </row>
    <row r="41" spans="2:7" x14ac:dyDescent="0.25">
      <c r="B41" s="13"/>
      <c r="C41" s="13"/>
      <c r="D41" s="13"/>
      <c r="E41" s="13"/>
    </row>
    <row r="44" spans="2:7" x14ac:dyDescent="0.25">
      <c r="B44" s="42" t="s">
        <v>1</v>
      </c>
      <c r="C44" s="20"/>
      <c r="D44" s="164" t="s">
        <v>2</v>
      </c>
      <c r="E44" s="164"/>
      <c r="F44" s="152"/>
      <c r="G44" s="152"/>
    </row>
    <row r="45" spans="2:7" x14ac:dyDescent="0.25">
      <c r="B45" s="42" t="s">
        <v>3</v>
      </c>
      <c r="C45" s="43"/>
      <c r="D45" s="29" t="s">
        <v>4</v>
      </c>
      <c r="E45" s="41"/>
      <c r="F45" s="30" t="s">
        <v>198</v>
      </c>
      <c r="G45" s="13"/>
    </row>
    <row r="46" spans="2:7" x14ac:dyDescent="0.25">
      <c r="B46" s="163" t="s">
        <v>5</v>
      </c>
      <c r="C46" s="163"/>
      <c r="D46" s="163"/>
      <c r="E46" s="163"/>
      <c r="F46" s="163"/>
      <c r="G46" s="163"/>
    </row>
    <row r="47" spans="2:7" x14ac:dyDescent="0.25">
      <c r="B47" s="29" t="s">
        <v>6</v>
      </c>
      <c r="C47" s="163" t="s">
        <v>7</v>
      </c>
      <c r="D47" s="163"/>
      <c r="E47" s="29" t="s">
        <v>8</v>
      </c>
      <c r="F47" s="163" t="s">
        <v>9</v>
      </c>
      <c r="G47" s="163"/>
    </row>
    <row r="48" spans="2:7" ht="23.25" customHeight="1" x14ac:dyDescent="0.25">
      <c r="B48" s="5" t="s">
        <v>273</v>
      </c>
      <c r="C48" s="148" t="s">
        <v>250</v>
      </c>
      <c r="D48" s="149"/>
      <c r="E48" s="48" t="s">
        <v>109</v>
      </c>
      <c r="F48" s="170" t="s">
        <v>248</v>
      </c>
      <c r="G48" s="170"/>
    </row>
    <row r="49" spans="2:7" ht="26.25" customHeight="1" x14ac:dyDescent="0.25">
      <c r="B49" s="5" t="s">
        <v>273</v>
      </c>
      <c r="C49" s="148" t="s">
        <v>250</v>
      </c>
      <c r="D49" s="149"/>
      <c r="E49" s="48" t="s">
        <v>109</v>
      </c>
      <c r="F49" s="170" t="s">
        <v>249</v>
      </c>
      <c r="G49" s="170"/>
    </row>
    <row r="50" spans="2:7" x14ac:dyDescent="0.25">
      <c r="B50" s="5" t="s">
        <v>273</v>
      </c>
      <c r="C50" s="148" t="s">
        <v>20</v>
      </c>
      <c r="D50" s="149"/>
      <c r="E50" s="48" t="s">
        <v>109</v>
      </c>
      <c r="F50" s="147"/>
      <c r="G50" s="147"/>
    </row>
    <row r="51" spans="2:7" x14ac:dyDescent="0.25">
      <c r="B51" s="5" t="s">
        <v>273</v>
      </c>
      <c r="C51" s="148" t="s">
        <v>20</v>
      </c>
      <c r="D51" s="149"/>
      <c r="E51" s="48" t="s">
        <v>109</v>
      </c>
      <c r="F51" s="147"/>
      <c r="G51" s="147"/>
    </row>
    <row r="61" spans="2:7" ht="37.5" customHeight="1" x14ac:dyDescent="0.25">
      <c r="B61" s="5" t="s">
        <v>273</v>
      </c>
      <c r="C61" s="148" t="s">
        <v>250</v>
      </c>
      <c r="D61" s="149"/>
      <c r="E61" s="48" t="s">
        <v>109</v>
      </c>
      <c r="F61" s="170" t="s">
        <v>278</v>
      </c>
      <c r="G61" s="170"/>
    </row>
    <row r="62" spans="2:7" ht="37.5" customHeight="1" x14ac:dyDescent="0.25">
      <c r="B62" s="5" t="s">
        <v>273</v>
      </c>
      <c r="C62" s="148" t="s">
        <v>250</v>
      </c>
      <c r="D62" s="149"/>
      <c r="E62" s="48" t="s">
        <v>109</v>
      </c>
      <c r="F62" s="170" t="s">
        <v>277</v>
      </c>
      <c r="G62" s="170"/>
    </row>
    <row r="63" spans="2:7" ht="37.5" customHeight="1" x14ac:dyDescent="0.25">
      <c r="B63" s="5" t="s">
        <v>273</v>
      </c>
      <c r="C63" s="148" t="s">
        <v>280</v>
      </c>
      <c r="D63" s="149"/>
      <c r="E63" s="48" t="s">
        <v>109</v>
      </c>
      <c r="F63" s="170" t="s">
        <v>279</v>
      </c>
      <c r="G63" s="170"/>
    </row>
    <row r="64" spans="2:7" ht="45" customHeight="1" x14ac:dyDescent="0.25">
      <c r="B64" s="5" t="s">
        <v>276</v>
      </c>
      <c r="C64" s="148" t="s">
        <v>201</v>
      </c>
      <c r="D64" s="149"/>
      <c r="E64" s="48" t="s">
        <v>109</v>
      </c>
      <c r="F64" s="147" t="s">
        <v>281</v>
      </c>
      <c r="G64" s="147"/>
    </row>
    <row r="65" spans="2:7" ht="44.25" customHeight="1" x14ac:dyDescent="0.25">
      <c r="B65" s="5" t="s">
        <v>274</v>
      </c>
      <c r="C65" s="148" t="s">
        <v>201</v>
      </c>
      <c r="D65" s="149"/>
      <c r="E65" s="48" t="s">
        <v>109</v>
      </c>
      <c r="F65" s="147" t="s">
        <v>282</v>
      </c>
      <c r="G65" s="147"/>
    </row>
    <row r="66" spans="2:7" ht="44.25" customHeight="1" x14ac:dyDescent="0.25">
      <c r="B66" s="5" t="s">
        <v>275</v>
      </c>
      <c r="C66" s="148" t="s">
        <v>201</v>
      </c>
      <c r="D66" s="149"/>
      <c r="E66" s="48" t="s">
        <v>109</v>
      </c>
      <c r="F66" s="147" t="s">
        <v>283</v>
      </c>
      <c r="G66" s="147"/>
    </row>
    <row r="67" spans="2:7" ht="24.75" customHeight="1" x14ac:dyDescent="0.25">
      <c r="B67" s="5" t="s">
        <v>284</v>
      </c>
      <c r="C67" s="148" t="s">
        <v>229</v>
      </c>
      <c r="D67" s="149"/>
      <c r="E67" s="48" t="s">
        <v>109</v>
      </c>
      <c r="F67" s="147" t="s">
        <v>285</v>
      </c>
      <c r="G67" s="147"/>
    </row>
    <row r="68" spans="2:7" ht="25.5" x14ac:dyDescent="0.25">
      <c r="B68" s="5" t="s">
        <v>286</v>
      </c>
      <c r="C68" s="148" t="s">
        <v>201</v>
      </c>
      <c r="D68" s="149"/>
      <c r="E68" s="48" t="s">
        <v>109</v>
      </c>
      <c r="F68" s="147" t="s">
        <v>287</v>
      </c>
      <c r="G68" s="147"/>
    </row>
  </sheetData>
  <mergeCells count="43">
    <mergeCell ref="B15:E15"/>
    <mergeCell ref="C7:D7"/>
    <mergeCell ref="F7:G7"/>
    <mergeCell ref="D3:E3"/>
    <mergeCell ref="F3:G3"/>
    <mergeCell ref="B5:G5"/>
    <mergeCell ref="C6:D6"/>
    <mergeCell ref="F6:G6"/>
    <mergeCell ref="C10:D10"/>
    <mergeCell ref="F10:G10"/>
    <mergeCell ref="C8:D8"/>
    <mergeCell ref="F8:G8"/>
    <mergeCell ref="C9:D9"/>
    <mergeCell ref="F9:G9"/>
    <mergeCell ref="D44:E44"/>
    <mergeCell ref="F44:G44"/>
    <mergeCell ref="B46:G46"/>
    <mergeCell ref="C47:D47"/>
    <mergeCell ref="F47:G47"/>
    <mergeCell ref="C50:D50"/>
    <mergeCell ref="F50:G50"/>
    <mergeCell ref="C51:D51"/>
    <mergeCell ref="F51:G51"/>
    <mergeCell ref="C48:D48"/>
    <mergeCell ref="F48:G48"/>
    <mergeCell ref="C49:D49"/>
    <mergeCell ref="F49:G49"/>
    <mergeCell ref="C61:D61"/>
    <mergeCell ref="F61:G61"/>
    <mergeCell ref="C62:D62"/>
    <mergeCell ref="F62:G62"/>
    <mergeCell ref="C63:D63"/>
    <mergeCell ref="F63:G63"/>
    <mergeCell ref="C67:D67"/>
    <mergeCell ref="F67:G67"/>
    <mergeCell ref="C68:D68"/>
    <mergeCell ref="F68:G68"/>
    <mergeCell ref="C64:D64"/>
    <mergeCell ref="F64:G64"/>
    <mergeCell ref="C65:D65"/>
    <mergeCell ref="F65:G65"/>
    <mergeCell ref="C66:D66"/>
    <mergeCell ref="F66:G66"/>
  </mergeCells>
  <pageMargins left="0.7" right="0.7" top="0.75" bottom="0.75" header="0.3" footer="0.3"/>
  <pageSetup paperSize="9" orientation="portrait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9B9A-8E83-44B8-A4C4-54EB6A58E0F0}">
  <dimension ref="B3:G24"/>
  <sheetViews>
    <sheetView topLeftCell="A10" workbookViewId="0">
      <selection activeCell="L9" sqref="L9"/>
    </sheetView>
  </sheetViews>
  <sheetFormatPr baseColWidth="10" defaultRowHeight="15" x14ac:dyDescent="0.25"/>
  <cols>
    <col min="2" max="2" width="24.85546875" customWidth="1"/>
    <col min="3" max="3" width="19.5703125" customWidth="1"/>
    <col min="4" max="4" width="18.5703125" customWidth="1"/>
    <col min="5" max="5" width="19.85546875" customWidth="1"/>
    <col min="6" max="6" width="13.5703125" customWidth="1"/>
  </cols>
  <sheetData>
    <row r="3" spans="2:7" x14ac:dyDescent="0.25">
      <c r="B3" s="29" t="s">
        <v>1</v>
      </c>
      <c r="C3" s="20">
        <v>45797</v>
      </c>
      <c r="D3" s="164" t="s">
        <v>2</v>
      </c>
      <c r="E3" s="164"/>
      <c r="F3" s="152">
        <v>0.33333333333333331</v>
      </c>
      <c r="G3" s="152"/>
    </row>
    <row r="4" spans="2:7" ht="15" customHeight="1" x14ac:dyDescent="0.25">
      <c r="B4" s="29" t="s">
        <v>3</v>
      </c>
      <c r="C4" s="21" t="s">
        <v>268</v>
      </c>
      <c r="D4" s="29" t="s">
        <v>4</v>
      </c>
      <c r="E4" s="22" t="s">
        <v>265</v>
      </c>
      <c r="F4" s="23" t="s">
        <v>86</v>
      </c>
      <c r="G4" s="37">
        <v>44</v>
      </c>
    </row>
    <row r="5" spans="2:7" x14ac:dyDescent="0.25">
      <c r="B5" s="178" t="s">
        <v>5</v>
      </c>
      <c r="C5" s="179"/>
      <c r="D5" s="179"/>
      <c r="E5" s="179"/>
      <c r="F5" s="179"/>
      <c r="G5" s="180"/>
    </row>
    <row r="6" spans="2:7" x14ac:dyDescent="0.25">
      <c r="B6" s="29" t="s">
        <v>6</v>
      </c>
      <c r="C6" s="163" t="s">
        <v>7</v>
      </c>
      <c r="D6" s="163"/>
      <c r="E6" s="29" t="s">
        <v>8</v>
      </c>
      <c r="F6" s="163" t="s">
        <v>9</v>
      </c>
      <c r="G6" s="163"/>
    </row>
    <row r="7" spans="2:7" ht="26.25" x14ac:dyDescent="0.25">
      <c r="B7" s="24" t="s">
        <v>39</v>
      </c>
      <c r="C7" s="167" t="s">
        <v>137</v>
      </c>
      <c r="D7" s="167"/>
      <c r="E7" s="25">
        <v>8500</v>
      </c>
      <c r="F7" s="170" t="s">
        <v>40</v>
      </c>
      <c r="G7" s="170"/>
    </row>
    <row r="8" spans="2:7" ht="15" customHeight="1" x14ac:dyDescent="0.25">
      <c r="B8" s="7" t="s">
        <v>200</v>
      </c>
      <c r="C8" s="142" t="s">
        <v>266</v>
      </c>
      <c r="D8" s="142"/>
      <c r="E8" s="25">
        <v>6500</v>
      </c>
      <c r="F8" s="143" t="s">
        <v>10</v>
      </c>
      <c r="G8" s="144"/>
    </row>
    <row r="11" spans="2:7" x14ac:dyDescent="0.25">
      <c r="B11" s="28" t="s">
        <v>1</v>
      </c>
      <c r="C11" s="3"/>
      <c r="D11" s="182" t="s">
        <v>2</v>
      </c>
      <c r="E11" s="182"/>
      <c r="F11" s="181"/>
      <c r="G11" s="181"/>
    </row>
    <row r="12" spans="2:7" x14ac:dyDescent="0.25">
      <c r="B12" s="28" t="s">
        <v>3</v>
      </c>
      <c r="C12" s="17"/>
      <c r="D12" s="28" t="s">
        <v>4</v>
      </c>
      <c r="E12" s="8"/>
      <c r="F12" s="27" t="s">
        <v>87</v>
      </c>
      <c r="G12" s="26"/>
    </row>
    <row r="13" spans="2:7" x14ac:dyDescent="0.25">
      <c r="B13" s="171" t="s">
        <v>5</v>
      </c>
      <c r="C13" s="171"/>
      <c r="D13" s="171"/>
      <c r="E13" s="171"/>
      <c r="F13" s="171"/>
      <c r="G13" s="171"/>
    </row>
    <row r="14" spans="2:7" x14ac:dyDescent="0.25">
      <c r="B14" s="18" t="s">
        <v>6</v>
      </c>
      <c r="C14" s="171" t="s">
        <v>7</v>
      </c>
      <c r="D14" s="171"/>
      <c r="E14" s="28" t="s">
        <v>8</v>
      </c>
      <c r="F14" s="171" t="s">
        <v>9</v>
      </c>
      <c r="G14" s="171"/>
    </row>
    <row r="15" spans="2:7" ht="25.5" x14ac:dyDescent="0.25">
      <c r="B15" s="5" t="s">
        <v>84</v>
      </c>
      <c r="C15" s="174" t="s">
        <v>85</v>
      </c>
      <c r="D15" s="174"/>
      <c r="E15" s="6">
        <v>17000</v>
      </c>
      <c r="F15" s="174" t="s">
        <v>10</v>
      </c>
      <c r="G15" s="174"/>
    </row>
    <row r="19" spans="2:7" x14ac:dyDescent="0.25">
      <c r="B19" s="33" t="s">
        <v>11</v>
      </c>
      <c r="C19" s="16">
        <v>45525</v>
      </c>
      <c r="D19" s="27" t="s">
        <v>2</v>
      </c>
      <c r="E19" s="177">
        <v>0.72916666666666663</v>
      </c>
      <c r="F19" s="177"/>
      <c r="G19" s="177"/>
    </row>
    <row r="20" spans="2:7" x14ac:dyDescent="0.25">
      <c r="B20" s="33" t="s">
        <v>3</v>
      </c>
      <c r="C20" s="14" t="s">
        <v>102</v>
      </c>
      <c r="D20" s="33" t="s">
        <v>12</v>
      </c>
      <c r="E20" s="32" t="s">
        <v>93</v>
      </c>
      <c r="F20" s="34" t="s">
        <v>88</v>
      </c>
      <c r="G20" s="32">
        <v>27</v>
      </c>
    </row>
    <row r="21" spans="2:7" x14ac:dyDescent="0.25">
      <c r="B21" s="175" t="s">
        <v>5</v>
      </c>
      <c r="C21" s="175"/>
      <c r="D21" s="175"/>
      <c r="E21" s="175"/>
      <c r="F21" s="175"/>
      <c r="G21" s="175"/>
    </row>
    <row r="22" spans="2:7" x14ac:dyDescent="0.25">
      <c r="B22" s="31" t="s">
        <v>6</v>
      </c>
      <c r="C22" s="175" t="s">
        <v>7</v>
      </c>
      <c r="D22" s="175"/>
      <c r="E22" s="31" t="s">
        <v>21</v>
      </c>
      <c r="F22" s="171" t="s">
        <v>9</v>
      </c>
      <c r="G22" s="171"/>
    </row>
    <row r="23" spans="2:7" ht="25.5" x14ac:dyDescent="0.25">
      <c r="B23" s="7" t="s">
        <v>31</v>
      </c>
      <c r="C23" s="176" t="s">
        <v>104</v>
      </c>
      <c r="D23" s="176"/>
      <c r="E23" s="44" t="s">
        <v>106</v>
      </c>
      <c r="F23" s="172" t="s">
        <v>105</v>
      </c>
      <c r="G23" s="173"/>
    </row>
    <row r="24" spans="2:7" ht="25.5" x14ac:dyDescent="0.25">
      <c r="B24" s="7" t="s">
        <v>32</v>
      </c>
      <c r="C24" s="158" t="s">
        <v>33</v>
      </c>
      <c r="D24" s="158"/>
      <c r="E24" s="35"/>
      <c r="F24" s="172" t="s">
        <v>34</v>
      </c>
      <c r="G24" s="173"/>
    </row>
  </sheetData>
  <mergeCells count="24">
    <mergeCell ref="C14:D14"/>
    <mergeCell ref="C15:D15"/>
    <mergeCell ref="F3:G3"/>
    <mergeCell ref="F6:G6"/>
    <mergeCell ref="F7:G7"/>
    <mergeCell ref="B5:G5"/>
    <mergeCell ref="F11:G11"/>
    <mergeCell ref="B13:G13"/>
    <mergeCell ref="F14:G14"/>
    <mergeCell ref="C7:D7"/>
    <mergeCell ref="C6:D6"/>
    <mergeCell ref="D3:E3"/>
    <mergeCell ref="D11:E11"/>
    <mergeCell ref="C8:D8"/>
    <mergeCell ref="F8:G8"/>
    <mergeCell ref="F22:G22"/>
    <mergeCell ref="F23:G23"/>
    <mergeCell ref="F24:G24"/>
    <mergeCell ref="F15:G15"/>
    <mergeCell ref="C22:D22"/>
    <mergeCell ref="C23:D23"/>
    <mergeCell ref="C24:D24"/>
    <mergeCell ref="E19:G19"/>
    <mergeCell ref="B21:G21"/>
  </mergeCells>
  <pageMargins left="0.7" right="0.7" top="0.75" bottom="0.75" header="0.3" footer="0.3"/>
  <pageSetup orientation="portrait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ED8A-8F70-407F-8BBD-2258A7CA276A}">
  <dimension ref="A1:I47"/>
  <sheetViews>
    <sheetView topLeftCell="A21" workbookViewId="0">
      <selection activeCell="E11" sqref="E11:F11"/>
    </sheetView>
  </sheetViews>
  <sheetFormatPr baseColWidth="10" defaultRowHeight="15" x14ac:dyDescent="0.25"/>
  <cols>
    <col min="1" max="1" width="30.42578125" customWidth="1"/>
    <col min="2" max="2" width="20.42578125" customWidth="1"/>
    <col min="3" max="3" width="11.7109375" customWidth="1"/>
    <col min="4" max="4" width="17.28515625" customWidth="1"/>
    <col min="5" max="5" width="9.42578125" customWidth="1"/>
    <col min="6" max="6" width="21.42578125" customWidth="1"/>
  </cols>
  <sheetData>
    <row r="1" spans="1:9" ht="18" customHeight="1" x14ac:dyDescent="0.25">
      <c r="A1" s="28" t="s">
        <v>1</v>
      </c>
      <c r="B1" s="3">
        <v>45924</v>
      </c>
      <c r="C1" s="182" t="s">
        <v>2</v>
      </c>
      <c r="D1" s="182"/>
      <c r="E1" s="185">
        <v>0.16666666666666666</v>
      </c>
      <c r="F1" s="185"/>
    </row>
    <row r="2" spans="1:9" ht="17.25" customHeight="1" x14ac:dyDescent="0.25">
      <c r="A2" s="28" t="s">
        <v>3</v>
      </c>
      <c r="B2" s="46" t="s">
        <v>246</v>
      </c>
      <c r="C2" s="28" t="s">
        <v>4</v>
      </c>
      <c r="D2" s="4" t="s">
        <v>93</v>
      </c>
      <c r="E2" s="28" t="s">
        <v>89</v>
      </c>
      <c r="F2" s="13">
        <v>61</v>
      </c>
    </row>
    <row r="3" spans="1:9" x14ac:dyDescent="0.25">
      <c r="A3" s="171" t="s">
        <v>5</v>
      </c>
      <c r="B3" s="171"/>
      <c r="C3" s="171"/>
      <c r="D3" s="171"/>
      <c r="E3" s="171"/>
      <c r="F3" s="171"/>
    </row>
    <row r="4" spans="1:9" x14ac:dyDescent="0.25">
      <c r="A4" s="18" t="s">
        <v>6</v>
      </c>
      <c r="B4" s="171" t="s">
        <v>7</v>
      </c>
      <c r="C4" s="171"/>
      <c r="D4" s="28" t="s">
        <v>8</v>
      </c>
      <c r="E4" s="171" t="s">
        <v>9</v>
      </c>
      <c r="F4" s="171"/>
    </row>
    <row r="5" spans="1:9" ht="38.25" x14ac:dyDescent="0.25">
      <c r="A5" s="5" t="s">
        <v>138</v>
      </c>
      <c r="B5" s="148" t="s">
        <v>374</v>
      </c>
      <c r="C5" s="149"/>
      <c r="D5" s="48">
        <v>8300</v>
      </c>
      <c r="E5" s="147" t="s">
        <v>10</v>
      </c>
      <c r="F5" s="147"/>
    </row>
    <row r="6" spans="1:9" ht="38.25" x14ac:dyDescent="0.25">
      <c r="A6" s="5" t="s">
        <v>138</v>
      </c>
      <c r="B6" s="148" t="s">
        <v>375</v>
      </c>
      <c r="C6" s="149"/>
      <c r="D6" s="48">
        <v>6300</v>
      </c>
      <c r="E6" s="147" t="s">
        <v>10</v>
      </c>
      <c r="F6" s="147"/>
    </row>
    <row r="7" spans="1:9" x14ac:dyDescent="0.25">
      <c r="A7" s="7" t="s">
        <v>270</v>
      </c>
      <c r="B7" s="148" t="s">
        <v>103</v>
      </c>
      <c r="C7" s="149"/>
      <c r="D7" s="6" t="s">
        <v>19</v>
      </c>
      <c r="E7" s="125" t="s">
        <v>10</v>
      </c>
      <c r="F7" s="126"/>
    </row>
    <row r="8" spans="1:9" x14ac:dyDescent="0.25">
      <c r="A8" s="5" t="s">
        <v>254</v>
      </c>
      <c r="B8" s="148" t="s">
        <v>342</v>
      </c>
      <c r="C8" s="149"/>
      <c r="D8" s="6" t="s">
        <v>19</v>
      </c>
      <c r="E8" s="148" t="s">
        <v>10</v>
      </c>
      <c r="F8" s="149"/>
    </row>
    <row r="9" spans="1:9" ht="28.5" customHeight="1" x14ac:dyDescent="0.25">
      <c r="A9" s="10" t="s">
        <v>321</v>
      </c>
      <c r="B9" s="142" t="s">
        <v>239</v>
      </c>
      <c r="C9" s="142"/>
      <c r="D9" s="25" t="s">
        <v>0</v>
      </c>
      <c r="E9" s="143" t="s">
        <v>237</v>
      </c>
      <c r="F9" s="144"/>
      <c r="I9" s="39"/>
    </row>
    <row r="10" spans="1:9" ht="30" customHeight="1" x14ac:dyDescent="0.25">
      <c r="A10" s="10" t="s">
        <v>343</v>
      </c>
      <c r="B10" s="142" t="s">
        <v>178</v>
      </c>
      <c r="C10" s="142"/>
      <c r="D10" s="25" t="s">
        <v>0</v>
      </c>
      <c r="E10" s="143" t="s">
        <v>262</v>
      </c>
      <c r="F10" s="144"/>
      <c r="I10" s="39"/>
    </row>
    <row r="11" spans="1:9" ht="33" customHeight="1" x14ac:dyDescent="0.25">
      <c r="A11" s="10" t="s">
        <v>344</v>
      </c>
      <c r="B11" s="142" t="s">
        <v>205</v>
      </c>
      <c r="C11" s="142"/>
      <c r="D11" s="25" t="s">
        <v>0</v>
      </c>
      <c r="E11" s="143" t="s">
        <v>262</v>
      </c>
      <c r="F11" s="144"/>
      <c r="I11" s="39"/>
    </row>
    <row r="12" spans="1:9" ht="32.25" customHeight="1" x14ac:dyDescent="0.25">
      <c r="A12" s="183" t="s">
        <v>345</v>
      </c>
      <c r="B12" s="184"/>
      <c r="C12" s="184"/>
      <c r="D12" s="184"/>
      <c r="E12" s="184"/>
      <c r="F12" s="184"/>
      <c r="I12" s="39"/>
    </row>
    <row r="13" spans="1:9" ht="15" customHeight="1" x14ac:dyDescent="0.25">
      <c r="I13" s="39"/>
    </row>
    <row r="14" spans="1:9" ht="15" customHeight="1" x14ac:dyDescent="0.25">
      <c r="I14" s="39"/>
    </row>
    <row r="15" spans="1:9" s="47" customFormat="1" ht="15" customHeight="1" x14ac:dyDescent="0.25"/>
    <row r="16" spans="1:9" ht="41.25" customHeight="1" x14ac:dyDescent="0.25">
      <c r="A16" s="5" t="s">
        <v>35</v>
      </c>
      <c r="B16" s="174" t="s">
        <v>90</v>
      </c>
      <c r="C16" s="174"/>
      <c r="D16" s="6">
        <v>11000</v>
      </c>
      <c r="E16" s="147" t="s">
        <v>28</v>
      </c>
      <c r="F16" s="147"/>
    </row>
    <row r="17" spans="1:9" ht="38.25" x14ac:dyDescent="0.25">
      <c r="A17" s="5" t="s">
        <v>35</v>
      </c>
      <c r="B17" s="174" t="s">
        <v>36</v>
      </c>
      <c r="C17" s="174"/>
      <c r="D17" s="6">
        <v>6000</v>
      </c>
      <c r="E17" s="174" t="s">
        <v>10</v>
      </c>
      <c r="F17" s="174"/>
    </row>
    <row r="18" spans="1:9" ht="38.25" x14ac:dyDescent="0.25">
      <c r="A18" s="5" t="s">
        <v>35</v>
      </c>
      <c r="B18" s="174" t="s">
        <v>37</v>
      </c>
      <c r="C18" s="174"/>
      <c r="D18" s="6">
        <v>3000</v>
      </c>
      <c r="E18" s="174" t="s">
        <v>10</v>
      </c>
      <c r="F18" s="174"/>
    </row>
    <row r="19" spans="1:9" ht="38.25" x14ac:dyDescent="0.25">
      <c r="A19" s="5" t="s">
        <v>35</v>
      </c>
      <c r="B19" s="174" t="s">
        <v>97</v>
      </c>
      <c r="C19" s="174"/>
      <c r="D19" s="6">
        <v>2500</v>
      </c>
      <c r="E19" s="174" t="s">
        <v>10</v>
      </c>
      <c r="F19" s="174"/>
    </row>
    <row r="20" spans="1:9" ht="38.25" x14ac:dyDescent="0.25">
      <c r="A20" s="5" t="s">
        <v>35</v>
      </c>
      <c r="B20" s="174" t="s">
        <v>316</v>
      </c>
      <c r="C20" s="174"/>
      <c r="D20" s="6">
        <v>11000</v>
      </c>
      <c r="E20" s="147" t="s">
        <v>28</v>
      </c>
      <c r="F20" s="147"/>
    </row>
    <row r="21" spans="1:9" x14ac:dyDescent="0.25">
      <c r="A21" s="7" t="s">
        <v>99</v>
      </c>
      <c r="B21" s="148" t="s">
        <v>101</v>
      </c>
      <c r="C21" s="149"/>
      <c r="D21" s="6">
        <v>3000</v>
      </c>
      <c r="E21" s="125" t="s">
        <v>100</v>
      </c>
      <c r="F21" s="126"/>
    </row>
    <row r="22" spans="1:9" x14ac:dyDescent="0.25">
      <c r="A22" s="7" t="s">
        <v>107</v>
      </c>
      <c r="B22" s="174" t="s">
        <v>108</v>
      </c>
      <c r="C22" s="174"/>
      <c r="D22" s="6">
        <v>2300</v>
      </c>
      <c r="E22" s="174" t="s">
        <v>92</v>
      </c>
      <c r="F22" s="174"/>
    </row>
    <row r="23" spans="1:9" x14ac:dyDescent="0.25">
      <c r="A23" s="7" t="s">
        <v>113</v>
      </c>
      <c r="B23" s="148" t="s">
        <v>142</v>
      </c>
      <c r="C23" s="149"/>
      <c r="D23" s="6">
        <v>2300</v>
      </c>
      <c r="E23" s="125" t="s">
        <v>114</v>
      </c>
      <c r="F23" s="126"/>
    </row>
    <row r="24" spans="1:9" ht="28.5" customHeight="1" x14ac:dyDescent="0.25">
      <c r="A24" s="5" t="s">
        <v>27</v>
      </c>
      <c r="B24" s="148" t="s">
        <v>103</v>
      </c>
      <c r="C24" s="149"/>
      <c r="D24" s="6" t="s">
        <v>19</v>
      </c>
      <c r="E24" s="148" t="s">
        <v>28</v>
      </c>
      <c r="F24" s="149"/>
      <c r="I24" s="39"/>
    </row>
    <row r="25" spans="1:9" x14ac:dyDescent="0.25">
      <c r="A25" s="5" t="s">
        <v>139</v>
      </c>
      <c r="B25" s="148" t="s">
        <v>244</v>
      </c>
      <c r="C25" s="149"/>
      <c r="D25" s="6" t="s">
        <v>19</v>
      </c>
      <c r="E25" s="148" t="s">
        <v>28</v>
      </c>
      <c r="F25" s="149"/>
    </row>
    <row r="26" spans="1:9" x14ac:dyDescent="0.25">
      <c r="A26" s="5" t="s">
        <v>139</v>
      </c>
      <c r="B26" s="148" t="s">
        <v>247</v>
      </c>
      <c r="C26" s="149"/>
      <c r="D26" s="6" t="s">
        <v>19</v>
      </c>
      <c r="E26" s="148" t="s">
        <v>28</v>
      </c>
      <c r="F26" s="149"/>
    </row>
    <row r="27" spans="1:9" ht="15" customHeight="1" x14ac:dyDescent="0.25">
      <c r="A27" s="5" t="s">
        <v>254</v>
      </c>
      <c r="B27" s="148" t="s">
        <v>253</v>
      </c>
      <c r="C27" s="149"/>
      <c r="D27" s="6" t="s">
        <v>19</v>
      </c>
      <c r="E27" s="148" t="s">
        <v>10</v>
      </c>
      <c r="F27" s="149"/>
      <c r="I27" s="39"/>
    </row>
    <row r="28" spans="1:9" ht="19.5" customHeight="1" x14ac:dyDescent="0.25">
      <c r="A28" s="5" t="s">
        <v>136</v>
      </c>
      <c r="B28" s="148" t="s">
        <v>103</v>
      </c>
      <c r="C28" s="149"/>
      <c r="D28" s="6" t="s">
        <v>19</v>
      </c>
      <c r="E28" s="148" t="s">
        <v>28</v>
      </c>
      <c r="F28" s="149"/>
      <c r="I28" s="39"/>
    </row>
    <row r="29" spans="1:9" ht="38.25" x14ac:dyDescent="0.25">
      <c r="A29" s="5" t="s">
        <v>257</v>
      </c>
      <c r="B29" s="148" t="s">
        <v>253</v>
      </c>
      <c r="C29" s="149"/>
      <c r="D29" s="48">
        <v>3000</v>
      </c>
      <c r="E29" s="147" t="s">
        <v>10</v>
      </c>
      <c r="F29" s="147"/>
    </row>
    <row r="30" spans="1:9" ht="38.25" x14ac:dyDescent="0.25">
      <c r="A30" s="5" t="s">
        <v>257</v>
      </c>
      <c r="B30" s="148" t="s">
        <v>256</v>
      </c>
      <c r="C30" s="149"/>
      <c r="D30" s="48" t="s">
        <v>0</v>
      </c>
      <c r="E30" s="147" t="s">
        <v>0</v>
      </c>
      <c r="F30" s="147"/>
    </row>
    <row r="31" spans="1:9" x14ac:dyDescent="0.25">
      <c r="A31" s="5" t="s">
        <v>136</v>
      </c>
      <c r="B31" s="148" t="s">
        <v>202</v>
      </c>
      <c r="C31" s="149"/>
      <c r="D31" s="6" t="s">
        <v>19</v>
      </c>
      <c r="E31" s="148" t="s">
        <v>28</v>
      </c>
      <c r="F31" s="149"/>
    </row>
    <row r="32" spans="1:9" x14ac:dyDescent="0.25">
      <c r="A32" s="5" t="s">
        <v>254</v>
      </c>
      <c r="B32" s="148" t="s">
        <v>253</v>
      </c>
      <c r="C32" s="149"/>
      <c r="D32" s="6" t="s">
        <v>19</v>
      </c>
      <c r="E32" s="148" t="s">
        <v>28</v>
      </c>
      <c r="F32" s="149"/>
    </row>
    <row r="33" spans="1:9" ht="48.75" customHeight="1" x14ac:dyDescent="0.25">
      <c r="A33" s="5" t="s">
        <v>275</v>
      </c>
      <c r="B33" s="148" t="s">
        <v>201</v>
      </c>
      <c r="C33" s="149"/>
      <c r="D33" s="48" t="s">
        <v>109</v>
      </c>
      <c r="E33" s="168" t="s">
        <v>283</v>
      </c>
      <c r="F33" s="169"/>
      <c r="I33" s="39"/>
    </row>
    <row r="36" spans="1:9" x14ac:dyDescent="0.25">
      <c r="A36" s="28" t="s">
        <v>1</v>
      </c>
      <c r="B36" s="3">
        <v>45867</v>
      </c>
      <c r="C36" s="182" t="s">
        <v>2</v>
      </c>
      <c r="D36" s="182"/>
      <c r="E36" s="185">
        <v>0.16666666666666666</v>
      </c>
      <c r="F36" s="185"/>
    </row>
    <row r="37" spans="1:9" x14ac:dyDescent="0.25">
      <c r="A37" s="28" t="s">
        <v>3</v>
      </c>
      <c r="B37" s="46" t="s">
        <v>246</v>
      </c>
      <c r="C37" s="28" t="s">
        <v>4</v>
      </c>
      <c r="D37" s="4" t="s">
        <v>93</v>
      </c>
      <c r="E37" s="28" t="s">
        <v>89</v>
      </c>
      <c r="F37" s="13">
        <v>61</v>
      </c>
    </row>
    <row r="38" spans="1:9" x14ac:dyDescent="0.25">
      <c r="A38" s="171" t="s">
        <v>5</v>
      </c>
      <c r="B38" s="171"/>
      <c r="C38" s="171"/>
      <c r="D38" s="171"/>
      <c r="E38" s="171"/>
      <c r="F38" s="171"/>
    </row>
    <row r="39" spans="1:9" x14ac:dyDescent="0.25">
      <c r="A39" s="18" t="s">
        <v>6</v>
      </c>
      <c r="B39" s="171" t="s">
        <v>7</v>
      </c>
      <c r="C39" s="171"/>
      <c r="D39" s="28" t="s">
        <v>8</v>
      </c>
      <c r="E39" s="171" t="s">
        <v>9</v>
      </c>
      <c r="F39" s="171"/>
    </row>
    <row r="40" spans="1:9" x14ac:dyDescent="0.25">
      <c r="A40" s="5" t="s">
        <v>27</v>
      </c>
      <c r="B40" s="148" t="s">
        <v>103</v>
      </c>
      <c r="C40" s="149"/>
      <c r="D40" s="6" t="s">
        <v>19</v>
      </c>
      <c r="E40" s="148" t="s">
        <v>28</v>
      </c>
      <c r="F40" s="149"/>
    </row>
    <row r="41" spans="1:9" x14ac:dyDescent="0.25">
      <c r="A41" s="5" t="s">
        <v>139</v>
      </c>
      <c r="B41" s="148" t="s">
        <v>338</v>
      </c>
      <c r="C41" s="149"/>
      <c r="D41" s="6" t="s">
        <v>19</v>
      </c>
      <c r="E41" s="148" t="s">
        <v>28</v>
      </c>
      <c r="F41" s="149"/>
    </row>
    <row r="42" spans="1:9" x14ac:dyDescent="0.25">
      <c r="A42" s="7" t="s">
        <v>113</v>
      </c>
      <c r="B42" s="148" t="s">
        <v>337</v>
      </c>
      <c r="C42" s="149"/>
      <c r="D42" s="6">
        <v>3400</v>
      </c>
      <c r="E42" s="125" t="s">
        <v>114</v>
      </c>
      <c r="F42" s="126"/>
    </row>
    <row r="43" spans="1:9" ht="25.5" x14ac:dyDescent="0.25">
      <c r="A43" s="10" t="s">
        <v>237</v>
      </c>
      <c r="B43" s="142" t="s">
        <v>191</v>
      </c>
      <c r="C43" s="142"/>
      <c r="D43" s="25" t="s">
        <v>0</v>
      </c>
      <c r="E43" s="143" t="s">
        <v>237</v>
      </c>
      <c r="F43" s="144"/>
    </row>
    <row r="44" spans="1:9" ht="25.5" x14ac:dyDescent="0.25">
      <c r="A44" s="10" t="s">
        <v>262</v>
      </c>
      <c r="B44" s="142" t="s">
        <v>263</v>
      </c>
      <c r="C44" s="142"/>
      <c r="D44" s="25" t="s">
        <v>0</v>
      </c>
      <c r="E44" s="143" t="s">
        <v>262</v>
      </c>
      <c r="F44" s="144"/>
    </row>
    <row r="45" spans="1:9" ht="25.5" x14ac:dyDescent="0.25">
      <c r="A45" s="10" t="s">
        <v>339</v>
      </c>
      <c r="B45" s="142" t="s">
        <v>239</v>
      </c>
      <c r="C45" s="142"/>
      <c r="D45" s="25" t="s">
        <v>0</v>
      </c>
      <c r="E45" s="143" t="s">
        <v>339</v>
      </c>
      <c r="F45" s="144"/>
    </row>
    <row r="46" spans="1:9" ht="25.5" x14ac:dyDescent="0.25">
      <c r="A46" s="10" t="s">
        <v>238</v>
      </c>
      <c r="B46" s="142" t="s">
        <v>144</v>
      </c>
      <c r="C46" s="142"/>
      <c r="D46" s="25" t="s">
        <v>0</v>
      </c>
      <c r="E46" s="143" t="s">
        <v>238</v>
      </c>
      <c r="F46" s="144"/>
    </row>
    <row r="47" spans="1:9" ht="30" customHeight="1" x14ac:dyDescent="0.25">
      <c r="A47" s="10" t="s">
        <v>264</v>
      </c>
      <c r="B47" s="142" t="s">
        <v>250</v>
      </c>
      <c r="C47" s="142"/>
      <c r="D47" s="25" t="s">
        <v>0</v>
      </c>
      <c r="E47" s="143" t="s">
        <v>264</v>
      </c>
      <c r="F47" s="144"/>
    </row>
  </sheetData>
  <mergeCells count="77">
    <mergeCell ref="B25:C25"/>
    <mergeCell ref="E25:F25"/>
    <mergeCell ref="B26:C26"/>
    <mergeCell ref="E26:F26"/>
    <mergeCell ref="B27:C27"/>
    <mergeCell ref="E27:F27"/>
    <mergeCell ref="C36:D36"/>
    <mergeCell ref="E36:F36"/>
    <mergeCell ref="A38:F38"/>
    <mergeCell ref="B39:C39"/>
    <mergeCell ref="E39:F39"/>
    <mergeCell ref="B46:C46"/>
    <mergeCell ref="E46:F46"/>
    <mergeCell ref="B47:C47"/>
    <mergeCell ref="E47:F47"/>
    <mergeCell ref="B40:C40"/>
    <mergeCell ref="E40:F40"/>
    <mergeCell ref="B43:C43"/>
    <mergeCell ref="E43:F43"/>
    <mergeCell ref="B44:C44"/>
    <mergeCell ref="E44:F44"/>
    <mergeCell ref="B41:C41"/>
    <mergeCell ref="E41:F41"/>
    <mergeCell ref="B42:C42"/>
    <mergeCell ref="E42:F42"/>
    <mergeCell ref="B45:C45"/>
    <mergeCell ref="E45:F45"/>
    <mergeCell ref="B32:C32"/>
    <mergeCell ref="E32:F32"/>
    <mergeCell ref="B29:C29"/>
    <mergeCell ref="E29:F29"/>
    <mergeCell ref="B30:C30"/>
    <mergeCell ref="E30:F30"/>
    <mergeCell ref="B31:C31"/>
    <mergeCell ref="E31:F31"/>
    <mergeCell ref="C1:D1"/>
    <mergeCell ref="B4:C4"/>
    <mergeCell ref="E1:F1"/>
    <mergeCell ref="A3:F3"/>
    <mergeCell ref="B5:C5"/>
    <mergeCell ref="E5:F5"/>
    <mergeCell ref="E19:F19"/>
    <mergeCell ref="E4:F4"/>
    <mergeCell ref="B6:C6"/>
    <mergeCell ref="E6:F6"/>
    <mergeCell ref="B19:C19"/>
    <mergeCell ref="B7:C7"/>
    <mergeCell ref="E7:F7"/>
    <mergeCell ref="E16:F16"/>
    <mergeCell ref="E10:F10"/>
    <mergeCell ref="B11:C11"/>
    <mergeCell ref="E11:F11"/>
    <mergeCell ref="A12:F12"/>
    <mergeCell ref="B33:C33"/>
    <mergeCell ref="E33:F33"/>
    <mergeCell ref="B20:C20"/>
    <mergeCell ref="E20:F20"/>
    <mergeCell ref="B8:C8"/>
    <mergeCell ref="E8:F8"/>
    <mergeCell ref="B9:C9"/>
    <mergeCell ref="E9:F9"/>
    <mergeCell ref="B10:C10"/>
    <mergeCell ref="B28:C28"/>
    <mergeCell ref="E28:F28"/>
    <mergeCell ref="E18:F18"/>
    <mergeCell ref="B16:C16"/>
    <mergeCell ref="E17:F17"/>
    <mergeCell ref="B18:C18"/>
    <mergeCell ref="B17:C17"/>
    <mergeCell ref="B21:C21"/>
    <mergeCell ref="E21:F21"/>
    <mergeCell ref="E23:F23"/>
    <mergeCell ref="B24:C24"/>
    <mergeCell ref="E24:F24"/>
    <mergeCell ref="E22:F22"/>
    <mergeCell ref="B23:C23"/>
    <mergeCell ref="B22:C22"/>
  </mergeCells>
  <pageMargins left="0.7" right="0.7" top="0.75" bottom="0.75" header="0.3" footer="0.3"/>
  <pageSetup paperSize="9" orientation="portrait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743D-F5DE-4B74-8830-370BC2F59812}">
  <dimension ref="A1:F24"/>
  <sheetViews>
    <sheetView workbookViewId="0">
      <selection activeCell="E15" sqref="E15"/>
    </sheetView>
  </sheetViews>
  <sheetFormatPr baseColWidth="10" defaultRowHeight="15" x14ac:dyDescent="0.25"/>
  <cols>
    <col min="1" max="1" width="20.7109375" customWidth="1"/>
    <col min="2" max="2" width="25.140625" customWidth="1"/>
    <col min="4" max="4" width="16.42578125" customWidth="1"/>
    <col min="5" max="5" width="14.85546875" customWidth="1"/>
    <col min="6" max="6" width="30.42578125" customWidth="1"/>
  </cols>
  <sheetData>
    <row r="1" spans="1:6" x14ac:dyDescent="0.25">
      <c r="A1" s="28" t="s">
        <v>1</v>
      </c>
      <c r="B1" s="3">
        <v>45842</v>
      </c>
      <c r="C1" s="190" t="s">
        <v>26</v>
      </c>
      <c r="D1" s="191"/>
      <c r="E1" s="181">
        <v>0.16666666666666666</v>
      </c>
      <c r="F1" s="174"/>
    </row>
    <row r="2" spans="1:6" x14ac:dyDescent="0.25">
      <c r="A2" s="28" t="s">
        <v>3</v>
      </c>
      <c r="B2" s="4" t="s">
        <v>246</v>
      </c>
      <c r="C2" s="27" t="s">
        <v>12</v>
      </c>
      <c r="D2" s="4" t="s">
        <v>93</v>
      </c>
      <c r="E2" s="28" t="s">
        <v>23</v>
      </c>
      <c r="F2" s="4">
        <v>61</v>
      </c>
    </row>
    <row r="3" spans="1:6" x14ac:dyDescent="0.25">
      <c r="A3" s="171" t="s">
        <v>13</v>
      </c>
      <c r="B3" s="171"/>
      <c r="C3" s="171"/>
      <c r="D3" s="171"/>
      <c r="E3" s="171"/>
      <c r="F3" s="171"/>
    </row>
    <row r="4" spans="1:6" x14ac:dyDescent="0.25">
      <c r="A4" s="171" t="s">
        <v>6</v>
      </c>
      <c r="B4" s="171"/>
      <c r="C4" s="171" t="s">
        <v>7</v>
      </c>
      <c r="D4" s="171"/>
      <c r="E4" s="18" t="s">
        <v>14</v>
      </c>
      <c r="F4" s="18" t="s">
        <v>9</v>
      </c>
    </row>
    <row r="5" spans="1:6" x14ac:dyDescent="0.25">
      <c r="A5" s="186" t="s">
        <v>18</v>
      </c>
      <c r="B5" s="187"/>
      <c r="C5" s="165" t="s">
        <v>304</v>
      </c>
      <c r="D5" s="166"/>
      <c r="E5" s="2">
        <v>11000</v>
      </c>
      <c r="F5" s="4" t="s">
        <v>10</v>
      </c>
    </row>
    <row r="6" spans="1:6" x14ac:dyDescent="0.25">
      <c r="A6" s="186" t="s">
        <v>18</v>
      </c>
      <c r="B6" s="187"/>
      <c r="C6" s="167" t="s">
        <v>305</v>
      </c>
      <c r="D6" s="167"/>
      <c r="E6" s="2">
        <v>6300</v>
      </c>
      <c r="F6" s="4" t="s">
        <v>10</v>
      </c>
    </row>
    <row r="7" spans="1:6" x14ac:dyDescent="0.25">
      <c r="A7" s="186" t="s">
        <v>18</v>
      </c>
      <c r="B7" s="187"/>
      <c r="C7" s="165" t="s">
        <v>280</v>
      </c>
      <c r="D7" s="166"/>
      <c r="E7" s="2">
        <v>7000</v>
      </c>
      <c r="F7" s="4" t="s">
        <v>10</v>
      </c>
    </row>
    <row r="8" spans="1:6" ht="15.75" customHeight="1" x14ac:dyDescent="0.25">
      <c r="A8" s="186" t="s">
        <v>18</v>
      </c>
      <c r="B8" s="187"/>
      <c r="C8" s="165" t="s">
        <v>306</v>
      </c>
      <c r="D8" s="166"/>
      <c r="E8" s="6">
        <v>6300</v>
      </c>
      <c r="F8" s="4" t="s">
        <v>10</v>
      </c>
    </row>
    <row r="9" spans="1:6" ht="25.5" customHeight="1" x14ac:dyDescent="0.25">
      <c r="A9" s="148" t="s">
        <v>143</v>
      </c>
      <c r="B9" s="149"/>
      <c r="C9" s="174" t="s">
        <v>307</v>
      </c>
      <c r="D9" s="174"/>
      <c r="E9" s="15">
        <v>6000</v>
      </c>
      <c r="F9" s="60" t="s">
        <v>204</v>
      </c>
    </row>
    <row r="10" spans="1:6" ht="26.25" customHeight="1" x14ac:dyDescent="0.25">
      <c r="A10" s="116" t="s">
        <v>228</v>
      </c>
      <c r="B10" s="118"/>
      <c r="C10" s="143" t="s">
        <v>205</v>
      </c>
      <c r="D10" s="144"/>
      <c r="E10" s="61" t="s">
        <v>0</v>
      </c>
      <c r="F10" s="25" t="s">
        <v>228</v>
      </c>
    </row>
    <row r="11" spans="1:6" ht="30" customHeight="1" x14ac:dyDescent="0.25">
      <c r="A11" s="116" t="s">
        <v>226</v>
      </c>
      <c r="B11" s="118"/>
      <c r="C11" s="143" t="s">
        <v>144</v>
      </c>
      <c r="D11" s="144"/>
      <c r="E11" s="61" t="s">
        <v>0</v>
      </c>
      <c r="F11" s="25" t="s">
        <v>226</v>
      </c>
    </row>
    <row r="12" spans="1:6" ht="30" customHeight="1" x14ac:dyDescent="0.25">
      <c r="A12" s="148" t="s">
        <v>25</v>
      </c>
      <c r="B12" s="149"/>
      <c r="C12" s="148" t="s">
        <v>253</v>
      </c>
      <c r="D12" s="149"/>
      <c r="E12" s="6" t="s">
        <v>19</v>
      </c>
      <c r="F12" s="6" t="s">
        <v>10</v>
      </c>
    </row>
    <row r="13" spans="1:6" ht="30" customHeight="1" x14ac:dyDescent="0.25"/>
    <row r="14" spans="1:6" ht="18.75" customHeight="1" x14ac:dyDescent="0.25"/>
    <row r="15" spans="1:6" x14ac:dyDescent="0.25">
      <c r="A15" s="186" t="s">
        <v>18</v>
      </c>
      <c r="B15" s="187"/>
      <c r="C15" s="148" t="s">
        <v>294</v>
      </c>
      <c r="D15" s="149"/>
      <c r="E15" s="2">
        <v>2600</v>
      </c>
      <c r="F15" s="4" t="s">
        <v>10</v>
      </c>
    </row>
    <row r="16" spans="1:6" x14ac:dyDescent="0.25">
      <c r="A16" s="186" t="s">
        <v>18</v>
      </c>
      <c r="B16" s="187"/>
      <c r="C16" s="148" t="s">
        <v>141</v>
      </c>
      <c r="D16" s="149"/>
      <c r="E16" s="2">
        <v>2600</v>
      </c>
      <c r="F16" s="4" t="s">
        <v>10</v>
      </c>
    </row>
    <row r="17" spans="1:6" x14ac:dyDescent="0.25">
      <c r="A17" s="186" t="s">
        <v>18</v>
      </c>
      <c r="B17" s="187"/>
      <c r="C17" s="165" t="s">
        <v>140</v>
      </c>
      <c r="D17" s="166"/>
      <c r="E17" s="2">
        <v>6300</v>
      </c>
      <c r="F17" s="4" t="s">
        <v>10</v>
      </c>
    </row>
    <row r="18" spans="1:6" x14ac:dyDescent="0.25">
      <c r="A18" s="148" t="s">
        <v>25</v>
      </c>
      <c r="B18" s="149"/>
      <c r="C18" s="148" t="s">
        <v>111</v>
      </c>
      <c r="D18" s="149"/>
      <c r="E18" s="6" t="s">
        <v>19</v>
      </c>
      <c r="F18" s="6" t="s">
        <v>10</v>
      </c>
    </row>
    <row r="19" spans="1:6" x14ac:dyDescent="0.25">
      <c r="A19" s="148" t="s">
        <v>110</v>
      </c>
      <c r="B19" s="149"/>
      <c r="C19" s="148" t="s">
        <v>112</v>
      </c>
      <c r="D19" s="149"/>
      <c r="E19" s="6">
        <v>2300</v>
      </c>
      <c r="F19" s="13" t="s">
        <v>100</v>
      </c>
    </row>
    <row r="20" spans="1:6" x14ac:dyDescent="0.25">
      <c r="A20" s="148" t="s">
        <v>17</v>
      </c>
      <c r="B20" s="149"/>
      <c r="C20" s="167" t="s">
        <v>135</v>
      </c>
      <c r="D20" s="167"/>
      <c r="E20" s="15">
        <v>2300</v>
      </c>
      <c r="F20" s="60" t="s">
        <v>34</v>
      </c>
    </row>
    <row r="21" spans="1:6" x14ac:dyDescent="0.25">
      <c r="A21" s="148" t="s">
        <v>143</v>
      </c>
      <c r="B21" s="149"/>
      <c r="C21" s="174" t="s">
        <v>98</v>
      </c>
      <c r="D21" s="174"/>
      <c r="E21" s="188" t="s">
        <v>192</v>
      </c>
      <c r="F21" s="189"/>
    </row>
    <row r="22" spans="1:6" ht="25.5" customHeight="1" x14ac:dyDescent="0.25">
      <c r="A22" s="145" t="s">
        <v>203</v>
      </c>
      <c r="B22" s="146"/>
      <c r="C22" s="174" t="s">
        <v>259</v>
      </c>
      <c r="D22" s="174"/>
      <c r="E22" s="15">
        <v>6000</v>
      </c>
      <c r="F22" s="60" t="s">
        <v>204</v>
      </c>
    </row>
    <row r="23" spans="1:6" ht="30" customHeight="1" x14ac:dyDescent="0.25">
      <c r="A23" s="116" t="s">
        <v>297</v>
      </c>
      <c r="B23" s="118"/>
      <c r="C23" s="143" t="s">
        <v>300</v>
      </c>
      <c r="D23" s="144"/>
      <c r="E23" s="61">
        <v>6300</v>
      </c>
      <c r="F23" s="25" t="s">
        <v>298</v>
      </c>
    </row>
    <row r="24" spans="1:6" ht="30" customHeight="1" x14ac:dyDescent="0.25">
      <c r="A24" s="116" t="s">
        <v>297</v>
      </c>
      <c r="B24" s="118"/>
      <c r="C24" s="143" t="s">
        <v>299</v>
      </c>
      <c r="D24" s="144"/>
      <c r="E24" s="61">
        <v>6300</v>
      </c>
      <c r="F24" s="25" t="s">
        <v>298</v>
      </c>
    </row>
  </sheetData>
  <mergeCells count="42">
    <mergeCell ref="A23:B23"/>
    <mergeCell ref="C23:D23"/>
    <mergeCell ref="A24:B24"/>
    <mergeCell ref="C24:D24"/>
    <mergeCell ref="A10:B10"/>
    <mergeCell ref="C10:D10"/>
    <mergeCell ref="A12:B12"/>
    <mergeCell ref="C12:D12"/>
    <mergeCell ref="A22:B22"/>
    <mergeCell ref="C22:D22"/>
    <mergeCell ref="C18:D18"/>
    <mergeCell ref="A20:B20"/>
    <mergeCell ref="C16:D16"/>
    <mergeCell ref="A18:B18"/>
    <mergeCell ref="C17:D17"/>
    <mergeCell ref="A17:B17"/>
    <mergeCell ref="E1:F1"/>
    <mergeCell ref="A4:B4"/>
    <mergeCell ref="C4:D4"/>
    <mergeCell ref="A3:F3"/>
    <mergeCell ref="A5:B5"/>
    <mergeCell ref="C5:D5"/>
    <mergeCell ref="C1:D1"/>
    <mergeCell ref="E21:F21"/>
    <mergeCell ref="A19:B19"/>
    <mergeCell ref="C19:D19"/>
    <mergeCell ref="A21:B21"/>
    <mergeCell ref="C21:D21"/>
    <mergeCell ref="C20:D20"/>
    <mergeCell ref="A16:B16"/>
    <mergeCell ref="A6:B6"/>
    <mergeCell ref="C6:D6"/>
    <mergeCell ref="A7:B7"/>
    <mergeCell ref="C7:D7"/>
    <mergeCell ref="A15:B15"/>
    <mergeCell ref="C15:D15"/>
    <mergeCell ref="A8:B8"/>
    <mergeCell ref="C8:D8"/>
    <mergeCell ref="A11:B11"/>
    <mergeCell ref="C11:D11"/>
    <mergeCell ref="A9:B9"/>
    <mergeCell ref="C9:D9"/>
  </mergeCells>
  <pageMargins left="0.7" right="0.7" top="0.75" bottom="0.75" header="0.3" footer="0.3"/>
  <pageSetup paperSize="9" orientation="portrait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5BDB-C885-44CB-88F2-AF16B5F15087}">
  <dimension ref="A2:F57"/>
  <sheetViews>
    <sheetView topLeftCell="A40" workbookViewId="0">
      <selection activeCell="I48" sqref="I48"/>
    </sheetView>
  </sheetViews>
  <sheetFormatPr baseColWidth="10" defaultRowHeight="15" x14ac:dyDescent="0.25"/>
  <cols>
    <col min="1" max="1" width="25.7109375" customWidth="1"/>
    <col min="2" max="2" width="19.42578125" customWidth="1"/>
    <col min="3" max="3" width="11.140625" customWidth="1"/>
    <col min="4" max="4" width="17.5703125" customWidth="1"/>
    <col min="5" max="5" width="10.5703125" customWidth="1"/>
    <col min="6" max="6" width="15" customWidth="1"/>
    <col min="8" max="8" width="15.85546875" customWidth="1"/>
  </cols>
  <sheetData>
    <row r="2" spans="1:6" x14ac:dyDescent="0.25">
      <c r="A2" s="28" t="s">
        <v>1</v>
      </c>
      <c r="B2" s="11">
        <v>45848</v>
      </c>
      <c r="C2" s="198" t="s">
        <v>2</v>
      </c>
      <c r="D2" s="198"/>
      <c r="E2" s="185">
        <v>0.29166666666666669</v>
      </c>
      <c r="F2" s="185"/>
    </row>
    <row r="3" spans="1:6" x14ac:dyDescent="0.25">
      <c r="A3" s="28" t="s">
        <v>3</v>
      </c>
      <c r="B3" s="9" t="s">
        <v>261</v>
      </c>
      <c r="C3" s="28" t="s">
        <v>12</v>
      </c>
      <c r="D3" s="4" t="s">
        <v>30</v>
      </c>
      <c r="E3" s="28" t="s">
        <v>197</v>
      </c>
      <c r="F3" s="13">
        <v>29</v>
      </c>
    </row>
    <row r="4" spans="1:6" x14ac:dyDescent="0.25">
      <c r="A4" s="171" t="s">
        <v>5</v>
      </c>
      <c r="B4" s="171"/>
      <c r="C4" s="171"/>
      <c r="D4" s="171"/>
      <c r="E4" s="171"/>
      <c r="F4" s="171"/>
    </row>
    <row r="5" spans="1:6" x14ac:dyDescent="0.25">
      <c r="A5" s="18" t="s">
        <v>6</v>
      </c>
      <c r="B5" s="171" t="s">
        <v>7</v>
      </c>
      <c r="C5" s="171"/>
      <c r="D5" s="18" t="s">
        <v>14</v>
      </c>
      <c r="E5" s="171" t="s">
        <v>9</v>
      </c>
      <c r="F5" s="171"/>
    </row>
    <row r="6" spans="1:6" x14ac:dyDescent="0.25">
      <c r="A6" s="7" t="s">
        <v>260</v>
      </c>
      <c r="B6" s="174" t="s">
        <v>317</v>
      </c>
      <c r="C6" s="174"/>
      <c r="D6" s="15" t="s">
        <v>0</v>
      </c>
      <c r="E6" s="158" t="s">
        <v>0</v>
      </c>
      <c r="F6" s="158"/>
    </row>
    <row r="7" spans="1:6" x14ac:dyDescent="0.25">
      <c r="A7" s="7" t="s">
        <v>200</v>
      </c>
      <c r="B7" s="142" t="s">
        <v>303</v>
      </c>
      <c r="C7" s="142"/>
      <c r="D7" s="25">
        <v>6500</v>
      </c>
      <c r="E7" s="143" t="s">
        <v>10</v>
      </c>
      <c r="F7" s="144"/>
    </row>
    <row r="8" spans="1:6" x14ac:dyDescent="0.25">
      <c r="A8" s="7"/>
      <c r="B8" s="21"/>
      <c r="C8" s="21"/>
      <c r="D8" s="25"/>
      <c r="E8" s="73"/>
      <c r="F8" s="74"/>
    </row>
    <row r="11" spans="1:6" x14ac:dyDescent="0.25">
      <c r="A11" s="42" t="s">
        <v>1</v>
      </c>
      <c r="B11" s="20">
        <v>45806</v>
      </c>
      <c r="C11" s="164" t="s">
        <v>2</v>
      </c>
      <c r="D11" s="164"/>
      <c r="E11" s="152" t="s">
        <v>292</v>
      </c>
      <c r="F11" s="152"/>
    </row>
    <row r="12" spans="1:6" x14ac:dyDescent="0.25">
      <c r="A12" s="42" t="s">
        <v>3</v>
      </c>
      <c r="B12" s="20" t="s">
        <v>261</v>
      </c>
      <c r="C12" s="29" t="s">
        <v>4</v>
      </c>
      <c r="D12" s="41" t="s">
        <v>30</v>
      </c>
      <c r="E12" s="30" t="s">
        <v>197</v>
      </c>
      <c r="F12" s="12">
        <v>29</v>
      </c>
    </row>
    <row r="13" spans="1:6" x14ac:dyDescent="0.25">
      <c r="A13" s="163" t="s">
        <v>5</v>
      </c>
      <c r="B13" s="163"/>
      <c r="C13" s="163"/>
      <c r="D13" s="163"/>
      <c r="E13" s="163"/>
      <c r="F13" s="163"/>
    </row>
    <row r="14" spans="1:6" x14ac:dyDescent="0.25">
      <c r="A14" s="56" t="s">
        <v>6</v>
      </c>
      <c r="B14" s="196" t="s">
        <v>7</v>
      </c>
      <c r="C14" s="197"/>
      <c r="D14" s="56" t="s">
        <v>8</v>
      </c>
      <c r="E14" s="163" t="s">
        <v>9</v>
      </c>
      <c r="F14" s="163"/>
    </row>
    <row r="15" spans="1:6" ht="25.5" x14ac:dyDescent="0.25">
      <c r="A15" s="7" t="s">
        <v>255</v>
      </c>
      <c r="B15" s="150" t="s">
        <v>288</v>
      </c>
      <c r="C15" s="151"/>
      <c r="D15" s="25">
        <v>2200</v>
      </c>
      <c r="E15" s="143" t="s">
        <v>10</v>
      </c>
      <c r="F15" s="144"/>
    </row>
    <row r="16" spans="1:6" ht="25.5" x14ac:dyDescent="0.25">
      <c r="A16" s="7" t="s">
        <v>255</v>
      </c>
      <c r="B16" s="150" t="s">
        <v>290</v>
      </c>
      <c r="C16" s="151"/>
      <c r="D16" s="25">
        <v>7700</v>
      </c>
      <c r="E16" s="143" t="s">
        <v>10</v>
      </c>
      <c r="F16" s="144"/>
    </row>
    <row r="17" spans="1:6" ht="25.5" x14ac:dyDescent="0.25">
      <c r="A17" s="7" t="s">
        <v>255</v>
      </c>
      <c r="B17" s="150" t="s">
        <v>272</v>
      </c>
      <c r="C17" s="151"/>
      <c r="D17" s="25">
        <v>6200</v>
      </c>
      <c r="E17" s="143" t="s">
        <v>10</v>
      </c>
      <c r="F17" s="144"/>
    </row>
    <row r="18" spans="1:6" ht="25.5" x14ac:dyDescent="0.25">
      <c r="A18" s="7" t="s">
        <v>255</v>
      </c>
      <c r="B18" s="199" t="s">
        <v>271</v>
      </c>
      <c r="C18" s="199"/>
      <c r="D18" s="25">
        <v>3700</v>
      </c>
      <c r="E18" s="143" t="s">
        <v>10</v>
      </c>
      <c r="F18" s="144"/>
    </row>
    <row r="19" spans="1:6" ht="25.5" x14ac:dyDescent="0.25">
      <c r="A19" s="7" t="s">
        <v>255</v>
      </c>
      <c r="B19" s="199" t="s">
        <v>289</v>
      </c>
      <c r="C19" s="199"/>
      <c r="D19" s="25">
        <v>7900</v>
      </c>
      <c r="E19" s="143" t="s">
        <v>10</v>
      </c>
      <c r="F19" s="144"/>
    </row>
    <row r="20" spans="1:6" x14ac:dyDescent="0.25">
      <c r="A20" s="7" t="s">
        <v>260</v>
      </c>
      <c r="B20" s="114" t="s">
        <v>301</v>
      </c>
      <c r="C20" s="115"/>
      <c r="D20" s="25">
        <v>6300</v>
      </c>
      <c r="E20" s="143" t="s">
        <v>10</v>
      </c>
      <c r="F20" s="144"/>
    </row>
    <row r="21" spans="1:6" x14ac:dyDescent="0.25">
      <c r="A21" s="7" t="s">
        <v>260</v>
      </c>
      <c r="B21" s="200" t="s">
        <v>302</v>
      </c>
      <c r="C21" s="201"/>
      <c r="D21" s="13">
        <v>13000</v>
      </c>
      <c r="E21" s="125" t="s">
        <v>10</v>
      </c>
      <c r="F21" s="126"/>
    </row>
    <row r="22" spans="1:6" ht="25.5" x14ac:dyDescent="0.25">
      <c r="A22" s="10" t="s">
        <v>293</v>
      </c>
      <c r="B22" s="150" t="s">
        <v>291</v>
      </c>
      <c r="C22" s="151"/>
      <c r="D22" s="25" t="s">
        <v>0</v>
      </c>
      <c r="E22" s="143" t="s">
        <v>0</v>
      </c>
      <c r="F22" s="144"/>
    </row>
    <row r="23" spans="1:6" x14ac:dyDescent="0.25">
      <c r="A23" s="26"/>
      <c r="B23" s="202"/>
      <c r="C23" s="203"/>
      <c r="D23" s="26"/>
      <c r="E23" s="202"/>
      <c r="F23" s="203"/>
    </row>
    <row r="28" spans="1:6" x14ac:dyDescent="0.25">
      <c r="A28" s="42" t="s">
        <v>1</v>
      </c>
      <c r="B28" s="20"/>
      <c r="C28" s="192" t="s">
        <v>2</v>
      </c>
      <c r="D28" s="193"/>
      <c r="E28" s="194"/>
      <c r="F28" s="195"/>
    </row>
    <row r="29" spans="1:6" x14ac:dyDescent="0.25">
      <c r="A29" s="42" t="s">
        <v>3</v>
      </c>
      <c r="B29" s="13"/>
      <c r="C29" s="29" t="s">
        <v>4</v>
      </c>
      <c r="D29" s="13"/>
      <c r="E29" s="54" t="s">
        <v>196</v>
      </c>
      <c r="F29" s="12"/>
    </row>
    <row r="30" spans="1:6" x14ac:dyDescent="0.25">
      <c r="A30" s="163" t="s">
        <v>5</v>
      </c>
      <c r="B30" s="163"/>
      <c r="C30" s="163"/>
      <c r="D30" s="163"/>
      <c r="E30" s="163"/>
      <c r="F30" s="163"/>
    </row>
    <row r="31" spans="1:6" x14ac:dyDescent="0.25">
      <c r="A31" s="56" t="s">
        <v>6</v>
      </c>
      <c r="B31" s="196" t="s">
        <v>7</v>
      </c>
      <c r="C31" s="197"/>
      <c r="D31" s="56" t="s">
        <v>8</v>
      </c>
      <c r="E31" s="163" t="s">
        <v>9</v>
      </c>
      <c r="F31" s="163"/>
    </row>
    <row r="32" spans="1:6" ht="25.5" x14ac:dyDescent="0.25">
      <c r="A32" s="7" t="s">
        <v>243</v>
      </c>
      <c r="B32" s="142" t="s">
        <v>267</v>
      </c>
      <c r="C32" s="142"/>
      <c r="D32" s="25">
        <v>9000</v>
      </c>
      <c r="E32" s="143" t="s">
        <v>269</v>
      </c>
      <c r="F32" s="144"/>
    </row>
    <row r="36" spans="1:6" x14ac:dyDescent="0.25">
      <c r="A36" s="42" t="s">
        <v>1</v>
      </c>
      <c r="B36" s="20">
        <v>45867</v>
      </c>
      <c r="C36" s="192" t="s">
        <v>2</v>
      </c>
      <c r="D36" s="193"/>
      <c r="E36" s="194">
        <v>0.58333333333333337</v>
      </c>
      <c r="F36" s="195"/>
    </row>
    <row r="37" spans="1:6" x14ac:dyDescent="0.25">
      <c r="A37" s="42" t="s">
        <v>3</v>
      </c>
      <c r="B37" s="13" t="s">
        <v>261</v>
      </c>
      <c r="C37" s="29" t="s">
        <v>4</v>
      </c>
      <c r="D37" s="13" t="s">
        <v>30</v>
      </c>
      <c r="E37" s="54" t="s">
        <v>196</v>
      </c>
      <c r="F37" s="12">
        <v>29</v>
      </c>
    </row>
    <row r="38" spans="1:6" x14ac:dyDescent="0.25">
      <c r="A38" s="163" t="s">
        <v>5</v>
      </c>
      <c r="B38" s="163"/>
      <c r="C38" s="163"/>
      <c r="D38" s="163"/>
      <c r="E38" s="163"/>
      <c r="F38" s="163"/>
    </row>
    <row r="39" spans="1:6" x14ac:dyDescent="0.25">
      <c r="A39" s="56" t="s">
        <v>6</v>
      </c>
      <c r="B39" s="196" t="s">
        <v>7</v>
      </c>
      <c r="C39" s="197"/>
      <c r="D39" s="56" t="s">
        <v>8</v>
      </c>
      <c r="E39" s="163" t="s">
        <v>9</v>
      </c>
      <c r="F39" s="163"/>
    </row>
    <row r="40" spans="1:6" x14ac:dyDescent="0.25">
      <c r="A40" s="7" t="s">
        <v>200</v>
      </c>
      <c r="B40" s="142" t="s">
        <v>303</v>
      </c>
      <c r="C40" s="142"/>
      <c r="D40" s="25">
        <v>6500</v>
      </c>
      <c r="E40" s="143" t="s">
        <v>10</v>
      </c>
      <c r="F40" s="144"/>
    </row>
    <row r="41" spans="1:6" ht="25.5" x14ac:dyDescent="0.25">
      <c r="A41" s="7" t="s">
        <v>243</v>
      </c>
      <c r="B41" s="142" t="s">
        <v>267</v>
      </c>
      <c r="C41" s="142"/>
      <c r="D41" s="25">
        <v>9000</v>
      </c>
      <c r="E41" s="143" t="s">
        <v>269</v>
      </c>
      <c r="F41" s="144"/>
    </row>
    <row r="42" spans="1:6" x14ac:dyDescent="0.25">
      <c r="A42" s="7" t="s">
        <v>260</v>
      </c>
      <c r="B42" s="114" t="s">
        <v>318</v>
      </c>
      <c r="C42" s="115"/>
      <c r="D42" s="25" t="s">
        <v>0</v>
      </c>
      <c r="E42" s="143" t="s">
        <v>0</v>
      </c>
      <c r="F42" s="144"/>
    </row>
    <row r="45" spans="1:6" x14ac:dyDescent="0.25">
      <c r="A45" s="42" t="s">
        <v>1</v>
      </c>
      <c r="B45" s="20">
        <v>45883</v>
      </c>
      <c r="C45" s="192" t="s">
        <v>2</v>
      </c>
      <c r="D45" s="193"/>
      <c r="E45" s="194">
        <v>0.29166666666666669</v>
      </c>
      <c r="F45" s="195"/>
    </row>
    <row r="46" spans="1:6" x14ac:dyDescent="0.25">
      <c r="A46" s="42" t="s">
        <v>3</v>
      </c>
      <c r="B46" s="13" t="s">
        <v>349</v>
      </c>
      <c r="C46" s="29" t="s">
        <v>4</v>
      </c>
      <c r="D46" s="13" t="s">
        <v>340</v>
      </c>
      <c r="E46" s="54" t="s">
        <v>196</v>
      </c>
      <c r="F46" s="12">
        <v>61</v>
      </c>
    </row>
    <row r="47" spans="1:6" ht="15" customHeight="1" x14ac:dyDescent="0.25">
      <c r="A47" s="163" t="s">
        <v>5</v>
      </c>
      <c r="B47" s="163"/>
      <c r="C47" s="163"/>
      <c r="D47" s="163"/>
      <c r="E47" s="163"/>
      <c r="F47" s="163"/>
    </row>
    <row r="48" spans="1:6" ht="38.25" customHeight="1" x14ac:dyDescent="0.25">
      <c r="A48" s="7" t="s">
        <v>200</v>
      </c>
      <c r="B48" s="142" t="s">
        <v>303</v>
      </c>
      <c r="C48" s="142"/>
      <c r="D48" s="25">
        <v>6500</v>
      </c>
      <c r="E48" s="143" t="s">
        <v>10</v>
      </c>
      <c r="F48" s="144"/>
    </row>
    <row r="51" spans="1:6" x14ac:dyDescent="0.25">
      <c r="A51" s="42" t="s">
        <v>1</v>
      </c>
      <c r="B51" s="20">
        <v>45864</v>
      </c>
      <c r="C51" s="192" t="s">
        <v>2</v>
      </c>
      <c r="D51" s="193"/>
      <c r="E51" s="194">
        <v>0.35416666666666669</v>
      </c>
      <c r="F51" s="195"/>
    </row>
    <row r="52" spans="1:6" x14ac:dyDescent="0.25">
      <c r="A52" s="42" t="s">
        <v>3</v>
      </c>
      <c r="B52" s="13"/>
      <c r="C52" s="29" t="s">
        <v>4</v>
      </c>
      <c r="D52" s="13"/>
      <c r="E52" s="54" t="s">
        <v>196</v>
      </c>
      <c r="F52" s="12"/>
    </row>
    <row r="53" spans="1:6" x14ac:dyDescent="0.25">
      <c r="A53" s="163" t="s">
        <v>5</v>
      </c>
      <c r="B53" s="163"/>
      <c r="C53" s="163"/>
      <c r="D53" s="163"/>
      <c r="E53" s="163"/>
      <c r="F53" s="163"/>
    </row>
    <row r="54" spans="1:6" x14ac:dyDescent="0.25">
      <c r="A54" s="29" t="s">
        <v>6</v>
      </c>
      <c r="B54" s="196" t="s">
        <v>7</v>
      </c>
      <c r="C54" s="197"/>
      <c r="D54" s="56" t="s">
        <v>8</v>
      </c>
      <c r="E54" s="163" t="s">
        <v>9</v>
      </c>
      <c r="F54" s="163"/>
    </row>
    <row r="55" spans="1:6" ht="15" customHeight="1" x14ac:dyDescent="0.25">
      <c r="A55" s="13" t="s">
        <v>329</v>
      </c>
      <c r="B55" s="147" t="s">
        <v>330</v>
      </c>
      <c r="C55" s="147"/>
      <c r="D55" s="25">
        <v>6000</v>
      </c>
      <c r="E55" s="143" t="s">
        <v>332</v>
      </c>
      <c r="F55" s="144"/>
    </row>
    <row r="56" spans="1:6" x14ac:dyDescent="0.25">
      <c r="A56" s="13" t="s">
        <v>329</v>
      </c>
      <c r="B56" s="147" t="s">
        <v>331</v>
      </c>
      <c r="C56" s="147"/>
      <c r="D56" s="25">
        <v>2000</v>
      </c>
      <c r="E56" s="143" t="s">
        <v>332</v>
      </c>
      <c r="F56" s="144"/>
    </row>
    <row r="57" spans="1:6" ht="51" x14ac:dyDescent="0.25">
      <c r="A57" s="7" t="s">
        <v>320</v>
      </c>
      <c r="B57" s="142" t="s">
        <v>280</v>
      </c>
      <c r="C57" s="142"/>
      <c r="D57" s="25" t="s">
        <v>0</v>
      </c>
      <c r="E57" s="143" t="s">
        <v>0</v>
      </c>
      <c r="F57" s="144"/>
    </row>
  </sheetData>
  <mergeCells count="66">
    <mergeCell ref="A47:F47"/>
    <mergeCell ref="B41:C41"/>
    <mergeCell ref="E41:F41"/>
    <mergeCell ref="B42:C42"/>
    <mergeCell ref="E42:F42"/>
    <mergeCell ref="B48:C48"/>
    <mergeCell ref="E48:F48"/>
    <mergeCell ref="A30:F30"/>
    <mergeCell ref="B31:C31"/>
    <mergeCell ref="E31:F31"/>
    <mergeCell ref="B32:C32"/>
    <mergeCell ref="E32:F32"/>
    <mergeCell ref="E36:F36"/>
    <mergeCell ref="C36:D36"/>
    <mergeCell ref="E39:F39"/>
    <mergeCell ref="B40:C40"/>
    <mergeCell ref="A38:F38"/>
    <mergeCell ref="E40:F40"/>
    <mergeCell ref="B39:C39"/>
    <mergeCell ref="C45:D45"/>
    <mergeCell ref="E45:F45"/>
    <mergeCell ref="B18:C18"/>
    <mergeCell ref="E18:F18"/>
    <mergeCell ref="B19:C19"/>
    <mergeCell ref="E19:F19"/>
    <mergeCell ref="C28:D28"/>
    <mergeCell ref="E28:F28"/>
    <mergeCell ref="B20:C20"/>
    <mergeCell ref="E20:F20"/>
    <mergeCell ref="B21:C21"/>
    <mergeCell ref="B22:C22"/>
    <mergeCell ref="B23:C23"/>
    <mergeCell ref="E21:F21"/>
    <mergeCell ref="E22:F22"/>
    <mergeCell ref="E23:F23"/>
    <mergeCell ref="B15:C15"/>
    <mergeCell ref="E15:F15"/>
    <mergeCell ref="B16:C16"/>
    <mergeCell ref="E16:F16"/>
    <mergeCell ref="B17:C17"/>
    <mergeCell ref="E17:F17"/>
    <mergeCell ref="C11:D11"/>
    <mergeCell ref="E11:F11"/>
    <mergeCell ref="A13:F13"/>
    <mergeCell ref="B14:C14"/>
    <mergeCell ref="E14:F14"/>
    <mergeCell ref="B6:C6"/>
    <mergeCell ref="E6:F6"/>
    <mergeCell ref="B7:C7"/>
    <mergeCell ref="E7:F7"/>
    <mergeCell ref="C2:D2"/>
    <mergeCell ref="E2:F2"/>
    <mergeCell ref="A4:F4"/>
    <mergeCell ref="B5:C5"/>
    <mergeCell ref="E5:F5"/>
    <mergeCell ref="C51:D51"/>
    <mergeCell ref="E51:F51"/>
    <mergeCell ref="A53:F53"/>
    <mergeCell ref="B54:C54"/>
    <mergeCell ref="E54:F54"/>
    <mergeCell ref="B55:C55"/>
    <mergeCell ref="E55:F55"/>
    <mergeCell ref="B56:C56"/>
    <mergeCell ref="E56:F56"/>
    <mergeCell ref="B57:C57"/>
    <mergeCell ref="E57:F57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CODIGO DOMICILIARIOS</vt:lpstr>
      <vt:lpstr>SUPERMERCADOS</vt:lpstr>
      <vt:lpstr>MOVIMIENTO BANCO AGRARIO</vt:lpstr>
      <vt:lpstr>CONSORCIOS</vt:lpstr>
      <vt:lpstr>BANCO AGRARIO </vt:lpstr>
      <vt:lpstr>SENA </vt:lpstr>
      <vt:lpstr>PISCICOLA</vt:lpstr>
      <vt:lpstr>GARZON</vt:lpstr>
      <vt:lpstr>LA PLATA</vt:lpstr>
      <vt:lpstr>RIVERA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Ruben Felipe Tovar Aviles</cp:lastModifiedBy>
  <cp:lastPrinted>2025-07-12T13:57:02Z</cp:lastPrinted>
  <dcterms:created xsi:type="dcterms:W3CDTF">2021-11-24T13:06:21Z</dcterms:created>
  <dcterms:modified xsi:type="dcterms:W3CDTF">2026-02-25T19:38:05Z</dcterms:modified>
</cp:coreProperties>
</file>