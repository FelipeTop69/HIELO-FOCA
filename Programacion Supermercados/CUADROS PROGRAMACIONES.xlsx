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J:\EXCEL\"/>
    </mc:Choice>
  </mc:AlternateContent>
  <xr:revisionPtr revIDLastSave="0" documentId="13_ncr:1_{2BEECA93-9B23-4E4E-B2B6-403EF13BEC71}" xr6:coauthVersionLast="47" xr6:coauthVersionMax="47" xr10:uidLastSave="{00000000-0000-0000-0000-000000000000}"/>
  <bookViews>
    <workbookView xWindow="-120" yWindow="-120" windowWidth="20730" windowHeight="11160" tabRatio="713" firstSheet="2" activeTab="8" xr2:uid="{7F998C17-66EB-42E9-A447-7E0056C5F018}"/>
  </bookViews>
  <sheets>
    <sheet name="CODIGO DOMICILIARIOS " sheetId="16" r:id="rId1"/>
    <sheet name="MOVIMIENTO BANCO AGRARIO" sheetId="20" r:id="rId2"/>
    <sheet name="CONSORCIOS" sheetId="6" r:id="rId3"/>
    <sheet name="Hoja1" sheetId="22" r:id="rId4"/>
    <sheet name="SUPERMERCADOS " sheetId="5" r:id="rId5"/>
    <sheet name="BANCO AGRARIO " sheetId="19" r:id="rId6"/>
    <sheet name="SENA " sheetId="21" r:id="rId7"/>
    <sheet name="PISCICOLA" sheetId="18" r:id="rId8"/>
    <sheet name="GARZON" sheetId="8" r:id="rId9"/>
    <sheet name="LA PLATA" sheetId="9" r:id="rId10"/>
    <sheet name="RIVERA" sheetId="12" r:id="rId11"/>
  </sheets>
  <definedNames>
    <definedName name="_xlnm._FilterDatabase" localSheetId="0" hidden="1">'CODIGO DOMICILIARIOS '!$A$1:$C$34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5" i="20" l="1"/>
  <c r="B36" i="20" s="1"/>
  <c r="B37" i="20" s="1"/>
  <c r="B38" i="20" s="1"/>
  <c r="B39" i="20" s="1"/>
  <c r="B40" i="20" s="1"/>
  <c r="B41" i="20" s="1"/>
  <c r="B42" i="20" s="1"/>
  <c r="B43" i="20" s="1"/>
  <c r="B44" i="20" s="1"/>
  <c r="B45" i="20" s="1"/>
  <c r="B46" i="20" s="1"/>
  <c r="B47" i="20" s="1"/>
  <c r="B48" i="20" s="1"/>
  <c r="B49" i="20" s="1"/>
  <c r="B50" i="20" s="1"/>
  <c r="B51" i="20" s="1"/>
  <c r="B52" i="20" s="1"/>
  <c r="B53" i="20" s="1"/>
  <c r="B54" i="20" s="1"/>
  <c r="B55" i="20" s="1"/>
  <c r="B56" i="20" s="1"/>
</calcChain>
</file>

<file path=xl/sharedStrings.xml><?xml version="1.0" encoding="utf-8"?>
<sst xmlns="http://schemas.openxmlformats.org/spreadsheetml/2006/main" count="1224" uniqueCount="449">
  <si>
    <t>REMISION</t>
  </si>
  <si>
    <t>FECHA DE ENTREGA</t>
  </si>
  <si>
    <t>HORA DE ENTREGA</t>
  </si>
  <si>
    <t>CONDUCTOR</t>
  </si>
  <si>
    <t>VEHÍCULO</t>
  </si>
  <si>
    <t>PEDIDO PROGRAMADO</t>
  </si>
  <si>
    <t>CLIENTE</t>
  </si>
  <si>
    <t>CANTIDAD/ PRODUCTO</t>
  </si>
  <si>
    <t>PRECIO UNITARIO</t>
  </si>
  <si>
    <t>MODO PAGO</t>
  </si>
  <si>
    <t>CREDITO</t>
  </si>
  <si>
    <t>FECHA</t>
  </si>
  <si>
    <t>VEHICULO</t>
  </si>
  <si>
    <t>PEDIDO PROGRAMADO</t>
  </si>
  <si>
    <t>PRECIO UNI</t>
  </si>
  <si>
    <t>AUX. DE ENTREGA</t>
  </si>
  <si>
    <t>MOTO</t>
  </si>
  <si>
    <t>CODIGO</t>
  </si>
  <si>
    <t xml:space="preserve">VEHICULO </t>
  </si>
  <si>
    <t>MORANTES ROLON ZORAIDA</t>
  </si>
  <si>
    <r>
      <t>JESUS ENRIQUE PERDOMO IBAGON -  </t>
    </r>
    <r>
      <rPr>
        <b/>
        <sz val="10"/>
        <color rgb="FF222222"/>
        <rFont val="Arial"/>
        <family val="2"/>
      </rPr>
      <t>12.283.626</t>
    </r>
  </si>
  <si>
    <t>SANTIAGO PERDOMO PEREZ</t>
  </si>
  <si>
    <t>NHR 606</t>
  </si>
  <si>
    <t>REVISAR OC</t>
  </si>
  <si>
    <t xml:space="preserve"> BOTELLONES </t>
  </si>
  <si>
    <t xml:space="preserve">FORMA DE PAGO </t>
  </si>
  <si>
    <t>RIOS CORDOBA JHON ELKIN</t>
  </si>
  <si>
    <t xml:space="preserve">COD. AUXILIAR </t>
  </si>
  <si>
    <t>MECANICOS ASOCIADOS S.A.S.  (CAMPO TELLO)</t>
  </si>
  <si>
    <t xml:space="preserve">OLIMPICA CAMPOALEGRE </t>
  </si>
  <si>
    <t xml:space="preserve">HORA DE SALIDA:  </t>
  </si>
  <si>
    <t>OLIMPICA GARZON</t>
  </si>
  <si>
    <t xml:space="preserve">CREDITO </t>
  </si>
  <si>
    <t>JULIO MENDOZA</t>
  </si>
  <si>
    <t xml:space="preserve">POS </t>
  </si>
  <si>
    <t xml:space="preserve">ELECTRONICA </t>
  </si>
  <si>
    <t xml:space="preserve">SE DEBE TENER EN CUENTA AL FACTURAR TAMBIEN EL CODIGO DEL VENDEDOR </t>
  </si>
  <si>
    <t xml:space="preserve">CONDUCTOR </t>
  </si>
  <si>
    <t>VANS 394</t>
  </si>
  <si>
    <t>NHR 606 - NHR 344</t>
  </si>
  <si>
    <t>PISCICOLA EL CARACOLI S.A.S.</t>
  </si>
  <si>
    <t>PISCICOLA LA SIRENA SAS</t>
  </si>
  <si>
    <t>13 BOTELLONES</t>
  </si>
  <si>
    <t>FACTURA ELECTRONICA</t>
  </si>
  <si>
    <r>
      <t xml:space="preserve">MAHECHA CASTELLANOS OSCAR GERMAN                                    </t>
    </r>
    <r>
      <rPr>
        <b/>
        <sz val="10"/>
        <color rgb="FF222222"/>
        <rFont val="Arial"/>
        <family val="2"/>
      </rPr>
      <t>CC: 79.500.677</t>
    </r>
  </si>
  <si>
    <t xml:space="preserve"> BOLSAS DE 7 KG</t>
  </si>
  <si>
    <t xml:space="preserve"> BOLSAS DE 3 KG</t>
  </si>
  <si>
    <t>PEÑA GONZALEZ JOSE WILLIAM</t>
  </si>
  <si>
    <t>ECOPROCESADORA ICE Y FISH SAS</t>
  </si>
  <si>
    <t>CREDITO 1 MES</t>
  </si>
  <si>
    <t xml:space="preserve">TAT / ESTANOS / GASTRO BARES / DISCOTECAS / SUPERMERCADOS </t>
  </si>
  <si>
    <t xml:space="preserve">AGUA 6 LITROS </t>
  </si>
  <si>
    <t xml:space="preserve">AGUA x15 Unidades </t>
  </si>
  <si>
    <t xml:space="preserve">AGUA x24 Unidades </t>
  </si>
  <si>
    <t xml:space="preserve">AGUA PET 600 ML x12 Unidades </t>
  </si>
  <si>
    <t xml:space="preserve">AGUA PET 500 ML x12 Unidades </t>
  </si>
  <si>
    <t xml:space="preserve">AGUA PET 300 ML x24 Unidades </t>
  </si>
  <si>
    <t xml:space="preserve">AGUA PET CON GAS 500 ML x12 Unidades </t>
  </si>
  <si>
    <t xml:space="preserve">AGUA PET CON GAS 600 ML x12 Unidades </t>
  </si>
  <si>
    <t xml:space="preserve">Hielo Tubular 1.5 Kilos </t>
  </si>
  <si>
    <t xml:space="preserve">Hielo Tubular 3 Kilos </t>
  </si>
  <si>
    <t xml:space="preserve">Hielo Tubulas 15 Kilos </t>
  </si>
  <si>
    <t xml:space="preserve">Hielo Tubulas 7 Kilos </t>
  </si>
  <si>
    <t xml:space="preserve">AREA </t>
  </si>
  <si>
    <t>CORREOS</t>
  </si>
  <si>
    <t xml:space="preserve">CONTACTO </t>
  </si>
  <si>
    <t xml:space="preserve">CARTERA </t>
  </si>
  <si>
    <t>cartera@hielofoca.com.co</t>
  </si>
  <si>
    <t xml:space="preserve">TESORERIA </t>
  </si>
  <si>
    <t>TALENTO HUMANO</t>
  </si>
  <si>
    <t>CONTABILIDAD</t>
  </si>
  <si>
    <t xml:space="preserve">COORDINADOR COMERCIAL </t>
  </si>
  <si>
    <t>ASESORA COMERCIAL</t>
  </si>
  <si>
    <t xml:space="preserve">GERENCIA </t>
  </si>
  <si>
    <t xml:space="preserve">CALIDAD </t>
  </si>
  <si>
    <t>CAJA</t>
  </si>
  <si>
    <t>INVENTARIO</t>
  </si>
  <si>
    <t>COMPRAS</t>
  </si>
  <si>
    <t>MANTENIMIENTO</t>
  </si>
  <si>
    <t>calidad@hielofoca.com.co</t>
  </si>
  <si>
    <t>pedidos@hielofoca.com.co</t>
  </si>
  <si>
    <t>CONTABILIDAD@hielofoca.com.co</t>
  </si>
  <si>
    <t>gerencia@hielofoca.com.co</t>
  </si>
  <si>
    <t>hielofoca.caja@gmail.com</t>
  </si>
  <si>
    <t>info@hielofoca.com.co  comercial@hielofoca.com.co</t>
  </si>
  <si>
    <t>talentohumano@hielofoca.com.co</t>
  </si>
  <si>
    <t>auxhsth@hielofoca.com.co</t>
  </si>
  <si>
    <t>AUXILIAR TALENTO HUMANO</t>
  </si>
  <si>
    <t xml:space="preserve">PEDIDOS </t>
  </si>
  <si>
    <t>Mantenimiento.cofrio@gmail.com</t>
  </si>
  <si>
    <t>tesoreriahielofoca@gmail.com</t>
  </si>
  <si>
    <t>Compras@hielofoca.com.co</t>
  </si>
  <si>
    <t>comercial2@hielofoca.com.co</t>
  </si>
  <si>
    <r>
      <t xml:space="preserve">PISCICOLA Z C </t>
    </r>
    <r>
      <rPr>
        <b/>
        <sz val="10"/>
        <color rgb="FF222222"/>
        <rFont val="Arial"/>
        <family val="2"/>
      </rPr>
      <t>NIT</t>
    </r>
    <r>
      <rPr>
        <sz val="10"/>
        <color rgb="FF222222"/>
        <rFont val="Arial"/>
        <family val="2"/>
      </rPr>
      <t xml:space="preserve"> 901.217.843</t>
    </r>
  </si>
  <si>
    <t xml:space="preserve">40 BLOQUES </t>
  </si>
  <si>
    <r>
      <t xml:space="preserve"> </t>
    </r>
    <r>
      <rPr>
        <b/>
        <u/>
        <sz val="10"/>
        <color rgb="FF222222"/>
        <rFont val="Arial"/>
        <family val="2"/>
      </rPr>
      <t>COD:</t>
    </r>
    <r>
      <rPr>
        <b/>
        <sz val="10"/>
        <color rgb="FF222222"/>
        <rFont val="Arial"/>
        <family val="2"/>
      </rPr>
      <t xml:space="preserve"> </t>
    </r>
  </si>
  <si>
    <t xml:space="preserve">COD: </t>
  </si>
  <si>
    <t>CODIGO AUX</t>
  </si>
  <si>
    <t>COD</t>
  </si>
  <si>
    <t xml:space="preserve"> BOLSAS TUB 15 KL </t>
  </si>
  <si>
    <t>RICO YULE CRISTIAN ANDRES</t>
  </si>
  <si>
    <t>TRANSFERENCIA</t>
  </si>
  <si>
    <t>FOTON NHU 059</t>
  </si>
  <si>
    <t xml:space="preserve">AGUA 5 LITROS </t>
  </si>
  <si>
    <t xml:space="preserve">AGUA 1 LITRO x6 Unidades </t>
  </si>
  <si>
    <t>PRECIOS NUEVOS TAT</t>
  </si>
  <si>
    <t>60 PACAS DE AGUA x15 UNIDADES</t>
  </si>
  <si>
    <t xml:space="preserve">18 BOLSAS DE 7 KILOS </t>
  </si>
  <si>
    <t xml:space="preserve">AMAYA MURCIA YAQUELINE </t>
  </si>
  <si>
    <t xml:space="preserve">CONTADO </t>
  </si>
  <si>
    <t>25 BOLSAS TUB 3 KG</t>
  </si>
  <si>
    <t xml:space="preserve">JHON RIOS </t>
  </si>
  <si>
    <t>30 BOLSAS TUB 3 KG</t>
  </si>
  <si>
    <t xml:space="preserve">120 BULTOS DE ESCARCHA </t>
  </si>
  <si>
    <t>FACTURA ELECTRONICA CREDITO 1 MES</t>
  </si>
  <si>
    <t>$260 BULTO Y EL FLETE $1.050</t>
  </si>
  <si>
    <t>GALLEGO FERNANDA</t>
  </si>
  <si>
    <t xml:space="preserve">40 PACAS DE AGUA X15 </t>
  </si>
  <si>
    <t xml:space="preserve">REMISION </t>
  </si>
  <si>
    <r>
      <t xml:space="preserve">5.165.026 / CODIGO </t>
    </r>
    <r>
      <rPr>
        <b/>
        <sz val="11"/>
        <color theme="1"/>
        <rFont val="Arial"/>
        <family val="2"/>
      </rPr>
      <t>17</t>
    </r>
  </si>
  <si>
    <t>POS</t>
  </si>
  <si>
    <r>
      <t xml:space="preserve">1.075.320.222 / CODIGO </t>
    </r>
    <r>
      <rPr>
        <b/>
        <sz val="11"/>
        <color theme="1"/>
        <rFont val="Arial"/>
        <family val="2"/>
      </rPr>
      <t>36</t>
    </r>
  </si>
  <si>
    <t xml:space="preserve"> ELECTRONICA</t>
  </si>
  <si>
    <t xml:space="preserve">ALEJANDRA SANCHEZ </t>
  </si>
  <si>
    <t>BARRIOS TRUJILLO JIMMY</t>
  </si>
  <si>
    <t>120 BOLSAS TUB 3 KG</t>
  </si>
  <si>
    <t>30 PACAS DE AGUA x15</t>
  </si>
  <si>
    <t xml:space="preserve">BARRIOS TRUJILLO JIMMY </t>
  </si>
  <si>
    <t xml:space="preserve">POS CONTADO </t>
  </si>
  <si>
    <t>INDEPENDIENTES</t>
  </si>
  <si>
    <t>NUMERO DE CEDULA</t>
  </si>
  <si>
    <t>PEREZ CASAS JESUS</t>
  </si>
  <si>
    <t>MANTILLA TRUJILLO LUIS MIGUEL</t>
  </si>
  <si>
    <t>PERDOMO CELEDONIO</t>
  </si>
  <si>
    <t>FARAD CENEN DARIO</t>
  </si>
  <si>
    <t xml:space="preserve">OCHOA ROJAS WILSON </t>
  </si>
  <si>
    <t>BARRAGAN SALAS CARLOS ALBEIRO</t>
  </si>
  <si>
    <t>VASQUEZ DEL VASTO RODOLFO</t>
  </si>
  <si>
    <t>RUBIANO CAMACHO HOLMAN</t>
  </si>
  <si>
    <t>MARTINEZ DEVIA EDINSON</t>
  </si>
  <si>
    <t xml:space="preserve">MENDOZA GAMEZ JULIO ALBERTO </t>
  </si>
  <si>
    <t>LOPEZ GUARNIZO ELIZABETH</t>
  </si>
  <si>
    <t xml:space="preserve">PERDOMO PEREZ SANTIAGO ANDRES </t>
  </si>
  <si>
    <t xml:space="preserve">SANCHEZ HERNANDEZ JAIRO </t>
  </si>
  <si>
    <t>CABRERA MENDEZ OMAR</t>
  </si>
  <si>
    <t>GUACA PASAJE JOSE ELVER</t>
  </si>
  <si>
    <t>ACHIPIS GUALI RICHAR</t>
  </si>
  <si>
    <t>PERDOMO MOSSOS RICARDO</t>
  </si>
  <si>
    <t>PEREZ PERDOMO SEBASTIAN</t>
  </si>
  <si>
    <t>100 PACAS DE AGUA x15</t>
  </si>
  <si>
    <t xml:space="preserve">OLIMPICA PITALITO </t>
  </si>
  <si>
    <t>30 BULTOS ESCARCHA 042</t>
  </si>
  <si>
    <t>MAHECHA CASTELLANOS OSCAR GERMAN                                    CC: 79.500.677</t>
  </si>
  <si>
    <t>OLIMPICA CAMPOALEGRE</t>
  </si>
  <si>
    <t xml:space="preserve"> ARROBA BLOQUE</t>
  </si>
  <si>
    <t xml:space="preserve"> AGUA 6 LITROS</t>
  </si>
  <si>
    <t>40 PACAS DE AGUA x15</t>
  </si>
  <si>
    <t xml:space="preserve">36.382.051 MARIA EUGENIA CEBALLOS QUINTERO </t>
  </si>
  <si>
    <t xml:space="preserve">6 BOTELLONES </t>
  </si>
  <si>
    <r>
      <t>COD:</t>
    </r>
    <r>
      <rPr>
        <sz val="10"/>
        <color rgb="FF222222"/>
        <rFont val="Arial"/>
        <family val="2"/>
      </rPr>
      <t xml:space="preserve"> </t>
    </r>
  </si>
  <si>
    <t xml:space="preserve">SEDES BANCO AGRARIO </t>
  </si>
  <si>
    <t>MUNICIPIO</t>
  </si>
  <si>
    <t xml:space="preserve">DIRECCION </t>
  </si>
  <si>
    <t xml:space="preserve">BARRIO </t>
  </si>
  <si>
    <t xml:space="preserve">CELULAR </t>
  </si>
  <si>
    <t xml:space="preserve">NOMBRE </t>
  </si>
  <si>
    <t>CANTIDAD</t>
  </si>
  <si>
    <t xml:space="preserve">PRODUCTO </t>
  </si>
  <si>
    <t>AIPE</t>
  </si>
  <si>
    <t xml:space="preserve">BOTELLON </t>
  </si>
  <si>
    <t>ALGECIRAS</t>
  </si>
  <si>
    <t>CAMPOALEGRE</t>
  </si>
  <si>
    <t>GIGANTE</t>
  </si>
  <si>
    <t>HOBO</t>
  </si>
  <si>
    <t>GARZON</t>
  </si>
  <si>
    <t>PAICOL</t>
  </si>
  <si>
    <t>LA PLATA</t>
  </si>
  <si>
    <t>LA ARGENTINA</t>
  </si>
  <si>
    <t>NATAGA</t>
  </si>
  <si>
    <t>TESALIA</t>
  </si>
  <si>
    <t>PALERMO</t>
  </si>
  <si>
    <t>RIVERA</t>
  </si>
  <si>
    <t>IQUIRA</t>
  </si>
  <si>
    <t>YAGUARA</t>
  </si>
  <si>
    <t>TERUEL</t>
  </si>
  <si>
    <t>TELLO</t>
  </si>
  <si>
    <t>VILLAVIEJA</t>
  </si>
  <si>
    <t>PITALITO</t>
  </si>
  <si>
    <t>BURSELAS</t>
  </si>
  <si>
    <t>SAN AGUSTIN</t>
  </si>
  <si>
    <t>TARQUI</t>
  </si>
  <si>
    <t>TIMANA</t>
  </si>
  <si>
    <t xml:space="preserve">4 BOTELLONES </t>
  </si>
  <si>
    <t>BANCO AGRARIO DE COLOMBIA S.A. (TELLO)</t>
  </si>
  <si>
    <t>BANCO AGRARIO DE COLOMBIA S.A. (VILLAVIEJA)</t>
  </si>
  <si>
    <t xml:space="preserve">REMISION BANCO AGRARIO DE COLOMBIA S.A. </t>
  </si>
  <si>
    <t xml:space="preserve">BANCO AGRARIO </t>
  </si>
  <si>
    <t xml:space="preserve">PISO </t>
  </si>
  <si>
    <t xml:space="preserve">PARQUEADERO </t>
  </si>
  <si>
    <t xml:space="preserve">NUMERO DE PISO </t>
  </si>
  <si>
    <t>NUMERO DE BOTELLONES</t>
  </si>
  <si>
    <t xml:space="preserve">EQUIPO </t>
  </si>
  <si>
    <t>2 DISPENSADORES</t>
  </si>
  <si>
    <t>1 DISPENSADOR</t>
  </si>
  <si>
    <t>593 / 592</t>
  </si>
  <si>
    <t xml:space="preserve">8 BOTELLONES </t>
  </si>
  <si>
    <t>$6.000 FACTURA ELECTRONICA</t>
  </si>
  <si>
    <t>BANCO AGRARIO DE COLOMBIA S.A. (REGIONAL SUR)</t>
  </si>
  <si>
    <t>BANCO AGRARIO DE COLOMBIA S.A. (NEIVA)</t>
  </si>
  <si>
    <t>OFICINA AL PUBLICO</t>
  </si>
  <si>
    <r>
      <t>COD:</t>
    </r>
    <r>
      <rPr>
        <b/>
        <sz val="10"/>
        <color rgb="FF222222"/>
        <rFont val="Arial"/>
        <family val="2"/>
      </rPr>
      <t xml:space="preserve"> </t>
    </r>
  </si>
  <si>
    <t>COD:</t>
  </si>
  <si>
    <t xml:space="preserve"> COD:</t>
  </si>
  <si>
    <t xml:space="preserve">OFICINA COPS / PARQUEADERO </t>
  </si>
  <si>
    <t xml:space="preserve">CLUB CAMPESTRE </t>
  </si>
  <si>
    <t xml:space="preserve">10 BOTELLONES </t>
  </si>
  <si>
    <t>50 BOLSAS TUB 3 KG</t>
  </si>
  <si>
    <r>
      <t xml:space="preserve"> MEDINA MARIA EUGENIA (ELBA COFFE)            </t>
    </r>
    <r>
      <rPr>
        <b/>
        <sz val="10"/>
        <color rgb="FF222222"/>
        <rFont val="Arial"/>
        <family val="2"/>
      </rPr>
      <t>CEL: 3138917792</t>
    </r>
  </si>
  <si>
    <t>FACTURA POS CONTADO</t>
  </si>
  <si>
    <t xml:space="preserve">5 BOTELLONES </t>
  </si>
  <si>
    <t>AS DISTRIBUCION INSTITUCIONAL S.A.S. (SENA LA PLATA Y PAICOL - CENTRO DE DESARROLLO AGROEMPRES Y TURISTICO</t>
  </si>
  <si>
    <t>BOTELLONES</t>
  </si>
  <si>
    <t>SEDE</t>
  </si>
  <si>
    <t xml:space="preserve">ENTREGADO </t>
  </si>
  <si>
    <t>PENDIENTE</t>
  </si>
  <si>
    <t xml:space="preserve">AIPE </t>
  </si>
  <si>
    <t xml:space="preserve">LA PLATA </t>
  </si>
  <si>
    <t>ARGENTINA</t>
  </si>
  <si>
    <t xml:space="preserve">PALERMO </t>
  </si>
  <si>
    <t>BRUSELAS</t>
  </si>
  <si>
    <t>x</t>
  </si>
  <si>
    <t>SENA</t>
  </si>
  <si>
    <t>INDUSTRIAL</t>
  </si>
  <si>
    <t xml:space="preserve">COMERCIAL </t>
  </si>
  <si>
    <t xml:space="preserve">CAMPOALEGRE </t>
  </si>
  <si>
    <t>LA PLATA Y PAICOL</t>
  </si>
  <si>
    <t>CANDIDO</t>
  </si>
  <si>
    <t>GUADUALES</t>
  </si>
  <si>
    <t>BANCO AGRARIO DE COLOMBIA S.A. (PAICOL)</t>
  </si>
  <si>
    <t>BANCO AGRARIO DE COLOMBIA S.A. (LA PLATA)</t>
  </si>
  <si>
    <t>BANCO AGRARIO DE COLOMBIA S.A. (LA ARGENTINA)</t>
  </si>
  <si>
    <t>BANCO AGRARIO DE COLOMBIA S.A. (NATAGA)</t>
  </si>
  <si>
    <t>BANCO AGRARIO DE COLOMBIA S.A. (TESALIA)</t>
  </si>
  <si>
    <t xml:space="preserve">15 BOTELLONES </t>
  </si>
  <si>
    <r>
      <t xml:space="preserve"> AUTOVIA NEIVA GIRARDOT SAS (</t>
    </r>
    <r>
      <rPr>
        <b/>
        <sz val="10"/>
        <color theme="1"/>
        <rFont val="Arial"/>
        <family val="2"/>
      </rPr>
      <t>900903279</t>
    </r>
    <r>
      <rPr>
        <sz val="10"/>
        <color theme="1"/>
        <rFont val="Arial"/>
        <family val="2"/>
      </rPr>
      <t>)</t>
    </r>
  </si>
  <si>
    <t>PATRIMONIOS AUTONOMOS FIDUCIARIA BANCOLOMBIA SA SOCIEDAD FIDUCIARIA PEAJE NEIVA</t>
  </si>
  <si>
    <t xml:space="preserve"> BOTELLONES</t>
  </si>
  <si>
    <t>PATRIMONIOS AUTONOMOS FIDUCIARIA BANCOLOMBIA SA SOCIEDAD FIDUCIARIA	CENTRO DE CONTROL OPERACIONAL CCO</t>
  </si>
  <si>
    <t xml:space="preserve">PATRIMONIOS AUTONOMOS FIDUCIARIA BANCOLOMBIA SA SOCIEDAD FIDUCIARIA 	BASCULA SUR </t>
  </si>
  <si>
    <t>PATRIMONIOS AUTONOMOS FIDUCIARIA BANCOLOMBIA SA SOCIEDAD FIDUCIARIA 	BASCULA NORTE</t>
  </si>
  <si>
    <t>PATRIMONIOS AUTONOMOS FIDUCIARIA BANCOLOMBIA SA SOCIEDAD FIDUCIARIA	PEAJE EL PATA</t>
  </si>
  <si>
    <t>BANCO AGRARIO DE COLOMBIA S.A. (ALGECIRAS)</t>
  </si>
  <si>
    <t>BANCO AGRARIO DE COLOMBIA S.A. (HOBO)</t>
  </si>
  <si>
    <t xml:space="preserve">9 BOTELLONES </t>
  </si>
  <si>
    <t>TWM S.A.S</t>
  </si>
  <si>
    <t>REMISION TWM S.A.S</t>
  </si>
  <si>
    <t>REMISION TWM S.A.S (SEDE SANTA CLARA)</t>
  </si>
  <si>
    <t>FERROMINERALES DEL HUILA SAS</t>
  </si>
  <si>
    <t>40 BOLSAS TUB 3 KG</t>
  </si>
  <si>
    <t>PATRIMONIOS AUTONOMOS FIDUCIARIA BANCOLOMBIA SA SOCIEDAD FIDUCIARIA AREA DE SERVICIOS NEIVA KL8</t>
  </si>
  <si>
    <t>CUELLAR CUELLAR JHON URLEY</t>
  </si>
  <si>
    <t>REYES VERGARA KEVIN MAURICIO</t>
  </si>
  <si>
    <t xml:space="preserve">CUELLAR JHON </t>
  </si>
  <si>
    <t xml:space="preserve">5 BULTOS ESCARCHA </t>
  </si>
  <si>
    <t>AS DISTRIBUCION INSTITUCIONAL S.A.S. (SENA COMERCIAL)</t>
  </si>
  <si>
    <t>AS DISTRIBUCION INSTITUCIONAL S.A.S. (SENA INDUSTRIAL)</t>
  </si>
  <si>
    <t xml:space="preserve">13 BOTELLONES </t>
  </si>
  <si>
    <t>TWM S.A.S (TENAY)</t>
  </si>
  <si>
    <t>TWM S.A.S (BABILLA)</t>
  </si>
  <si>
    <t>100 BOLSAS TUB 3 KG</t>
  </si>
  <si>
    <t>OLIMPICA SAN AGUSTIN</t>
  </si>
  <si>
    <t>CRESPO GUZMAN LUIS MARTIN (DIST RIVERA)</t>
  </si>
  <si>
    <t>10 BOLSAS TUB 3 KG</t>
  </si>
  <si>
    <t>ANTURY CARVAJAL OLVER (DEPOSITO Y TRILLADORA LA UNION / TIENDAS MIO)</t>
  </si>
  <si>
    <t>CUELLAR JHON</t>
  </si>
  <si>
    <t xml:space="preserve">4 BOLSAS DE 7 KILOS </t>
  </si>
  <si>
    <t>STUP DE COLOMBIA S A S</t>
  </si>
  <si>
    <t>PEÑA WILLIAM</t>
  </si>
  <si>
    <t>BANCO AGRARIO DE COLOMBIA S.A. (CAMPOALEGRE )</t>
  </si>
  <si>
    <t xml:space="preserve">7 BOTELLONES </t>
  </si>
  <si>
    <t>BANCO AGRARIO DE COLOMBIA S.A. (GARZON)</t>
  </si>
  <si>
    <t>NHR LPY 606</t>
  </si>
  <si>
    <t>80 BOLSAS TUB 7 KG</t>
  </si>
  <si>
    <t>10 BOTELLONES</t>
  </si>
  <si>
    <t xml:space="preserve">GONZALEZ SERGIO </t>
  </si>
  <si>
    <t>ELECTRONICA</t>
  </si>
  <si>
    <t>OLIMPICA S.A. GARZON</t>
  </si>
  <si>
    <t>6 PACAS x24 UNIDADES</t>
  </si>
  <si>
    <t xml:space="preserve">11 BOTELLONES </t>
  </si>
  <si>
    <t>PROSUM ECOLOGIC SAS (SENA)</t>
  </si>
  <si>
    <t>PROSUM ECOLOGIC SAS (SENA GARZON)</t>
  </si>
  <si>
    <t>PROSUM ECOLOGIC SAS (SENA CAMPOALEGRE)</t>
  </si>
  <si>
    <t>PROSUM ECOLOGIC SAS (SENA PAICOL)</t>
  </si>
  <si>
    <t xml:space="preserve">SENA INDUSTRIAL </t>
  </si>
  <si>
    <t>SENA COMERCIAL</t>
  </si>
  <si>
    <t>SENA CANDIDO TECNOACADEMIA</t>
  </si>
  <si>
    <t xml:space="preserve">2 BOTELLONES </t>
  </si>
  <si>
    <t>SENA LA PLATA Y PAICOL - CENTRO DE DESARROLLO AGROEMPRES Y TURISTICO</t>
  </si>
  <si>
    <t xml:space="preserve">CENTRO AGROEMPRESARIAL Y DESARROLLO PECUARIO DEL HUILA </t>
  </si>
  <si>
    <t>CENTRO DE FORMACION AGROINDUSTRIAL</t>
  </si>
  <si>
    <t>PROSUM ECOLOGIC SAS (SENA PITALITO)</t>
  </si>
  <si>
    <t>GESTION Y DESARROLLO SURCOLOMBIANO</t>
  </si>
  <si>
    <t>PROSUM ECOLOGIC SAS (SENA LA PLATA)</t>
  </si>
  <si>
    <t>CENTRO DE DESARROLLO AGROEMPRES Y TURISTICO</t>
  </si>
  <si>
    <t>50 BOLSA AGUA 6 LTS</t>
  </si>
  <si>
    <t xml:space="preserve">10 GARRAFAS 5 LITROS </t>
  </si>
  <si>
    <t>25 BOLSAS TUB 15 KG</t>
  </si>
  <si>
    <t>5 BOTELLONES</t>
  </si>
  <si>
    <t>AL REGRESAR DEL BANCO</t>
  </si>
  <si>
    <t>BANCO AGRARIO DE COLOMBIA S.A. (RIVERA)</t>
  </si>
  <si>
    <t>RIOS CORDOBA EDINSON FERNEY</t>
  </si>
  <si>
    <t xml:space="preserve">CALDERON VARGAS CARLOS ANDRES </t>
  </si>
  <si>
    <t xml:space="preserve"> AGUAS x15 Und</t>
  </si>
  <si>
    <t>Nº</t>
  </si>
  <si>
    <t>OFICINA</t>
  </si>
  <si>
    <t xml:space="preserve">MEDINA MARIA EUGENIA (ELBA COFFE) </t>
  </si>
  <si>
    <t>CONTADO POS</t>
  </si>
  <si>
    <t>2 ARROBAS ESCARCHA 043</t>
  </si>
  <si>
    <t>10 BOLSAS 7 KILOS</t>
  </si>
  <si>
    <t>40 PACAS DE AGUA x24 UND</t>
  </si>
  <si>
    <t>10 ARROBAS ESCARCHA</t>
  </si>
  <si>
    <t>100 BOLSAS TUB 7 KG</t>
  </si>
  <si>
    <t>44 BOLSA TUB 15 KILOS</t>
  </si>
  <si>
    <t>50 BOLSA DE 7 KILOS</t>
  </si>
  <si>
    <t>40 ARROBA ESCARCHA</t>
  </si>
  <si>
    <t xml:space="preserve">13 BOLSAS DE 7 KILOS </t>
  </si>
  <si>
    <t>TOLEDO CHAUX YORYI ARLEY</t>
  </si>
  <si>
    <t xml:space="preserve">JULIO </t>
  </si>
  <si>
    <t>AGOSTO</t>
  </si>
  <si>
    <t>X</t>
  </si>
  <si>
    <t>BANCO AGRARIO DE COLOMBIA S.A. (TARQUI)</t>
  </si>
  <si>
    <t>VLF MONTAJES ELECTROMECANICOS S.A.S</t>
  </si>
  <si>
    <t>$6.500 FACTURA ELECTRONICA</t>
  </si>
  <si>
    <t>2 BOLSAS TUB 7 KG</t>
  </si>
  <si>
    <t>$8.500 FACTURA ELECTRONICA</t>
  </si>
  <si>
    <t>CAMACHO MURCIA ANDRES FELIPE</t>
  </si>
  <si>
    <t>NHR 344 - NHR 606</t>
  </si>
  <si>
    <t>DISPONIBLE</t>
  </si>
  <si>
    <t xml:space="preserve">1 BOLSAS TUB 15 KL </t>
  </si>
  <si>
    <t xml:space="preserve">SUPERMERCADOS </t>
  </si>
  <si>
    <t xml:space="preserve">PRECIO </t>
  </si>
  <si>
    <t xml:space="preserve">ALMACENES EXITO S.A </t>
  </si>
  <si>
    <t>COMPAÑIA DSIERRA SAS</t>
  </si>
  <si>
    <t xml:space="preserve">COMPAÑIA DSIERRA SAS </t>
  </si>
  <si>
    <t xml:space="preserve">TUB 3 KG </t>
  </si>
  <si>
    <t>TUB 7 KG</t>
  </si>
  <si>
    <t>OLIMPICA S.A.</t>
  </si>
  <si>
    <t>5 PACAS DE AGUA x24 UND</t>
  </si>
  <si>
    <t>30 PACAS DE AGUA x24 UND</t>
  </si>
  <si>
    <t xml:space="preserve">PATRIMONIOS AUTONOMOS FIDUCIARIA BANCOLOMBIA SA SOCIEDAD FIDUCIARIA AREA DE SERVICIOS NEIVA KL8 </t>
  </si>
  <si>
    <t>CORPORACION PARA LA INVESTIGACION Y DESARROLLO EN CIENCIAS D (CIMA)</t>
  </si>
  <si>
    <t xml:space="preserve">OLIMPICA SAN AGUSTIN </t>
  </si>
  <si>
    <t>BANCO AGRARIO DE COLOMBIA S.A. (SAN AGUSTIN)</t>
  </si>
  <si>
    <t xml:space="preserve">12 BOTELLONES </t>
  </si>
  <si>
    <t>BANCO AGRARIO DE COLOMBIA S.A. (PITALITO)</t>
  </si>
  <si>
    <t xml:space="preserve">18 BOTELLONES </t>
  </si>
  <si>
    <t>BANCO AGRARIO DE COLOMBIA S.A. (TIMANA)</t>
  </si>
  <si>
    <t>10 BOTELLONES </t>
  </si>
  <si>
    <t>15 BOLSAS TUB 7 KG</t>
  </si>
  <si>
    <t>200 BOLSAS TUB 3 KG</t>
  </si>
  <si>
    <t xml:space="preserve">CEBALLOS QUINTERO MARIA EUGENIA </t>
  </si>
  <si>
    <t>18 BOLSAS TUB 7 KG</t>
  </si>
  <si>
    <t>JESUS ENRIQUE PERDOMO IBAGON -  12.283.626</t>
  </si>
  <si>
    <t>80 BOLSA TUB 15 KILOS</t>
  </si>
  <si>
    <t>130 BOLSA DE 7 KILOS</t>
  </si>
  <si>
    <t>10 AGUAS x15 Und</t>
  </si>
  <si>
    <t xml:space="preserve">ACEVEDO GLOBYS </t>
  </si>
  <si>
    <t>42 PACAS x24 UND</t>
  </si>
  <si>
    <t>3 BLOQUES GRANDES 013</t>
  </si>
  <si>
    <t>POS CONTADO</t>
  </si>
  <si>
    <t>10PACAS DE AGUA x24 UNIDADES</t>
  </si>
  <si>
    <t>CONSORCIO CONSTRUCTOR AUTOVIA NEIVA GIRARDOT (AIPE)</t>
  </si>
  <si>
    <t>5 PACAS DE AGUA x24 UNIDADES</t>
  </si>
  <si>
    <t>3 BOTELLONES</t>
  </si>
  <si>
    <t>12 BOTELLONES</t>
  </si>
  <si>
    <t>POR FAVOR RECORDAR QUE ES UNA SOLA REMISION DE 13 BOTELLONES PARA TWM PERO EL CONDUCTOR LOS ENTREGA EN EL ORDEN DE LA PROGRAMACION</t>
  </si>
  <si>
    <t>50 PACAS DE AGUA x15</t>
  </si>
  <si>
    <t>70 BOLSAS TUB 3 KG</t>
  </si>
  <si>
    <t>BANCO AGRARIO DE COLOMBIA S.A. (GIGANTE)</t>
  </si>
  <si>
    <t>OLIMPICA  AMARANTO</t>
  </si>
  <si>
    <t>60  BOLSAS TUB 3 KG</t>
  </si>
  <si>
    <t>12  BOTELLONES</t>
  </si>
  <si>
    <t>1  BOTELLONES (AVERIA)</t>
  </si>
  <si>
    <t>8  BOTELLONES</t>
  </si>
  <si>
    <t>2  BOTELLONES </t>
  </si>
  <si>
    <t>7 BOTELLONES</t>
  </si>
  <si>
    <t>20 BOTELLONES</t>
  </si>
  <si>
    <t>1 BOTELLONES (AVERIA)</t>
  </si>
  <si>
    <t>FOTON</t>
  </si>
  <si>
    <t>40  BOLSAS TUB 3 KG</t>
  </si>
  <si>
    <t>15  BOLSAS TUB 3 KG</t>
  </si>
  <si>
    <t>ALMACENES ÉXITO (NEIVA CENTRO )</t>
  </si>
  <si>
    <t>ARCINIEGAS ASOCIADOS SP S.A.S. - POP JARDIN</t>
  </si>
  <si>
    <t>RICO CRISTIAN</t>
  </si>
  <si>
    <t>NHR 344</t>
  </si>
  <si>
    <t xml:space="preserve">NHR 606 </t>
  </si>
  <si>
    <t>ANDRES CAMACHO</t>
  </si>
  <si>
    <t>220 BOLSAS TUB 3 KG</t>
  </si>
  <si>
    <t>BANCO AGRARIO DE COLOMBIA S.A. (TIMANA )</t>
  </si>
  <si>
    <t>BANCO AGRARIO DE COLOMBIA S.A. (TARQUI )</t>
  </si>
  <si>
    <t>SEÑOR CONDUCTOR DEBE LLEVAR UN DISPENSADOR NUEVO Y ENTREGARLO EN LA SEDE DE BANCO AGRARIO DE PITALITO Y RECOGER UNO QUE ESTA DAÑADO</t>
  </si>
  <si>
    <t>WILLIAM PEÑA</t>
  </si>
  <si>
    <t>SUPERMERCADO CINCO MENOS LA MARAVILLA SAS (SUR CANAIMA)</t>
  </si>
  <si>
    <t>50  BOLSAS TUB 3 KG</t>
  </si>
  <si>
    <t>CONTADO</t>
  </si>
  <si>
    <t>JHON CUELLAR</t>
  </si>
  <si>
    <t>OLIMPICA  SAO NEIVA</t>
  </si>
  <si>
    <t>20  BOLSAS TUB 7 KG</t>
  </si>
  <si>
    <t>20  BOLSAS TUB 3 KG</t>
  </si>
  <si>
    <t>OLIMPICA CANAIMA</t>
  </si>
  <si>
    <t xml:space="preserve">ARCINIEGAS ASOCIADOS SP S.A.S. - POP RIOJA </t>
  </si>
  <si>
    <t>1  BOLSAS TUB 3 KG</t>
  </si>
  <si>
    <t>100  BOLSAS TUB 3 KG</t>
  </si>
  <si>
    <t>4  BOLSAS TUB 3 KG</t>
  </si>
  <si>
    <t xml:space="preserve">ARCINIEGAS ASOCIADOS SP S.A.S. - POP CAÑA BRAVA </t>
  </si>
  <si>
    <t xml:space="preserve">FOTON </t>
  </si>
  <si>
    <t>BANCO AGRARIO DE COLOMBIA S.A. (YAGUARA)</t>
  </si>
  <si>
    <t>BANCO AGRARIO DE COLOMBIA S.A. (IQUIRA)</t>
  </si>
  <si>
    <t xml:space="preserve">CLUB CAMPESTRE DE NEIVA </t>
  </si>
  <si>
    <t>20 PACAS X 15 UND</t>
  </si>
  <si>
    <t xml:space="preserve">VANS </t>
  </si>
  <si>
    <t>6 PACAS DE AGUA X 24 UNID</t>
  </si>
  <si>
    <t xml:space="preserve">5  BOTELLONES </t>
  </si>
  <si>
    <t xml:space="preserve">26  BOTELLONES </t>
  </si>
  <si>
    <t>PEÑA WILLIAN</t>
  </si>
  <si>
    <t>ALMACENES ÉXITO S.A. SAN PEDRO PLAZA</t>
  </si>
  <si>
    <t>REVISAR OC (157612405)</t>
  </si>
  <si>
    <t>ARCINIEGAS ASOCIADOS SP S.A.S. - POP CANAIMA</t>
  </si>
  <si>
    <t>50 BOTELLONES</t>
  </si>
  <si>
    <t>11  BOTELLONES</t>
  </si>
  <si>
    <t>3  BOTELLONES </t>
  </si>
  <si>
    <t>12 BOTELLONES </t>
  </si>
  <si>
    <t>9 BOTELLONES</t>
  </si>
  <si>
    <t>POR FAVOR RECORDAR QUE ES UNA SOLA REMISION DE 14  BOTELLONES PARA TWM PERO EL CONDUCTOR LOS ENTREGA EN EL ORDEN DE LA PROGRAMACION</t>
  </si>
  <si>
    <t>21 BOTELLONES</t>
  </si>
  <si>
    <t>PATRIMONIOS AUTONOMOS FIDUCIARIA BANCOLOMBIA SA SOCIEDAD FIDUCIARIA PEAJE EL PATA</t>
  </si>
  <si>
    <t>MECANICOS ASOCIADOS S.A.S. (CAMPO TELLO)</t>
  </si>
  <si>
    <t>REMISION TWM S.A.S (TENAY)</t>
  </si>
  <si>
    <t xml:space="preserve"> REMISION TWM S.A.S (TENAY)</t>
  </si>
  <si>
    <t xml:space="preserve"> REMISION TWM S.A.S (BABILLA)</t>
  </si>
  <si>
    <t>REMSION MECANICOS ASOCIADOS</t>
  </si>
  <si>
    <t>SE DESPACHAN 11 BOTELLONES Y 2 BOLSA DE 7 KILOS TUBULAR PARA CAMPO TELLO OJO. SE FACTURA NORMAL LOS 13 BOTELLONES</t>
  </si>
  <si>
    <t>JHON RIOS</t>
  </si>
  <si>
    <t xml:space="preserve">REVISAR OC </t>
  </si>
  <si>
    <t>ARCINIEGAS ASOCIADOS SP S.A.S. - POP CRA 2 CENTRO</t>
  </si>
  <si>
    <t>35  BOLSAS TUB 3 KG</t>
  </si>
  <si>
    <t>SUPERMERCADO CINCO MENOS LA MARAVILLA (SEDE CANAIMA)</t>
  </si>
  <si>
    <t>105 BULTOS DE ESCARCHA 25 KL</t>
  </si>
  <si>
    <t>60 BOLSAS DE ESCARCHA 15 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</si>
</sst>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\ #,##0;[Red]\-&quot;$&quot;\ #,##0"/>
    <numFmt numFmtId="42" formatCode="_-&quot;$&quot;\ * #,##0_-;\-&quot;$&quot;\ * #,##0_-;_-&quot;$&quot;\ * &quot;-&quot;_-;_-@_-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[$-F400]h:mm:ss\ AM/PM"/>
  </numFmts>
  <fonts count="26" x14ac:knownFonts="1">
    <font>
      <sz val="11"/>
      <color theme="1"/>
      <name val="Calibri"/>
      <family val="2"/>
      <scheme val="minor"/>
    </font>
    <font>
      <sz val="10"/>
      <color rgb="FF222222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u/>
      <sz val="10"/>
      <color rgb="FF000000"/>
      <name val="Arial"/>
      <family val="2"/>
    </font>
    <font>
      <b/>
      <sz val="10"/>
      <color rgb="FF222222"/>
      <name val="Arial"/>
      <family val="2"/>
    </font>
    <font>
      <b/>
      <u/>
      <sz val="10"/>
      <color rgb="FF222222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9"/>
      <color rgb="FF222222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b/>
      <sz val="11"/>
      <color rgb="FFFF0000"/>
      <name val="Calibri"/>
      <family val="2"/>
      <scheme val="minor"/>
    </font>
    <font>
      <b/>
      <sz val="10"/>
      <color rgb="FFFF000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rgb="FFEE0000"/>
      <name val="Calibri"/>
      <family val="2"/>
      <scheme val="minor"/>
    </font>
    <font>
      <b/>
      <sz val="9"/>
      <color rgb="FFFF0000"/>
      <name val="Arial"/>
      <family val="2"/>
    </font>
    <font>
      <sz val="14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42" fontId="7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2" fontId="7" fillId="0" borderId="0" applyFont="0" applyFill="0" applyBorder="0" applyAlignment="0" applyProtection="0"/>
    <xf numFmtId="44" fontId="7" fillId="0" borderId="0" applyFont="0" applyFill="0" applyBorder="0" applyAlignment="0" applyProtection="0"/>
  </cellStyleXfs>
  <cellXfs count="216">
    <xf numFmtId="0" fontId="0" fillId="0" borderId="0" xfId="0"/>
    <xf numFmtId="0" fontId="0" fillId="3" borderId="0" xfId="0" applyFill="1"/>
    <xf numFmtId="6" fontId="1" fillId="2" borderId="1" xfId="0" applyNumberFormat="1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 vertical="center"/>
    </xf>
    <xf numFmtId="6" fontId="3" fillId="2" borderId="1" xfId="0" applyNumberFormat="1" applyFont="1" applyFill="1" applyBorder="1" applyAlignment="1">
      <alignment horizontal="center" vertical="center"/>
    </xf>
    <xf numFmtId="6" fontId="2" fillId="3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6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right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 wrapText="1"/>
    </xf>
    <xf numFmtId="6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0" fontId="1" fillId="3" borderId="1" xfId="0" applyNumberFormat="1" applyFont="1" applyFill="1" applyBorder="1" applyAlignment="1">
      <alignment vertical="center"/>
    </xf>
    <xf numFmtId="20" fontId="5" fillId="3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wrapText="1"/>
    </xf>
    <xf numFmtId="6" fontId="2" fillId="3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0" borderId="1" xfId="2" applyBorder="1"/>
    <xf numFmtId="0" fontId="11" fillId="0" borderId="1" xfId="2" applyBorder="1" applyAlignment="1">
      <alignment wrapText="1"/>
    </xf>
    <xf numFmtId="0" fontId="6" fillId="3" borderId="1" xfId="0" applyFont="1" applyFill="1" applyBorder="1" applyAlignment="1">
      <alignment horizontal="center" vertical="center"/>
    </xf>
    <xf numFmtId="20" fontId="6" fillId="3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20" fontId="1" fillId="2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20" fontId="6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6" fontId="0" fillId="0" borderId="0" xfId="0" applyNumberFormat="1"/>
    <xf numFmtId="0" fontId="0" fillId="0" borderId="1" xfId="0" applyBorder="1" applyAlignment="1">
      <alignment horizontal="center" vertical="center"/>
    </xf>
    <xf numFmtId="20" fontId="1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6" fontId="1" fillId="2" borderId="1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0" fontId="16" fillId="5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3" fontId="15" fillId="6" borderId="1" xfId="0" applyNumberFormat="1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0" fontId="0" fillId="4" borderId="0" xfId="0" applyFill="1"/>
    <xf numFmtId="6" fontId="1" fillId="2" borderId="2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/>
    </xf>
    <xf numFmtId="0" fontId="19" fillId="0" borderId="1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20" fillId="0" borderId="0" xfId="0" applyFont="1"/>
    <xf numFmtId="0" fontId="15" fillId="8" borderId="1" xfId="0" applyFont="1" applyFill="1" applyBorder="1" applyAlignment="1">
      <alignment horizontal="left" vertical="center"/>
    </xf>
    <xf numFmtId="0" fontId="15" fillId="8" borderId="1" xfId="0" applyFont="1" applyFill="1" applyBorder="1" applyAlignment="1">
      <alignment horizontal="center" vertical="center"/>
    </xf>
    <xf numFmtId="3" fontId="15" fillId="8" borderId="1" xfId="0" applyNumberFormat="1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left" vertical="center"/>
    </xf>
    <xf numFmtId="0" fontId="20" fillId="3" borderId="1" xfId="0" applyFont="1" applyFill="1" applyBorder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left" vertical="center"/>
    </xf>
    <xf numFmtId="6" fontId="2" fillId="3" borderId="1" xfId="1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6" fontId="2" fillId="3" borderId="3" xfId="1" applyNumberFormat="1" applyFont="1" applyFill="1" applyBorder="1" applyAlignment="1">
      <alignment horizontal="center" vertical="center" wrapText="1"/>
    </xf>
    <xf numFmtId="6" fontId="2" fillId="3" borderId="2" xfId="1" applyNumberFormat="1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8" fillId="0" borderId="1" xfId="0" applyFont="1" applyBorder="1"/>
    <xf numFmtId="0" fontId="21" fillId="4" borderId="1" xfId="0" applyFont="1" applyFill="1" applyBorder="1" applyAlignment="1">
      <alignment horizontal="center" vertical="center"/>
    </xf>
    <xf numFmtId="164" fontId="8" fillId="0" borderId="1" xfId="4" applyNumberFormat="1" applyFont="1" applyBorder="1"/>
    <xf numFmtId="0" fontId="16" fillId="3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6" fontId="3" fillId="3" borderId="1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6" fontId="2" fillId="3" borderId="4" xfId="1" applyNumberFormat="1" applyFont="1" applyFill="1" applyBorder="1" applyAlignment="1">
      <alignment horizontal="center" vertical="center" wrapText="1"/>
    </xf>
    <xf numFmtId="6" fontId="10" fillId="3" borderId="1" xfId="1" applyNumberFormat="1" applyFont="1" applyFill="1" applyBorder="1" applyAlignment="1">
      <alignment horizontal="center" vertical="center" wrapText="1"/>
    </xf>
    <xf numFmtId="6" fontId="3" fillId="2" borderId="1" xfId="0" applyNumberFormat="1" applyFont="1" applyFill="1" applyBorder="1" applyAlignment="1">
      <alignment horizontal="center" vertical="center" wrapText="1"/>
    </xf>
    <xf numFmtId="6" fontId="3" fillId="3" borderId="1" xfId="0" applyNumberFormat="1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5" fillId="13" borderId="9" xfId="0" applyFont="1" applyFill="1" applyBorder="1" applyAlignment="1">
      <alignment horizontal="center" wrapText="1"/>
    </xf>
    <xf numFmtId="0" fontId="0" fillId="13" borderId="9" xfId="0" applyFill="1" applyBorder="1" applyAlignment="1">
      <alignment horizont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center" vertical="center" wrapText="1"/>
    </xf>
    <xf numFmtId="0" fontId="21" fillId="4" borderId="4" xfId="0" applyFont="1" applyFill="1" applyBorder="1" applyAlignment="1">
      <alignment horizontal="center" vertical="center" wrapText="1"/>
    </xf>
    <xf numFmtId="0" fontId="21" fillId="4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0" fontId="1" fillId="2" borderId="3" xfId="0" applyNumberFormat="1" applyFont="1" applyFill="1" applyBorder="1" applyAlignment="1">
      <alignment horizontal="center" vertical="center"/>
    </xf>
    <xf numFmtId="20" fontId="1" fillId="2" borderId="4" xfId="0" applyNumberFormat="1" applyFont="1" applyFill="1" applyBorder="1" applyAlignment="1">
      <alignment horizontal="center" vertical="center"/>
    </xf>
    <xf numFmtId="20" fontId="1" fillId="2" borderId="2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6" fontId="2" fillId="3" borderId="3" xfId="1" applyNumberFormat="1" applyFont="1" applyFill="1" applyBorder="1" applyAlignment="1">
      <alignment horizontal="center" vertical="center" wrapText="1"/>
    </xf>
    <xf numFmtId="6" fontId="2" fillId="3" borderId="2" xfId="1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20" fontId="1" fillId="3" borderId="3" xfId="0" applyNumberFormat="1" applyFont="1" applyFill="1" applyBorder="1" applyAlignment="1">
      <alignment horizontal="center" vertical="center" wrapText="1"/>
    </xf>
    <xf numFmtId="20" fontId="1" fillId="3" borderId="2" xfId="0" applyNumberFormat="1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5" fontId="1" fillId="3" borderId="2" xfId="0" applyNumberFormat="1" applyFont="1" applyFill="1" applyBorder="1" applyAlignment="1">
      <alignment horizontal="center" vertical="center" wrapText="1"/>
    </xf>
    <xf numFmtId="165" fontId="1" fillId="3" borderId="1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0" fontId="1" fillId="3" borderId="1" xfId="0" applyNumberFormat="1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6" fontId="2" fillId="3" borderId="1" xfId="1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20" fontId="1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8" fontId="1" fillId="2" borderId="1" xfId="0" applyNumberFormat="1" applyFont="1" applyFill="1" applyBorder="1" applyAlignment="1">
      <alignment horizontal="center" vertical="center"/>
    </xf>
    <xf numFmtId="18" fontId="1" fillId="2" borderId="1" xfId="0" applyNumberFormat="1" applyFont="1" applyFill="1" applyBorder="1" applyAlignment="1">
      <alignment horizontal="center"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24" fillId="4" borderId="9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6" fillId="2" borderId="3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left" vertical="center"/>
    </xf>
    <xf numFmtId="6" fontId="2" fillId="0" borderId="3" xfId="0" applyNumberFormat="1" applyFont="1" applyBorder="1" applyAlignment="1">
      <alignment horizontal="center" vertical="center"/>
    </xf>
    <xf numFmtId="6" fontId="2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2" borderId="1" xfId="0" applyFont="1" applyFill="1" applyBorder="1" applyAlignment="1">
      <alignment horizontal="left" vertical="center"/>
    </xf>
  </cellXfs>
  <cellStyles count="5">
    <cellStyle name="Hipervínculo" xfId="2" builtinId="8"/>
    <cellStyle name="Moneda" xfId="4" builtinId="4"/>
    <cellStyle name="Moneda [0]" xfId="1" builtinId="7"/>
    <cellStyle name="Moneda [0] 2" xfId="3" xr:uid="{A700F51D-CFE4-48B1-93DF-61A182D08489}"/>
    <cellStyle name="Normal" xfId="0" builtinId="0"/>
  </cellStyles>
  <dxfs count="0"/>
  <tableStyles count="0" defaultTableStyle="TableStyleMedium2" defaultPivotStyle="PivotStyleLight16"/>
  <colors>
    <mruColors>
      <color rgb="FFFFCCFF"/>
      <color rgb="FFFF99FF"/>
      <color rgb="FF9BDE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alentohumano@hielofoca.com.co" TargetMode="External"/><Relationship Id="rId13" Type="http://schemas.openxmlformats.org/officeDocument/2006/relationships/hyperlink" Target="mailto:Compras@hielofoca.com.co" TargetMode="External"/><Relationship Id="rId3" Type="http://schemas.openxmlformats.org/officeDocument/2006/relationships/hyperlink" Target="mailto:CONTABILIDAD@hielofoca.com.co" TargetMode="External"/><Relationship Id="rId7" Type="http://schemas.openxmlformats.org/officeDocument/2006/relationships/hyperlink" Target="mailto:hielofoca.caja@gmail.com" TargetMode="External"/><Relationship Id="rId12" Type="http://schemas.openxmlformats.org/officeDocument/2006/relationships/hyperlink" Target="mailto:tesoreriahielofoca@gmail.com" TargetMode="External"/><Relationship Id="rId2" Type="http://schemas.openxmlformats.org/officeDocument/2006/relationships/hyperlink" Target="mailto:gerencia@hielofoca.com.co" TargetMode="External"/><Relationship Id="rId1" Type="http://schemas.openxmlformats.org/officeDocument/2006/relationships/hyperlink" Target="mailto:info@hielofoca.com.co%20-" TargetMode="External"/><Relationship Id="rId6" Type="http://schemas.openxmlformats.org/officeDocument/2006/relationships/hyperlink" Target="mailto:hielofoca.caja@gmail.com" TargetMode="External"/><Relationship Id="rId11" Type="http://schemas.openxmlformats.org/officeDocument/2006/relationships/hyperlink" Target="mailto:Mantenimiento.cofrio@gmail.com" TargetMode="External"/><Relationship Id="rId5" Type="http://schemas.openxmlformats.org/officeDocument/2006/relationships/hyperlink" Target="mailto:calidad@hielofoca.com.co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pedidos@hielofoca.com.co" TargetMode="External"/><Relationship Id="rId4" Type="http://schemas.openxmlformats.org/officeDocument/2006/relationships/hyperlink" Target="mailto:cartera@hielofoca.com.co" TargetMode="External"/><Relationship Id="rId9" Type="http://schemas.openxmlformats.org/officeDocument/2006/relationships/hyperlink" Target="mailto:auxhsth@hielofoca.com.co" TargetMode="External"/><Relationship Id="rId14" Type="http://schemas.openxmlformats.org/officeDocument/2006/relationships/hyperlink" Target="mailto:comercial2@hielofoca.com.c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1E20A-3320-445B-8E66-48FAB09F743A}">
  <dimension ref="A1:EF88"/>
  <sheetViews>
    <sheetView topLeftCell="A61" workbookViewId="0">
      <selection activeCell="E85" sqref="E85"/>
    </sheetView>
  </sheetViews>
  <sheetFormatPr baseColWidth="10" defaultRowHeight="15" x14ac:dyDescent="0.25"/>
  <cols>
    <col min="1" max="1" width="42.7109375" customWidth="1"/>
    <col min="2" max="2" width="15.7109375" customWidth="1"/>
    <col min="3" max="3" width="28" customWidth="1"/>
    <col min="5" max="5" width="39.42578125" customWidth="1"/>
    <col min="6" max="6" width="17.7109375" customWidth="1"/>
    <col min="7" max="7" width="22.7109375" customWidth="1"/>
  </cols>
  <sheetData>
    <row r="1" spans="1:136" ht="15.75" customHeight="1" x14ac:dyDescent="0.25">
      <c r="A1" s="53" t="s">
        <v>15</v>
      </c>
      <c r="B1" s="53" t="s">
        <v>17</v>
      </c>
      <c r="C1" s="53" t="s">
        <v>18</v>
      </c>
    </row>
    <row r="2" spans="1:136" ht="14.25" customHeight="1" x14ac:dyDescent="0.25">
      <c r="A2" s="73" t="s">
        <v>311</v>
      </c>
      <c r="B2" s="74">
        <v>53</v>
      </c>
      <c r="C2" s="75" t="s">
        <v>16</v>
      </c>
    </row>
    <row r="3" spans="1:136" ht="14.25" customHeight="1" x14ac:dyDescent="0.25">
      <c r="A3" s="76" t="s">
        <v>311</v>
      </c>
      <c r="B3" s="77">
        <v>30</v>
      </c>
      <c r="C3" s="78" t="s">
        <v>38</v>
      </c>
    </row>
    <row r="4" spans="1:136" ht="12.75" customHeight="1" x14ac:dyDescent="0.25">
      <c r="A4" s="76" t="s">
        <v>311</v>
      </c>
      <c r="B4" s="77">
        <v>38</v>
      </c>
      <c r="C4" s="78" t="s">
        <v>39</v>
      </c>
    </row>
    <row r="5" spans="1:136" ht="12.75" customHeight="1" x14ac:dyDescent="0.25">
      <c r="A5" s="73" t="s">
        <v>260</v>
      </c>
      <c r="B5" s="74">
        <v>37</v>
      </c>
      <c r="C5" s="75" t="s">
        <v>22</v>
      </c>
    </row>
    <row r="6" spans="1:136" ht="12.75" customHeight="1" x14ac:dyDescent="0.25">
      <c r="A6" s="76" t="s">
        <v>260</v>
      </c>
      <c r="B6" s="79">
        <v>61</v>
      </c>
      <c r="C6" s="78" t="s">
        <v>102</v>
      </c>
    </row>
    <row r="7" spans="1:136" ht="12.75" customHeight="1" x14ac:dyDescent="0.25">
      <c r="A7" s="73" t="s">
        <v>326</v>
      </c>
      <c r="B7" s="74">
        <v>55</v>
      </c>
      <c r="C7" s="75" t="s">
        <v>16</v>
      </c>
    </row>
    <row r="8" spans="1:136" ht="12.75" customHeight="1" x14ac:dyDescent="0.25">
      <c r="A8" s="80" t="s">
        <v>326</v>
      </c>
      <c r="B8" s="77">
        <v>34</v>
      </c>
      <c r="C8" s="78" t="s">
        <v>38</v>
      </c>
    </row>
    <row r="9" spans="1:136" ht="12.75" customHeight="1" x14ac:dyDescent="0.25">
      <c r="A9" s="80" t="s">
        <v>326</v>
      </c>
      <c r="B9" s="77">
        <v>44</v>
      </c>
      <c r="C9" s="78" t="s">
        <v>39</v>
      </c>
    </row>
    <row r="10" spans="1:136" ht="12.75" customHeight="1" x14ac:dyDescent="0.25">
      <c r="A10" s="73" t="s">
        <v>335</v>
      </c>
      <c r="B10" s="74">
        <v>56</v>
      </c>
      <c r="C10" s="75" t="s">
        <v>16</v>
      </c>
    </row>
    <row r="11" spans="1:136" ht="12.75" customHeight="1" x14ac:dyDescent="0.25">
      <c r="A11" s="76" t="s">
        <v>335</v>
      </c>
      <c r="B11" s="79">
        <v>43</v>
      </c>
      <c r="C11" s="81" t="s">
        <v>336</v>
      </c>
    </row>
    <row r="12" spans="1:136" s="59" customFormat="1" ht="12.75" customHeight="1" x14ac:dyDescent="0.25">
      <c r="A12" s="76" t="s">
        <v>335</v>
      </c>
      <c r="B12" s="77">
        <v>33</v>
      </c>
      <c r="C12" s="78" t="s">
        <v>38</v>
      </c>
    </row>
    <row r="13" spans="1:136" ht="12.75" customHeight="1" x14ac:dyDescent="0.25">
      <c r="A13" s="98" t="s">
        <v>337</v>
      </c>
      <c r="B13" s="77">
        <v>62</v>
      </c>
      <c r="C13" s="78" t="s">
        <v>102</v>
      </c>
    </row>
    <row r="14" spans="1:136" ht="12.75" customHeight="1" x14ac:dyDescent="0.25">
      <c r="A14" s="73" t="s">
        <v>47</v>
      </c>
      <c r="B14" s="74">
        <v>54</v>
      </c>
      <c r="C14" s="75" t="s">
        <v>16</v>
      </c>
    </row>
    <row r="15" spans="1:136" ht="12.75" customHeight="1" x14ac:dyDescent="0.25">
      <c r="A15" s="76" t="s">
        <v>47</v>
      </c>
      <c r="B15" s="77">
        <v>29</v>
      </c>
      <c r="C15" s="78" t="s">
        <v>38</v>
      </c>
    </row>
    <row r="16" spans="1:136" s="1" customFormat="1" ht="12.75" customHeight="1" x14ac:dyDescent="0.25">
      <c r="A16" s="76" t="s">
        <v>47</v>
      </c>
      <c r="B16" s="77">
        <v>41</v>
      </c>
      <c r="C16" s="78" t="s">
        <v>39</v>
      </c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</row>
    <row r="17" spans="1:3" s="59" customFormat="1" ht="12.75" customHeight="1" x14ac:dyDescent="0.25">
      <c r="A17" s="73" t="s">
        <v>261</v>
      </c>
      <c r="B17" s="74">
        <v>39</v>
      </c>
      <c r="C17" s="75" t="s">
        <v>39</v>
      </c>
    </row>
    <row r="18" spans="1:3" ht="12.75" customHeight="1" x14ac:dyDescent="0.25">
      <c r="A18" s="76" t="s">
        <v>261</v>
      </c>
      <c r="B18" s="77">
        <v>63</v>
      </c>
      <c r="C18" s="78" t="s">
        <v>102</v>
      </c>
    </row>
    <row r="19" spans="1:3" ht="12.75" customHeight="1" x14ac:dyDescent="0.25">
      <c r="A19" s="76" t="s">
        <v>261</v>
      </c>
      <c r="B19" s="77">
        <v>32</v>
      </c>
      <c r="C19" s="78" t="s">
        <v>38</v>
      </c>
    </row>
    <row r="20" spans="1:3" s="59" customFormat="1" ht="12.75" customHeight="1" x14ac:dyDescent="0.25">
      <c r="A20" s="73" t="s">
        <v>100</v>
      </c>
      <c r="B20" s="74">
        <v>57</v>
      </c>
      <c r="C20" s="75" t="s">
        <v>16</v>
      </c>
    </row>
    <row r="21" spans="1:3" s="1" customFormat="1" ht="12.75" customHeight="1" x14ac:dyDescent="0.25">
      <c r="A21" s="80" t="s">
        <v>100</v>
      </c>
      <c r="B21" s="77">
        <v>31</v>
      </c>
      <c r="C21" s="78" t="s">
        <v>38</v>
      </c>
    </row>
    <row r="22" spans="1:3" s="1" customFormat="1" ht="12.75" customHeight="1" x14ac:dyDescent="0.25">
      <c r="A22" s="80" t="s">
        <v>100</v>
      </c>
      <c r="B22" s="77">
        <v>40</v>
      </c>
      <c r="C22" s="78" t="s">
        <v>39</v>
      </c>
    </row>
    <row r="23" spans="1:3" ht="12.75" customHeight="1" x14ac:dyDescent="0.25">
      <c r="A23" s="73" t="s">
        <v>310</v>
      </c>
      <c r="B23" s="74">
        <v>51</v>
      </c>
      <c r="C23" s="75" t="s">
        <v>16</v>
      </c>
    </row>
    <row r="24" spans="1:3" ht="12.75" customHeight="1" x14ac:dyDescent="0.25">
      <c r="A24" s="76" t="s">
        <v>310</v>
      </c>
      <c r="B24" s="79">
        <v>28</v>
      </c>
      <c r="C24" s="81" t="s">
        <v>38</v>
      </c>
    </row>
    <row r="25" spans="1:3" ht="12.75" customHeight="1" x14ac:dyDescent="0.25">
      <c r="A25" s="76" t="s">
        <v>310</v>
      </c>
      <c r="B25" s="79">
        <v>45</v>
      </c>
      <c r="C25" s="78" t="s">
        <v>39</v>
      </c>
    </row>
    <row r="26" spans="1:3" ht="12.75" customHeight="1" x14ac:dyDescent="0.25">
      <c r="A26" s="73" t="s">
        <v>26</v>
      </c>
      <c r="B26" s="74">
        <v>52</v>
      </c>
      <c r="C26" s="75" t="s">
        <v>16</v>
      </c>
    </row>
    <row r="27" spans="1:3" ht="12.75" customHeight="1" x14ac:dyDescent="0.25">
      <c r="A27" s="76" t="s">
        <v>26</v>
      </c>
      <c r="B27" s="77">
        <v>35</v>
      </c>
      <c r="C27" s="78" t="s">
        <v>38</v>
      </c>
    </row>
    <row r="28" spans="1:3" ht="12.75" customHeight="1" x14ac:dyDescent="0.25">
      <c r="A28" s="76" t="s">
        <v>26</v>
      </c>
      <c r="B28" s="77">
        <v>42</v>
      </c>
      <c r="C28" s="78" t="s">
        <v>39</v>
      </c>
    </row>
    <row r="29" spans="1:3" ht="12.75" customHeight="1" x14ac:dyDescent="0.25">
      <c r="A29" s="83" t="s">
        <v>21</v>
      </c>
      <c r="B29" s="54" t="s">
        <v>120</v>
      </c>
      <c r="C29" s="54" t="s">
        <v>121</v>
      </c>
    </row>
    <row r="30" spans="1:3" ht="12.75" customHeight="1" x14ac:dyDescent="0.25">
      <c r="A30" s="83" t="s">
        <v>21</v>
      </c>
      <c r="B30" s="54" t="s">
        <v>35</v>
      </c>
      <c r="C30" s="54">
        <v>36</v>
      </c>
    </row>
    <row r="31" spans="1:3" ht="15.75" x14ac:dyDescent="0.25">
      <c r="A31" s="83" t="s">
        <v>33</v>
      </c>
      <c r="B31" s="54" t="s">
        <v>34</v>
      </c>
      <c r="C31" s="55" t="s">
        <v>119</v>
      </c>
    </row>
    <row r="32" spans="1:3" ht="16.5" customHeight="1" x14ac:dyDescent="0.25">
      <c r="A32" s="83" t="s">
        <v>33</v>
      </c>
      <c r="B32" s="56" t="s">
        <v>35</v>
      </c>
      <c r="C32" s="54">
        <v>19</v>
      </c>
    </row>
    <row r="33" spans="1:3" ht="14.25" customHeight="1" x14ac:dyDescent="0.25">
      <c r="A33" s="83" t="s">
        <v>123</v>
      </c>
      <c r="B33" s="56" t="s">
        <v>122</v>
      </c>
      <c r="C33" s="54">
        <v>22</v>
      </c>
    </row>
    <row r="34" spans="1:3" ht="33.75" customHeight="1" x14ac:dyDescent="0.25">
      <c r="A34" s="114" t="s">
        <v>36</v>
      </c>
      <c r="B34" s="114"/>
      <c r="C34" s="114"/>
    </row>
    <row r="36" spans="1:3" x14ac:dyDescent="0.25">
      <c r="A36" s="112" t="s">
        <v>105</v>
      </c>
      <c r="B36" s="112"/>
    </row>
    <row r="37" spans="1:3" ht="27.75" customHeight="1" x14ac:dyDescent="0.25">
      <c r="A37" s="113" t="s">
        <v>50</v>
      </c>
      <c r="B37" s="113"/>
    </row>
    <row r="38" spans="1:3" x14ac:dyDescent="0.25">
      <c r="A38" s="49" t="s">
        <v>51</v>
      </c>
      <c r="B38" s="5">
        <v>3000</v>
      </c>
    </row>
    <row r="39" spans="1:3" x14ac:dyDescent="0.25">
      <c r="A39" s="49" t="s">
        <v>103</v>
      </c>
      <c r="B39" s="5">
        <v>3900</v>
      </c>
    </row>
    <row r="40" spans="1:3" x14ac:dyDescent="0.25">
      <c r="A40" s="49" t="s">
        <v>104</v>
      </c>
      <c r="B40" s="5">
        <v>9000</v>
      </c>
    </row>
    <row r="41" spans="1:3" x14ac:dyDescent="0.25">
      <c r="A41" s="49" t="s">
        <v>52</v>
      </c>
      <c r="B41" s="5">
        <v>3500</v>
      </c>
    </row>
    <row r="42" spans="1:3" x14ac:dyDescent="0.25">
      <c r="A42" s="49" t="s">
        <v>53</v>
      </c>
      <c r="B42" s="5">
        <v>5500</v>
      </c>
    </row>
    <row r="43" spans="1:3" x14ac:dyDescent="0.25">
      <c r="A43" s="49" t="s">
        <v>54</v>
      </c>
      <c r="B43" s="5">
        <v>14000</v>
      </c>
    </row>
    <row r="44" spans="1:3" x14ac:dyDescent="0.25">
      <c r="A44" s="49" t="s">
        <v>55</v>
      </c>
      <c r="B44" s="5">
        <v>13000</v>
      </c>
    </row>
    <row r="45" spans="1:3" x14ac:dyDescent="0.25">
      <c r="A45" s="49" t="s">
        <v>56</v>
      </c>
      <c r="B45" s="5">
        <v>17000</v>
      </c>
    </row>
    <row r="46" spans="1:3" x14ac:dyDescent="0.25">
      <c r="A46" s="49" t="s">
        <v>57</v>
      </c>
      <c r="B46" s="5">
        <v>15000</v>
      </c>
    </row>
    <row r="47" spans="1:3" x14ac:dyDescent="0.25">
      <c r="A47" s="49" t="s">
        <v>58</v>
      </c>
      <c r="B47" s="5">
        <v>16000</v>
      </c>
    </row>
    <row r="48" spans="1:3" x14ac:dyDescent="0.25">
      <c r="A48" s="49" t="s">
        <v>59</v>
      </c>
      <c r="B48" s="5">
        <v>2000</v>
      </c>
    </row>
    <row r="49" spans="1:3" x14ac:dyDescent="0.25">
      <c r="A49" s="49" t="s">
        <v>60</v>
      </c>
      <c r="B49" s="5">
        <v>3100</v>
      </c>
    </row>
    <row r="50" spans="1:3" x14ac:dyDescent="0.25">
      <c r="A50" s="49" t="s">
        <v>62</v>
      </c>
      <c r="B50" s="5">
        <v>6500</v>
      </c>
    </row>
    <row r="51" spans="1:3" x14ac:dyDescent="0.25">
      <c r="A51" s="49" t="s">
        <v>61</v>
      </c>
      <c r="B51" s="5">
        <v>12000</v>
      </c>
    </row>
    <row r="54" spans="1:3" x14ac:dyDescent="0.25">
      <c r="A54" s="42" t="s">
        <v>63</v>
      </c>
      <c r="B54" s="44" t="s">
        <v>64</v>
      </c>
      <c r="C54" s="44" t="s">
        <v>65</v>
      </c>
    </row>
    <row r="55" spans="1:3" x14ac:dyDescent="0.25">
      <c r="A55" s="32" t="s">
        <v>66</v>
      </c>
      <c r="B55" s="33" t="s">
        <v>67</v>
      </c>
      <c r="C55" s="29"/>
    </row>
    <row r="56" spans="1:3" x14ac:dyDescent="0.25">
      <c r="A56" s="32" t="s">
        <v>68</v>
      </c>
      <c r="B56" s="33" t="s">
        <v>90</v>
      </c>
      <c r="C56" s="29">
        <v>3167400038</v>
      </c>
    </row>
    <row r="57" spans="1:3" x14ac:dyDescent="0.25">
      <c r="A57" s="32" t="s">
        <v>87</v>
      </c>
      <c r="B57" s="33" t="s">
        <v>86</v>
      </c>
      <c r="C57" s="29"/>
    </row>
    <row r="58" spans="1:3" x14ac:dyDescent="0.25">
      <c r="A58" s="32" t="s">
        <v>69</v>
      </c>
      <c r="B58" s="33" t="s">
        <v>85</v>
      </c>
      <c r="C58" s="29"/>
    </row>
    <row r="59" spans="1:3" x14ac:dyDescent="0.25">
      <c r="A59" s="32" t="s">
        <v>70</v>
      </c>
      <c r="B59" s="33" t="s">
        <v>81</v>
      </c>
      <c r="C59" s="29"/>
    </row>
    <row r="60" spans="1:3" ht="31.5" customHeight="1" x14ac:dyDescent="0.25">
      <c r="A60" s="32" t="s">
        <v>71</v>
      </c>
      <c r="B60" s="34" t="s">
        <v>84</v>
      </c>
      <c r="C60" s="29"/>
    </row>
    <row r="61" spans="1:3" x14ac:dyDescent="0.25">
      <c r="A61" s="32" t="s">
        <v>72</v>
      </c>
      <c r="B61" s="33" t="s">
        <v>92</v>
      </c>
      <c r="C61" s="29">
        <v>3155457907</v>
      </c>
    </row>
    <row r="62" spans="1:3" x14ac:dyDescent="0.25">
      <c r="A62" s="32" t="s">
        <v>73</v>
      </c>
      <c r="B62" s="33" t="s">
        <v>82</v>
      </c>
      <c r="C62" s="29"/>
    </row>
    <row r="63" spans="1:3" x14ac:dyDescent="0.25">
      <c r="A63" s="32" t="s">
        <v>74</v>
      </c>
      <c r="B63" s="33" t="s">
        <v>79</v>
      </c>
      <c r="C63" s="29"/>
    </row>
    <row r="64" spans="1:3" x14ac:dyDescent="0.25">
      <c r="A64" s="32" t="s">
        <v>75</v>
      </c>
      <c r="B64" s="33" t="s">
        <v>83</v>
      </c>
      <c r="C64" s="29">
        <v>3174363364</v>
      </c>
    </row>
    <row r="65" spans="1:3" x14ac:dyDescent="0.25">
      <c r="A65" s="32" t="s">
        <v>76</v>
      </c>
      <c r="B65" s="33" t="s">
        <v>83</v>
      </c>
      <c r="C65" s="29"/>
    </row>
    <row r="66" spans="1:3" x14ac:dyDescent="0.25">
      <c r="A66" s="32" t="s">
        <v>77</v>
      </c>
      <c r="B66" s="33" t="s">
        <v>91</v>
      </c>
      <c r="C66" s="29">
        <v>3124710180</v>
      </c>
    </row>
    <row r="67" spans="1:3" x14ac:dyDescent="0.25">
      <c r="A67" s="32" t="s">
        <v>78</v>
      </c>
      <c r="B67" s="33" t="s">
        <v>89</v>
      </c>
      <c r="C67" s="29"/>
    </row>
    <row r="68" spans="1:3" x14ac:dyDescent="0.25">
      <c r="A68" s="32" t="s">
        <v>88</v>
      </c>
      <c r="B68" s="33" t="s">
        <v>80</v>
      </c>
      <c r="C68" s="29">
        <v>3153236712</v>
      </c>
    </row>
    <row r="70" spans="1:3" x14ac:dyDescent="0.25">
      <c r="A70" s="53" t="s">
        <v>129</v>
      </c>
      <c r="B70" s="53" t="s">
        <v>17</v>
      </c>
      <c r="C70" s="53" t="s">
        <v>130</v>
      </c>
    </row>
    <row r="71" spans="1:3" x14ac:dyDescent="0.25">
      <c r="A71" s="70" t="s">
        <v>132</v>
      </c>
      <c r="B71" s="71">
        <v>5</v>
      </c>
      <c r="C71" s="72">
        <v>7725044</v>
      </c>
    </row>
    <row r="72" spans="1:3" x14ac:dyDescent="0.25">
      <c r="A72" s="70" t="s">
        <v>133</v>
      </c>
      <c r="B72" s="71">
        <v>6</v>
      </c>
      <c r="C72" s="72">
        <v>17328221</v>
      </c>
    </row>
    <row r="73" spans="1:3" x14ac:dyDescent="0.25">
      <c r="A73" s="70" t="s">
        <v>134</v>
      </c>
      <c r="B73" s="71">
        <v>7</v>
      </c>
      <c r="C73" s="72">
        <v>7247582</v>
      </c>
    </row>
    <row r="74" spans="1:3" x14ac:dyDescent="0.25">
      <c r="A74" s="70" t="s">
        <v>135</v>
      </c>
      <c r="B74" s="71">
        <v>8</v>
      </c>
      <c r="C74" s="72">
        <v>7685879</v>
      </c>
    </row>
    <row r="75" spans="1:3" x14ac:dyDescent="0.25">
      <c r="A75" s="70" t="s">
        <v>136</v>
      </c>
      <c r="B75" s="71">
        <v>12</v>
      </c>
      <c r="C75" s="72">
        <v>7721366</v>
      </c>
    </row>
    <row r="76" spans="1:3" x14ac:dyDescent="0.25">
      <c r="A76" s="70" t="s">
        <v>137</v>
      </c>
      <c r="B76" s="71">
        <v>13</v>
      </c>
      <c r="C76" s="72">
        <v>12121403</v>
      </c>
    </row>
    <row r="77" spans="1:3" x14ac:dyDescent="0.25">
      <c r="A77" s="70" t="s">
        <v>138</v>
      </c>
      <c r="B77" s="71">
        <v>15</v>
      </c>
      <c r="C77" s="72">
        <v>7731136</v>
      </c>
    </row>
    <row r="78" spans="1:3" x14ac:dyDescent="0.25">
      <c r="A78" s="70" t="s">
        <v>131</v>
      </c>
      <c r="B78" s="71">
        <v>16</v>
      </c>
      <c r="C78" s="72">
        <v>83224248</v>
      </c>
    </row>
    <row r="79" spans="1:3" x14ac:dyDescent="0.25">
      <c r="A79" s="70" t="s">
        <v>139</v>
      </c>
      <c r="B79" s="71">
        <v>23</v>
      </c>
      <c r="C79" s="72">
        <v>83229799</v>
      </c>
    </row>
    <row r="80" spans="1:3" x14ac:dyDescent="0.25">
      <c r="A80" s="70" t="s">
        <v>140</v>
      </c>
      <c r="B80" s="71">
        <v>19</v>
      </c>
      <c r="C80" s="72">
        <v>5165026</v>
      </c>
    </row>
    <row r="81" spans="1:3" x14ac:dyDescent="0.25">
      <c r="A81" s="70" t="s">
        <v>141</v>
      </c>
      <c r="B81" s="71">
        <v>24</v>
      </c>
      <c r="C81" s="72">
        <v>36153689</v>
      </c>
    </row>
    <row r="82" spans="1:3" x14ac:dyDescent="0.25">
      <c r="A82" s="70" t="s">
        <v>142</v>
      </c>
      <c r="B82" s="71">
        <v>36</v>
      </c>
      <c r="C82" s="72">
        <v>1075320222</v>
      </c>
    </row>
    <row r="83" spans="1:3" x14ac:dyDescent="0.25">
      <c r="A83" s="70" t="s">
        <v>143</v>
      </c>
      <c r="B83" s="71">
        <v>26</v>
      </c>
      <c r="C83" s="72">
        <v>12114401</v>
      </c>
    </row>
    <row r="84" spans="1:3" x14ac:dyDescent="0.25">
      <c r="A84" s="70" t="s">
        <v>144</v>
      </c>
      <c r="B84" s="71"/>
      <c r="C84" s="72">
        <v>17632318</v>
      </c>
    </row>
    <row r="85" spans="1:3" x14ac:dyDescent="0.25">
      <c r="A85" s="70" t="s">
        <v>145</v>
      </c>
      <c r="B85" s="71"/>
      <c r="C85" s="72">
        <v>12170925</v>
      </c>
    </row>
    <row r="86" spans="1:3" x14ac:dyDescent="0.25">
      <c r="A86" s="70" t="s">
        <v>146</v>
      </c>
      <c r="B86" s="71"/>
      <c r="C86" s="72">
        <v>12277398</v>
      </c>
    </row>
    <row r="87" spans="1:3" x14ac:dyDescent="0.25">
      <c r="A87" s="70" t="s">
        <v>147</v>
      </c>
      <c r="B87" s="71"/>
      <c r="C87" s="72">
        <v>1075222202</v>
      </c>
    </row>
    <row r="88" spans="1:3" x14ac:dyDescent="0.25">
      <c r="A88" s="70" t="s">
        <v>148</v>
      </c>
      <c r="B88" s="71"/>
      <c r="C88" s="72">
        <v>1007681658</v>
      </c>
    </row>
  </sheetData>
  <sortState xmlns:xlrd2="http://schemas.microsoft.com/office/spreadsheetml/2017/richdata2" ref="A2:C28">
    <sortCondition ref="A2:A28"/>
  </sortState>
  <mergeCells count="3">
    <mergeCell ref="A36:B36"/>
    <mergeCell ref="A37:B37"/>
    <mergeCell ref="A34:C34"/>
  </mergeCells>
  <hyperlinks>
    <hyperlink ref="B60" r:id="rId1" display="info@hielofoca.com.co - " xr:uid="{30565162-5744-469D-9E4B-26FAC3E3BDE6}"/>
    <hyperlink ref="B62" r:id="rId2" xr:uid="{B3BC1969-5F24-4CF3-9446-4E27174DC0E0}"/>
    <hyperlink ref="B59" r:id="rId3" xr:uid="{7FF7CA11-08AF-46DE-AE6B-4756925A8FE1}"/>
    <hyperlink ref="B55" r:id="rId4" xr:uid="{CC56072F-2766-4D09-8D41-E27CC1A9BDAE}"/>
    <hyperlink ref="B63" r:id="rId5" xr:uid="{7D47D72C-B4AC-421F-89C4-30D86EBD8E6F}"/>
    <hyperlink ref="B64" r:id="rId6" xr:uid="{D45A85ED-DE87-4FE1-9E85-19F28D11510B}"/>
    <hyperlink ref="B65" r:id="rId7" xr:uid="{F0697931-5D2D-4BA1-9A16-679DBFBAD27E}"/>
    <hyperlink ref="B58" r:id="rId8" xr:uid="{146D0A93-2FC8-442E-9F18-64ABB1B5DACF}"/>
    <hyperlink ref="B57" r:id="rId9" xr:uid="{D802C4B7-3327-41E7-8C62-891F15CBBA17}"/>
    <hyperlink ref="B68" r:id="rId10" xr:uid="{B8B5A2B7-B080-4FF3-BC78-542A83807DFE}"/>
    <hyperlink ref="B67" r:id="rId11" xr:uid="{C5461A67-3311-4AA8-BE58-A25148AB7CBE}"/>
    <hyperlink ref="B56" r:id="rId12" xr:uid="{33480117-7D61-485A-916B-67D960F49754}"/>
    <hyperlink ref="B66" r:id="rId13" xr:uid="{9F010DAC-364D-4566-A888-D1F2669B77B9}"/>
    <hyperlink ref="B61" r:id="rId14" xr:uid="{5DE8A7B6-92D0-45D2-BD7E-CC74E45D2C89}"/>
  </hyperlinks>
  <pageMargins left="0.70866141732283461" right="0.70866141732283461" top="0.39370078740157483" bottom="0.74803149606299213" header="0.39370078740157483" footer="0.31496062992125984"/>
  <pageSetup orientation="portrait" verticalDpi="360"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E42D-C5BA-488B-996E-D061588793A8}">
  <dimension ref="B3:H56"/>
  <sheetViews>
    <sheetView topLeftCell="A16" workbookViewId="0">
      <selection activeCell="F40" sqref="F40"/>
    </sheetView>
  </sheetViews>
  <sheetFormatPr baseColWidth="10" defaultRowHeight="15" x14ac:dyDescent="0.25"/>
  <cols>
    <col min="2" max="2" width="16.42578125" customWidth="1"/>
    <col min="3" max="3" width="18.7109375" customWidth="1"/>
    <col min="4" max="4" width="14.7109375" customWidth="1"/>
    <col min="5" max="5" width="14.85546875" customWidth="1"/>
    <col min="6" max="6" width="18.85546875" customWidth="1"/>
  </cols>
  <sheetData>
    <row r="3" spans="2:8" x14ac:dyDescent="0.25">
      <c r="B3" s="115" t="s">
        <v>160</v>
      </c>
      <c r="C3" s="115"/>
      <c r="D3" s="115"/>
      <c r="E3" s="115"/>
      <c r="F3" s="115"/>
      <c r="G3" s="115"/>
      <c r="H3" s="115"/>
    </row>
    <row r="4" spans="2:8" x14ac:dyDescent="0.25">
      <c r="B4" s="42" t="s">
        <v>161</v>
      </c>
      <c r="C4" s="42" t="s">
        <v>162</v>
      </c>
      <c r="D4" s="42" t="s">
        <v>163</v>
      </c>
      <c r="E4" s="42" t="s">
        <v>164</v>
      </c>
      <c r="F4" s="42" t="s">
        <v>165</v>
      </c>
      <c r="G4" s="42" t="s">
        <v>166</v>
      </c>
      <c r="H4" s="42" t="s">
        <v>167</v>
      </c>
    </row>
    <row r="5" spans="2:8" x14ac:dyDescent="0.25">
      <c r="B5" s="64" t="s">
        <v>168</v>
      </c>
      <c r="C5" s="61"/>
      <c r="D5" s="61"/>
      <c r="E5" s="62"/>
      <c r="F5" s="62"/>
      <c r="G5" s="63">
        <v>6</v>
      </c>
      <c r="H5" s="63" t="s">
        <v>169</v>
      </c>
    </row>
    <row r="6" spans="2:8" x14ac:dyDescent="0.25">
      <c r="B6" s="64" t="s">
        <v>170</v>
      </c>
      <c r="C6" s="61"/>
      <c r="D6" s="61"/>
      <c r="E6" s="62"/>
      <c r="F6" s="62"/>
      <c r="G6" s="63">
        <v>8</v>
      </c>
      <c r="H6" s="63" t="s">
        <v>169</v>
      </c>
    </row>
    <row r="7" spans="2:8" x14ac:dyDescent="0.25">
      <c r="B7" s="64" t="s">
        <v>171</v>
      </c>
      <c r="C7" s="61"/>
      <c r="D7" s="61"/>
      <c r="E7" s="62"/>
      <c r="F7" s="62"/>
      <c r="G7" s="63">
        <v>7</v>
      </c>
      <c r="H7" s="63" t="s">
        <v>169</v>
      </c>
    </row>
    <row r="8" spans="2:8" x14ac:dyDescent="0.25">
      <c r="B8" s="64" t="s">
        <v>172</v>
      </c>
      <c r="C8" s="61"/>
      <c r="D8" s="61"/>
      <c r="E8" s="62"/>
      <c r="F8" s="62"/>
      <c r="G8" s="63">
        <v>9</v>
      </c>
      <c r="H8" s="63" t="s">
        <v>169</v>
      </c>
    </row>
    <row r="9" spans="2:8" x14ac:dyDescent="0.25">
      <c r="B9" s="64" t="s">
        <v>173</v>
      </c>
      <c r="C9" s="61"/>
      <c r="D9" s="61"/>
      <c r="E9" s="62"/>
      <c r="F9" s="62"/>
      <c r="G9" s="63">
        <v>6</v>
      </c>
      <c r="H9" s="63" t="s">
        <v>169</v>
      </c>
    </row>
    <row r="10" spans="2:8" x14ac:dyDescent="0.25">
      <c r="B10" s="64" t="s">
        <v>174</v>
      </c>
      <c r="C10" s="61"/>
      <c r="D10" s="61"/>
      <c r="E10" s="62"/>
      <c r="F10" s="62"/>
      <c r="G10" s="63">
        <v>13</v>
      </c>
      <c r="H10" s="63" t="s">
        <v>169</v>
      </c>
    </row>
    <row r="11" spans="2:8" x14ac:dyDescent="0.25">
      <c r="B11" s="64" t="s">
        <v>175</v>
      </c>
      <c r="C11" s="61"/>
      <c r="D11" s="61"/>
      <c r="E11" s="62"/>
      <c r="F11" s="62"/>
      <c r="G11" s="63">
        <v>4</v>
      </c>
      <c r="H11" s="63" t="s">
        <v>169</v>
      </c>
    </row>
    <row r="12" spans="2:8" x14ac:dyDescent="0.25">
      <c r="B12" s="64" t="s">
        <v>176</v>
      </c>
      <c r="C12" s="61"/>
      <c r="D12" s="61"/>
      <c r="E12" s="62"/>
      <c r="F12" s="62"/>
      <c r="G12" s="63">
        <v>15</v>
      </c>
      <c r="H12" s="63" t="s">
        <v>169</v>
      </c>
    </row>
    <row r="13" spans="2:8" x14ac:dyDescent="0.25">
      <c r="B13" s="64" t="s">
        <v>177</v>
      </c>
      <c r="C13" s="61"/>
      <c r="D13" s="61"/>
      <c r="E13" s="62"/>
      <c r="F13" s="62"/>
      <c r="G13" s="63">
        <v>6</v>
      </c>
      <c r="H13" s="63" t="s">
        <v>169</v>
      </c>
    </row>
    <row r="14" spans="2:8" x14ac:dyDescent="0.25">
      <c r="B14" s="64" t="s">
        <v>178</v>
      </c>
      <c r="C14" s="61"/>
      <c r="D14" s="61"/>
      <c r="E14" s="62"/>
      <c r="F14" s="62"/>
      <c r="G14" s="63">
        <v>4</v>
      </c>
      <c r="H14" s="63" t="s">
        <v>169</v>
      </c>
    </row>
    <row r="15" spans="2:8" x14ac:dyDescent="0.25">
      <c r="B15" s="64" t="s">
        <v>179</v>
      </c>
      <c r="C15" s="61"/>
      <c r="D15" s="61"/>
      <c r="E15" s="62"/>
      <c r="F15" s="62"/>
      <c r="G15" s="63">
        <v>5</v>
      </c>
      <c r="H15" s="63" t="s">
        <v>169</v>
      </c>
    </row>
    <row r="16" spans="2:8" x14ac:dyDescent="0.25">
      <c r="B16" s="64" t="s">
        <v>180</v>
      </c>
      <c r="C16" s="61"/>
      <c r="D16" s="61"/>
      <c r="E16" s="62"/>
      <c r="F16" s="62"/>
      <c r="G16" s="63">
        <v>8</v>
      </c>
      <c r="H16" s="63" t="s">
        <v>169</v>
      </c>
    </row>
    <row r="17" spans="2:8" x14ac:dyDescent="0.25">
      <c r="B17" s="64" t="s">
        <v>181</v>
      </c>
      <c r="C17" s="61"/>
      <c r="D17" s="61"/>
      <c r="E17" s="62"/>
      <c r="F17" s="62"/>
      <c r="G17" s="63">
        <v>5</v>
      </c>
      <c r="H17" s="63" t="s">
        <v>169</v>
      </c>
    </row>
    <row r="18" spans="2:8" x14ac:dyDescent="0.25">
      <c r="B18" s="64" t="s">
        <v>182</v>
      </c>
      <c r="C18" s="61"/>
      <c r="D18" s="61"/>
      <c r="E18" s="62"/>
      <c r="F18" s="62"/>
      <c r="G18" s="63">
        <v>4</v>
      </c>
      <c r="H18" s="63" t="s">
        <v>169</v>
      </c>
    </row>
    <row r="19" spans="2:8" x14ac:dyDescent="0.25">
      <c r="B19" s="64" t="s">
        <v>183</v>
      </c>
      <c r="C19" s="61"/>
      <c r="D19" s="61"/>
      <c r="E19" s="62"/>
      <c r="F19" s="62"/>
      <c r="G19" s="63">
        <v>7</v>
      </c>
      <c r="H19" s="63" t="s">
        <v>169</v>
      </c>
    </row>
    <row r="20" spans="2:8" x14ac:dyDescent="0.25">
      <c r="B20" s="64" t="s">
        <v>184</v>
      </c>
      <c r="C20" s="61"/>
      <c r="D20" s="61"/>
      <c r="E20" s="62"/>
      <c r="F20" s="62"/>
      <c r="G20" s="63">
        <v>4</v>
      </c>
      <c r="H20" s="63" t="s">
        <v>169</v>
      </c>
    </row>
    <row r="21" spans="2:8" x14ac:dyDescent="0.25">
      <c r="B21" s="64" t="s">
        <v>185</v>
      </c>
      <c r="C21" s="61"/>
      <c r="D21" s="61"/>
      <c r="E21" s="62"/>
      <c r="F21" s="62"/>
      <c r="G21" s="63">
        <v>4</v>
      </c>
      <c r="H21" s="63" t="s">
        <v>169</v>
      </c>
    </row>
    <row r="22" spans="2:8" x14ac:dyDescent="0.25">
      <c r="B22" s="64" t="s">
        <v>186</v>
      </c>
      <c r="C22" s="61"/>
      <c r="D22" s="61"/>
      <c r="E22" s="62"/>
      <c r="F22" s="62"/>
      <c r="G22" s="63">
        <v>4</v>
      </c>
      <c r="H22" s="63" t="s">
        <v>169</v>
      </c>
    </row>
    <row r="23" spans="2:8" x14ac:dyDescent="0.25">
      <c r="B23" s="64" t="s">
        <v>187</v>
      </c>
      <c r="C23" s="61"/>
      <c r="D23" s="61"/>
      <c r="E23" s="62"/>
      <c r="F23" s="62"/>
      <c r="G23" s="63">
        <v>18</v>
      </c>
      <c r="H23" s="63" t="s">
        <v>169</v>
      </c>
    </row>
    <row r="24" spans="2:8" x14ac:dyDescent="0.25">
      <c r="B24" s="64" t="s">
        <v>188</v>
      </c>
      <c r="C24" s="61"/>
      <c r="D24" s="61"/>
      <c r="E24" s="62"/>
      <c r="F24" s="62"/>
      <c r="G24" s="63">
        <v>7</v>
      </c>
      <c r="H24" s="63" t="s">
        <v>169</v>
      </c>
    </row>
    <row r="25" spans="2:8" x14ac:dyDescent="0.25">
      <c r="B25" s="64" t="s">
        <v>189</v>
      </c>
      <c r="C25" s="61"/>
      <c r="D25" s="61"/>
      <c r="E25" s="62"/>
      <c r="F25" s="62"/>
      <c r="G25" s="63">
        <v>12</v>
      </c>
      <c r="H25" s="63" t="s">
        <v>169</v>
      </c>
    </row>
    <row r="26" spans="2:8" x14ac:dyDescent="0.25">
      <c r="B26" s="64" t="s">
        <v>190</v>
      </c>
      <c r="C26" s="61"/>
      <c r="D26" s="61"/>
      <c r="E26" s="62"/>
      <c r="F26" s="62"/>
      <c r="G26" s="63">
        <v>7</v>
      </c>
      <c r="H26" s="63" t="s">
        <v>169</v>
      </c>
    </row>
    <row r="27" spans="2:8" x14ac:dyDescent="0.25">
      <c r="B27" s="64" t="s">
        <v>191</v>
      </c>
      <c r="C27" s="61"/>
      <c r="D27" s="61"/>
      <c r="E27" s="62"/>
      <c r="F27" s="62"/>
      <c r="G27" s="63">
        <v>8</v>
      </c>
      <c r="H27" s="63" t="s">
        <v>169</v>
      </c>
    </row>
    <row r="33" spans="2:4" ht="15.75" x14ac:dyDescent="0.25">
      <c r="B33" s="95" t="s">
        <v>313</v>
      </c>
      <c r="C33" s="95" t="s">
        <v>314</v>
      </c>
      <c r="D33" s="95" t="s">
        <v>166</v>
      </c>
    </row>
    <row r="34" spans="2:4" x14ac:dyDescent="0.25">
      <c r="B34" s="74">
        <v>1</v>
      </c>
      <c r="C34" s="86" t="s">
        <v>168</v>
      </c>
      <c r="D34" s="74">
        <v>6</v>
      </c>
    </row>
    <row r="35" spans="2:4" x14ac:dyDescent="0.25">
      <c r="B35" s="87">
        <f>34:34+1</f>
        <v>2</v>
      </c>
      <c r="C35" s="88" t="s">
        <v>170</v>
      </c>
      <c r="D35" s="87">
        <v>8</v>
      </c>
    </row>
    <row r="36" spans="2:4" ht="17.25" customHeight="1" x14ac:dyDescent="0.25">
      <c r="B36" s="87">
        <f>35:35+1</f>
        <v>3</v>
      </c>
      <c r="C36" s="88" t="s">
        <v>171</v>
      </c>
      <c r="D36" s="87">
        <v>7</v>
      </c>
    </row>
    <row r="37" spans="2:4" x14ac:dyDescent="0.25">
      <c r="B37" s="87">
        <f t="shared" ref="B37:B56" si="0">36:36+1</f>
        <v>4</v>
      </c>
      <c r="C37" s="88" t="s">
        <v>172</v>
      </c>
      <c r="D37" s="87">
        <v>9</v>
      </c>
    </row>
    <row r="38" spans="2:4" x14ac:dyDescent="0.25">
      <c r="B38" s="87">
        <f t="shared" si="0"/>
        <v>5</v>
      </c>
      <c r="C38" s="88" t="s">
        <v>173</v>
      </c>
      <c r="D38" s="87">
        <v>6</v>
      </c>
    </row>
    <row r="39" spans="2:4" x14ac:dyDescent="0.25">
      <c r="B39" s="87">
        <f t="shared" si="0"/>
        <v>6</v>
      </c>
      <c r="C39" s="88" t="s">
        <v>174</v>
      </c>
      <c r="D39" s="87">
        <v>13</v>
      </c>
    </row>
    <row r="40" spans="2:4" x14ac:dyDescent="0.25">
      <c r="B40" s="89">
        <f t="shared" si="0"/>
        <v>7</v>
      </c>
      <c r="C40" s="90" t="s">
        <v>175</v>
      </c>
      <c r="D40" s="89">
        <v>4</v>
      </c>
    </row>
    <row r="41" spans="2:4" x14ac:dyDescent="0.25">
      <c r="B41" s="89">
        <f t="shared" si="0"/>
        <v>8</v>
      </c>
      <c r="C41" s="90" t="s">
        <v>176</v>
      </c>
      <c r="D41" s="89">
        <v>15</v>
      </c>
    </row>
    <row r="42" spans="2:4" ht="18.75" customHeight="1" x14ac:dyDescent="0.25">
      <c r="B42" s="89">
        <f t="shared" si="0"/>
        <v>9</v>
      </c>
      <c r="C42" s="90" t="s">
        <v>177</v>
      </c>
      <c r="D42" s="89">
        <v>6</v>
      </c>
    </row>
    <row r="43" spans="2:4" x14ac:dyDescent="0.25">
      <c r="B43" s="89">
        <f t="shared" si="0"/>
        <v>10</v>
      </c>
      <c r="C43" s="90" t="s">
        <v>178</v>
      </c>
      <c r="D43" s="89">
        <v>4</v>
      </c>
    </row>
    <row r="44" spans="2:4" x14ac:dyDescent="0.25">
      <c r="B44" s="89">
        <f t="shared" si="0"/>
        <v>11</v>
      </c>
      <c r="C44" s="90" t="s">
        <v>179</v>
      </c>
      <c r="D44" s="89">
        <v>5</v>
      </c>
    </row>
    <row r="45" spans="2:4" x14ac:dyDescent="0.25">
      <c r="B45" s="91">
        <f t="shared" si="0"/>
        <v>12</v>
      </c>
      <c r="C45" s="92" t="s">
        <v>180</v>
      </c>
      <c r="D45" s="91">
        <v>8</v>
      </c>
    </row>
    <row r="46" spans="2:4" x14ac:dyDescent="0.25">
      <c r="B46" s="91">
        <f t="shared" si="0"/>
        <v>13</v>
      </c>
      <c r="C46" s="92" t="s">
        <v>181</v>
      </c>
      <c r="D46" s="91">
        <v>5</v>
      </c>
    </row>
    <row r="47" spans="2:4" x14ac:dyDescent="0.25">
      <c r="B47" s="91">
        <f t="shared" si="0"/>
        <v>14</v>
      </c>
      <c r="C47" s="92" t="s">
        <v>182</v>
      </c>
      <c r="D47" s="91">
        <v>4</v>
      </c>
    </row>
    <row r="48" spans="2:4" x14ac:dyDescent="0.25">
      <c r="B48" s="91">
        <f t="shared" si="0"/>
        <v>15</v>
      </c>
      <c r="C48" s="92" t="s">
        <v>183</v>
      </c>
      <c r="D48" s="91">
        <v>7</v>
      </c>
    </row>
    <row r="49" spans="2:4" x14ac:dyDescent="0.25">
      <c r="B49" s="91">
        <f t="shared" si="0"/>
        <v>16</v>
      </c>
      <c r="C49" s="92" t="s">
        <v>184</v>
      </c>
      <c r="D49" s="91">
        <v>4</v>
      </c>
    </row>
    <row r="50" spans="2:4" x14ac:dyDescent="0.25">
      <c r="B50" s="93">
        <f t="shared" si="0"/>
        <v>17</v>
      </c>
      <c r="C50" s="94" t="s">
        <v>185</v>
      </c>
      <c r="D50" s="93">
        <v>4</v>
      </c>
    </row>
    <row r="51" spans="2:4" x14ac:dyDescent="0.25">
      <c r="B51" s="93">
        <f t="shared" si="0"/>
        <v>18</v>
      </c>
      <c r="C51" s="94" t="s">
        <v>186</v>
      </c>
      <c r="D51" s="93">
        <v>4</v>
      </c>
    </row>
    <row r="52" spans="2:4" x14ac:dyDescent="0.25">
      <c r="B52" s="77">
        <f t="shared" si="0"/>
        <v>19</v>
      </c>
      <c r="C52" s="85" t="s">
        <v>187</v>
      </c>
      <c r="D52" s="77">
        <v>18</v>
      </c>
    </row>
    <row r="53" spans="2:4" x14ac:dyDescent="0.25">
      <c r="B53" s="77">
        <f t="shared" si="0"/>
        <v>20</v>
      </c>
      <c r="C53" s="85" t="s">
        <v>188</v>
      </c>
      <c r="D53" s="77">
        <v>7</v>
      </c>
    </row>
    <row r="54" spans="2:4" ht="15.75" customHeight="1" x14ac:dyDescent="0.25">
      <c r="B54" s="77">
        <f t="shared" si="0"/>
        <v>21</v>
      </c>
      <c r="C54" s="85" t="s">
        <v>189</v>
      </c>
      <c r="D54" s="77">
        <v>12</v>
      </c>
    </row>
    <row r="55" spans="2:4" x14ac:dyDescent="0.25">
      <c r="B55" s="77">
        <f t="shared" si="0"/>
        <v>22</v>
      </c>
      <c r="C55" s="85" t="s">
        <v>190</v>
      </c>
      <c r="D55" s="77">
        <v>7</v>
      </c>
    </row>
    <row r="56" spans="2:4" x14ac:dyDescent="0.25">
      <c r="B56" s="77">
        <f t="shared" si="0"/>
        <v>23</v>
      </c>
      <c r="C56" s="85" t="s">
        <v>191</v>
      </c>
      <c r="D56" s="77">
        <v>8</v>
      </c>
    </row>
  </sheetData>
  <mergeCells count="1">
    <mergeCell ref="B3:H3"/>
  </mergeCells>
  <pageMargins left="0.7" right="0.7" top="0.75" bottom="0.75" header="0.3" footer="0.3"/>
  <pageSetup orientation="portrait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4F2E2-E7C7-461A-998C-B798B49AFCA2}">
  <dimension ref="A2:G54"/>
  <sheetViews>
    <sheetView topLeftCell="A15" workbookViewId="0">
      <selection activeCell="I18" sqref="I18"/>
    </sheetView>
  </sheetViews>
  <sheetFormatPr baseColWidth="10" defaultRowHeight="15" x14ac:dyDescent="0.25"/>
  <cols>
    <col min="2" max="2" width="31.5703125" customWidth="1"/>
    <col min="3" max="3" width="16.140625" customWidth="1"/>
    <col min="4" max="4" width="18.5703125" customWidth="1"/>
    <col min="5" max="5" width="16.85546875" customWidth="1"/>
    <col min="6" max="6" width="4.85546875" bestFit="1" customWidth="1"/>
    <col min="7" max="7" width="16" customWidth="1"/>
    <col min="8" max="8" width="18.85546875" customWidth="1"/>
  </cols>
  <sheetData>
    <row r="2" spans="2:7" ht="15.75" customHeight="1" x14ac:dyDescent="0.25">
      <c r="B2" s="39" t="s">
        <v>11</v>
      </c>
      <c r="C2" s="19">
        <v>45923</v>
      </c>
      <c r="D2" s="30" t="s">
        <v>2</v>
      </c>
      <c r="E2" s="139">
        <v>0.25</v>
      </c>
      <c r="F2" s="140"/>
      <c r="G2" s="141"/>
    </row>
    <row r="3" spans="2:7" ht="16.5" customHeight="1" x14ac:dyDescent="0.25">
      <c r="B3" s="39" t="s">
        <v>37</v>
      </c>
      <c r="C3" s="23" t="s">
        <v>262</v>
      </c>
      <c r="D3" s="39" t="s">
        <v>12</v>
      </c>
      <c r="E3" s="47" t="s">
        <v>388</v>
      </c>
      <c r="F3" s="57" t="s">
        <v>98</v>
      </c>
      <c r="G3" s="16">
        <v>61</v>
      </c>
    </row>
    <row r="4" spans="2:7" x14ac:dyDescent="0.25">
      <c r="B4" s="136" t="s">
        <v>5</v>
      </c>
      <c r="C4" s="138"/>
      <c r="D4" s="138"/>
      <c r="E4" s="138"/>
      <c r="F4" s="138"/>
      <c r="G4" s="137"/>
    </row>
    <row r="5" spans="2:7" x14ac:dyDescent="0.25">
      <c r="B5" s="37" t="s">
        <v>6</v>
      </c>
      <c r="C5" s="136" t="s">
        <v>7</v>
      </c>
      <c r="D5" s="137"/>
      <c r="E5" s="136" t="s">
        <v>0</v>
      </c>
      <c r="F5" s="138"/>
      <c r="G5" s="137"/>
    </row>
    <row r="6" spans="2:7" s="1" customFormat="1" ht="38.25" x14ac:dyDescent="0.25">
      <c r="B6" s="22" t="s">
        <v>371</v>
      </c>
      <c r="C6" s="116" t="s">
        <v>428</v>
      </c>
      <c r="D6" s="117"/>
      <c r="E6" s="123" t="s">
        <v>371</v>
      </c>
      <c r="F6" s="124"/>
      <c r="G6" s="125"/>
    </row>
    <row r="7" spans="2:7" s="1" customFormat="1" ht="21" customHeight="1" x14ac:dyDescent="0.25">
      <c r="B7" s="13" t="s">
        <v>254</v>
      </c>
      <c r="C7" s="142" t="s">
        <v>429</v>
      </c>
      <c r="D7" s="143"/>
      <c r="E7" s="118" t="s">
        <v>255</v>
      </c>
      <c r="F7" s="119"/>
      <c r="G7" s="120"/>
    </row>
    <row r="8" spans="2:7" s="1" customFormat="1" ht="24" customHeight="1" x14ac:dyDescent="0.25">
      <c r="B8" s="13" t="s">
        <v>254</v>
      </c>
      <c r="C8" s="142" t="s">
        <v>430</v>
      </c>
      <c r="D8" s="143"/>
      <c r="E8" s="118" t="s">
        <v>256</v>
      </c>
      <c r="F8" s="119"/>
      <c r="G8" s="120"/>
    </row>
    <row r="9" spans="2:7" s="1" customFormat="1" ht="24" customHeight="1" x14ac:dyDescent="0.25">
      <c r="B9" s="13" t="s">
        <v>267</v>
      </c>
      <c r="C9" s="116" t="s">
        <v>431</v>
      </c>
      <c r="D9" s="117"/>
      <c r="E9" s="118" t="s">
        <v>437</v>
      </c>
      <c r="F9" s="119"/>
      <c r="G9" s="120"/>
    </row>
    <row r="10" spans="2:7" s="1" customFormat="1" ht="24" hidden="1" customHeight="1" x14ac:dyDescent="0.25">
      <c r="B10" s="13" t="s">
        <v>267</v>
      </c>
      <c r="C10" s="116" t="s">
        <v>372</v>
      </c>
      <c r="D10" s="117"/>
      <c r="E10" s="118" t="s">
        <v>267</v>
      </c>
      <c r="F10" s="119"/>
      <c r="G10" s="120"/>
    </row>
    <row r="11" spans="2:7" s="1" customFormat="1" ht="24" customHeight="1" x14ac:dyDescent="0.25">
      <c r="B11" s="13" t="s">
        <v>267</v>
      </c>
      <c r="C11" s="116" t="s">
        <v>421</v>
      </c>
      <c r="D11" s="117"/>
      <c r="E11" s="118" t="s">
        <v>438</v>
      </c>
      <c r="F11" s="119"/>
      <c r="G11" s="120"/>
    </row>
    <row r="12" spans="2:7" s="1" customFormat="1" ht="24" customHeight="1" x14ac:dyDescent="0.25">
      <c r="B12" s="13" t="s">
        <v>268</v>
      </c>
      <c r="C12" s="116" t="s">
        <v>432</v>
      </c>
      <c r="D12" s="117"/>
      <c r="E12" s="118" t="s">
        <v>439</v>
      </c>
      <c r="F12" s="119"/>
      <c r="G12" s="120"/>
    </row>
    <row r="13" spans="2:7" s="1" customFormat="1" ht="21.75" hidden="1" customHeight="1" x14ac:dyDescent="0.25">
      <c r="B13" s="22" t="s">
        <v>331</v>
      </c>
      <c r="C13" s="116" t="s">
        <v>370</v>
      </c>
      <c r="D13" s="117"/>
      <c r="E13" s="123" t="s">
        <v>332</v>
      </c>
      <c r="F13" s="124"/>
      <c r="G13" s="125"/>
    </row>
    <row r="14" spans="2:7" s="1" customFormat="1" ht="53.25" customHeight="1" x14ac:dyDescent="0.25">
      <c r="B14" s="13" t="s">
        <v>244</v>
      </c>
      <c r="C14" s="116" t="s">
        <v>42</v>
      </c>
      <c r="D14" s="117"/>
      <c r="E14" s="118" t="s">
        <v>349</v>
      </c>
      <c r="F14" s="119"/>
      <c r="G14" s="120"/>
    </row>
    <row r="15" spans="2:7" s="1" customFormat="1" ht="48.75" customHeight="1" x14ac:dyDescent="0.25">
      <c r="B15" s="13" t="s">
        <v>244</v>
      </c>
      <c r="C15" s="116" t="s">
        <v>429</v>
      </c>
      <c r="D15" s="117"/>
      <c r="E15" s="118" t="s">
        <v>247</v>
      </c>
      <c r="F15" s="119"/>
      <c r="G15" s="120"/>
    </row>
    <row r="16" spans="2:7" s="1" customFormat="1" ht="48.75" customHeight="1" x14ac:dyDescent="0.25">
      <c r="B16" s="13" t="s">
        <v>244</v>
      </c>
      <c r="C16" s="116" t="s">
        <v>434</v>
      </c>
      <c r="D16" s="117"/>
      <c r="E16" s="118" t="s">
        <v>435</v>
      </c>
      <c r="F16" s="119"/>
      <c r="G16" s="120"/>
    </row>
    <row r="17" spans="1:7" s="1" customFormat="1" ht="36.75" hidden="1" customHeight="1" x14ac:dyDescent="0.25">
      <c r="B17" s="13" t="s">
        <v>244</v>
      </c>
      <c r="C17" s="116" t="s">
        <v>373</v>
      </c>
      <c r="D17" s="117"/>
      <c r="E17" s="118" t="s">
        <v>248</v>
      </c>
      <c r="F17" s="119"/>
      <c r="G17" s="120"/>
    </row>
    <row r="18" spans="1:7" s="1" customFormat="1" ht="40.5" customHeight="1" x14ac:dyDescent="0.25">
      <c r="B18" s="13" t="s">
        <v>244</v>
      </c>
      <c r="C18" s="116" t="s">
        <v>283</v>
      </c>
      <c r="D18" s="117"/>
      <c r="E18" s="118" t="s">
        <v>245</v>
      </c>
      <c r="F18" s="119"/>
      <c r="G18" s="120"/>
    </row>
    <row r="19" spans="1:7" s="1" customFormat="1" ht="40.5" customHeight="1" x14ac:dyDescent="0.25">
      <c r="B19" s="13" t="s">
        <v>436</v>
      </c>
      <c r="C19" s="121" t="s">
        <v>42</v>
      </c>
      <c r="D19" s="122"/>
      <c r="E19" s="118" t="s">
        <v>440</v>
      </c>
      <c r="F19" s="119"/>
      <c r="G19" s="120"/>
    </row>
    <row r="20" spans="1:7" ht="50.25" customHeight="1" x14ac:dyDescent="0.25">
      <c r="A20" s="69"/>
      <c r="B20" s="133" t="s">
        <v>433</v>
      </c>
      <c r="C20" s="134"/>
      <c r="D20" s="134"/>
      <c r="E20" s="134"/>
      <c r="F20" s="134"/>
      <c r="G20" s="135"/>
    </row>
    <row r="21" spans="1:7" ht="43.5" customHeight="1" x14ac:dyDescent="0.3">
      <c r="B21" s="126" t="s">
        <v>441</v>
      </c>
      <c r="C21" s="127"/>
      <c r="D21" s="127"/>
      <c r="E21" s="127"/>
      <c r="F21" s="127"/>
      <c r="G21" s="127"/>
    </row>
    <row r="22" spans="1:7" ht="25.5" customHeight="1" x14ac:dyDescent="0.25"/>
    <row r="23" spans="1:7" ht="25.5" customHeight="1" x14ac:dyDescent="0.25">
      <c r="B23" s="22" t="s">
        <v>28</v>
      </c>
      <c r="C23" s="128" t="s">
        <v>215</v>
      </c>
      <c r="D23" s="129"/>
      <c r="E23" s="130" t="s">
        <v>28</v>
      </c>
      <c r="F23" s="131"/>
      <c r="G23" s="132"/>
    </row>
    <row r="24" spans="1:7" ht="25.5" x14ac:dyDescent="0.25">
      <c r="B24" s="22" t="s">
        <v>331</v>
      </c>
      <c r="C24" s="116" t="s">
        <v>333</v>
      </c>
      <c r="D24" s="117"/>
      <c r="E24" s="130" t="s">
        <v>334</v>
      </c>
      <c r="F24" s="131"/>
      <c r="G24" s="132"/>
    </row>
    <row r="28" spans="1:7" ht="51" customHeight="1" x14ac:dyDescent="0.25">
      <c r="B28" s="13" t="s">
        <v>244</v>
      </c>
      <c r="C28" s="116" t="s">
        <v>246</v>
      </c>
      <c r="D28" s="117"/>
      <c r="E28" s="118" t="s">
        <v>245</v>
      </c>
      <c r="F28" s="119"/>
      <c r="G28" s="120"/>
    </row>
    <row r="29" spans="1:7" ht="51" customHeight="1" x14ac:dyDescent="0.25">
      <c r="B29" s="13" t="s">
        <v>244</v>
      </c>
      <c r="C29" s="116" t="s">
        <v>246</v>
      </c>
      <c r="D29" s="117"/>
      <c r="E29" s="118" t="s">
        <v>247</v>
      </c>
      <c r="F29" s="119"/>
      <c r="G29" s="120"/>
    </row>
    <row r="30" spans="1:7" ht="51" customHeight="1" x14ac:dyDescent="0.25">
      <c r="B30" s="13" t="s">
        <v>244</v>
      </c>
      <c r="C30" s="116" t="s">
        <v>221</v>
      </c>
      <c r="D30" s="117"/>
      <c r="E30" s="118" t="s">
        <v>248</v>
      </c>
      <c r="F30" s="119"/>
      <c r="G30" s="120"/>
    </row>
    <row r="31" spans="1:7" ht="51" customHeight="1" x14ac:dyDescent="0.25">
      <c r="B31" s="13" t="s">
        <v>244</v>
      </c>
      <c r="C31" s="116" t="s">
        <v>246</v>
      </c>
      <c r="D31" s="117"/>
      <c r="E31" s="118" t="s">
        <v>249</v>
      </c>
      <c r="F31" s="119"/>
      <c r="G31" s="120"/>
    </row>
    <row r="32" spans="1:7" ht="51" customHeight="1" x14ac:dyDescent="0.25">
      <c r="B32" s="13" t="s">
        <v>244</v>
      </c>
      <c r="C32" s="116" t="s">
        <v>246</v>
      </c>
      <c r="D32" s="117"/>
      <c r="E32" s="118" t="s">
        <v>259</v>
      </c>
      <c r="F32" s="119"/>
      <c r="G32" s="120"/>
    </row>
    <row r="33" spans="2:7" ht="51" customHeight="1" x14ac:dyDescent="0.25">
      <c r="B33" s="13" t="s">
        <v>244</v>
      </c>
      <c r="C33" s="116" t="s">
        <v>246</v>
      </c>
      <c r="D33" s="117"/>
      <c r="E33" s="118" t="s">
        <v>250</v>
      </c>
      <c r="F33" s="119"/>
      <c r="G33" s="120"/>
    </row>
    <row r="34" spans="2:7" ht="25.5" x14ac:dyDescent="0.25">
      <c r="B34" s="22" t="s">
        <v>28</v>
      </c>
      <c r="C34" s="116" t="s">
        <v>205</v>
      </c>
      <c r="D34" s="117"/>
      <c r="E34" s="123" t="s">
        <v>28</v>
      </c>
      <c r="F34" s="124"/>
      <c r="G34" s="125"/>
    </row>
    <row r="40" spans="2:7" x14ac:dyDescent="0.25">
      <c r="B40" s="39" t="s">
        <v>11</v>
      </c>
      <c r="C40" s="19"/>
      <c r="D40" s="30" t="s">
        <v>2</v>
      </c>
      <c r="E40" s="139"/>
      <c r="F40" s="140"/>
      <c r="G40" s="141"/>
    </row>
    <row r="41" spans="2:7" x14ac:dyDescent="0.25">
      <c r="B41" s="39" t="s">
        <v>37</v>
      </c>
      <c r="C41" s="23"/>
      <c r="D41" s="39" t="s">
        <v>12</v>
      </c>
      <c r="E41" s="47"/>
      <c r="F41" s="57" t="s">
        <v>98</v>
      </c>
      <c r="G41" s="16"/>
    </row>
    <row r="42" spans="2:7" x14ac:dyDescent="0.25">
      <c r="B42" s="136" t="s">
        <v>5</v>
      </c>
      <c r="C42" s="138"/>
      <c r="D42" s="138"/>
      <c r="E42" s="138"/>
      <c r="F42" s="138"/>
      <c r="G42" s="137"/>
    </row>
    <row r="43" spans="2:7" x14ac:dyDescent="0.25">
      <c r="B43" s="37" t="s">
        <v>6</v>
      </c>
      <c r="C43" s="136" t="s">
        <v>7</v>
      </c>
      <c r="D43" s="137"/>
      <c r="E43" s="136" t="s">
        <v>0</v>
      </c>
      <c r="F43" s="138"/>
      <c r="G43" s="137"/>
    </row>
    <row r="44" spans="2:7" ht="27" customHeight="1" x14ac:dyDescent="0.25">
      <c r="B44" s="13"/>
      <c r="C44" s="116"/>
      <c r="D44" s="117"/>
      <c r="E44" s="118"/>
      <c r="F44" s="119"/>
      <c r="G44" s="120"/>
    </row>
    <row r="45" spans="2:7" x14ac:dyDescent="0.25">
      <c r="B45" s="22"/>
      <c r="C45" s="128"/>
      <c r="D45" s="129"/>
      <c r="E45" s="130"/>
      <c r="F45" s="131"/>
      <c r="G45" s="132"/>
    </row>
    <row r="49" spans="2:7" x14ac:dyDescent="0.25">
      <c r="B49" s="39" t="s">
        <v>11</v>
      </c>
      <c r="C49" s="19"/>
      <c r="D49" s="30" t="s">
        <v>2</v>
      </c>
      <c r="E49" s="139"/>
      <c r="F49" s="140"/>
      <c r="G49" s="141"/>
    </row>
    <row r="50" spans="2:7" x14ac:dyDescent="0.25">
      <c r="B50" s="39" t="s">
        <v>37</v>
      </c>
      <c r="C50" s="23"/>
      <c r="D50" s="39" t="s">
        <v>12</v>
      </c>
      <c r="E50" s="47"/>
      <c r="F50" s="57" t="s">
        <v>98</v>
      </c>
      <c r="G50" s="16"/>
    </row>
    <row r="51" spans="2:7" x14ac:dyDescent="0.25">
      <c r="B51" s="136" t="s">
        <v>5</v>
      </c>
      <c r="C51" s="138"/>
      <c r="D51" s="138"/>
      <c r="E51" s="138"/>
      <c r="F51" s="138"/>
      <c r="G51" s="137"/>
    </row>
    <row r="52" spans="2:7" x14ac:dyDescent="0.25">
      <c r="B52" s="37" t="s">
        <v>6</v>
      </c>
      <c r="C52" s="136" t="s">
        <v>7</v>
      </c>
      <c r="D52" s="137"/>
      <c r="E52" s="136" t="s">
        <v>0</v>
      </c>
      <c r="F52" s="138"/>
      <c r="G52" s="137"/>
    </row>
    <row r="53" spans="2:7" x14ac:dyDescent="0.25">
      <c r="B53" s="22"/>
      <c r="C53" s="128"/>
      <c r="D53" s="129"/>
      <c r="E53" s="130"/>
      <c r="F53" s="131"/>
      <c r="G53" s="132"/>
    </row>
    <row r="54" spans="2:7" x14ac:dyDescent="0.25">
      <c r="B54" s="22"/>
      <c r="C54" s="128"/>
      <c r="D54" s="129"/>
      <c r="E54" s="130"/>
      <c r="F54" s="131"/>
      <c r="G54" s="132"/>
    </row>
  </sheetData>
  <mergeCells count="68">
    <mergeCell ref="C10:D10"/>
    <mergeCell ref="E10:G10"/>
    <mergeCell ref="E15:G15"/>
    <mergeCell ref="E49:G49"/>
    <mergeCell ref="C31:D31"/>
    <mergeCell ref="C12:D12"/>
    <mergeCell ref="E12:G12"/>
    <mergeCell ref="C13:D13"/>
    <mergeCell ref="E13:G13"/>
    <mergeCell ref="C45:D45"/>
    <mergeCell ref="E45:G45"/>
    <mergeCell ref="C24:D24"/>
    <mergeCell ref="E24:G24"/>
    <mergeCell ref="C30:D30"/>
    <mergeCell ref="E30:G30"/>
    <mergeCell ref="E32:G32"/>
    <mergeCell ref="E2:G2"/>
    <mergeCell ref="E5:G5"/>
    <mergeCell ref="B4:G4"/>
    <mergeCell ref="C5:D5"/>
    <mergeCell ref="C9:D9"/>
    <mergeCell ref="E9:G9"/>
    <mergeCell ref="E7:G7"/>
    <mergeCell ref="C8:D8"/>
    <mergeCell ref="E8:G8"/>
    <mergeCell ref="C7:D7"/>
    <mergeCell ref="C6:D6"/>
    <mergeCell ref="E6:G6"/>
    <mergeCell ref="B51:G51"/>
    <mergeCell ref="C43:D43"/>
    <mergeCell ref="E43:G43"/>
    <mergeCell ref="B42:G42"/>
    <mergeCell ref="E40:G40"/>
    <mergeCell ref="C44:D44"/>
    <mergeCell ref="E44:G44"/>
    <mergeCell ref="C54:D54"/>
    <mergeCell ref="E54:G54"/>
    <mergeCell ref="C14:D14"/>
    <mergeCell ref="E14:G14"/>
    <mergeCell ref="B20:G20"/>
    <mergeCell ref="C23:D23"/>
    <mergeCell ref="E23:G23"/>
    <mergeCell ref="C15:D15"/>
    <mergeCell ref="C52:D52"/>
    <mergeCell ref="E52:G52"/>
    <mergeCell ref="C53:D53"/>
    <mergeCell ref="E53:G53"/>
    <mergeCell ref="C28:D28"/>
    <mergeCell ref="E28:G28"/>
    <mergeCell ref="E33:G33"/>
    <mergeCell ref="C29:D29"/>
    <mergeCell ref="C34:D34"/>
    <mergeCell ref="E34:G34"/>
    <mergeCell ref="C17:D17"/>
    <mergeCell ref="E17:G17"/>
    <mergeCell ref="C16:D16"/>
    <mergeCell ref="E16:G16"/>
    <mergeCell ref="E29:G29"/>
    <mergeCell ref="C33:D33"/>
    <mergeCell ref="C32:D32"/>
    <mergeCell ref="E31:G31"/>
    <mergeCell ref="B21:G21"/>
    <mergeCell ref="C11:D11"/>
    <mergeCell ref="E11:G11"/>
    <mergeCell ref="C19:D19"/>
    <mergeCell ref="E19:G19"/>
    <mergeCell ref="C18:D18"/>
    <mergeCell ref="E18:G18"/>
  </mergeCells>
  <pageMargins left="0.7" right="0.7" top="0.75" bottom="0.75" header="0.3" footer="0.3"/>
  <pageSetup paperSize="9" orientation="portrait" verticalDpi="7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E0D90-1980-496A-A557-987E392B9D4C}">
  <dimension ref="A1:F20"/>
  <sheetViews>
    <sheetView topLeftCell="A10" workbookViewId="0">
      <selection sqref="A1:F20"/>
    </sheetView>
  </sheetViews>
  <sheetFormatPr baseColWidth="10" defaultRowHeight="15" x14ac:dyDescent="0.25"/>
  <sheetData>
    <row r="1" spans="1:6" x14ac:dyDescent="0.25">
      <c r="A1" s="39" t="s">
        <v>11</v>
      </c>
      <c r="B1" s="19">
        <v>45867</v>
      </c>
      <c r="C1" s="30" t="s">
        <v>2</v>
      </c>
      <c r="D1" s="139"/>
      <c r="E1" s="140"/>
      <c r="F1" s="141"/>
    </row>
    <row r="2" spans="1:6" x14ac:dyDescent="0.25">
      <c r="A2" s="39" t="s">
        <v>37</v>
      </c>
      <c r="B2" s="23"/>
      <c r="C2" s="39" t="s">
        <v>12</v>
      </c>
      <c r="D2" s="47"/>
      <c r="E2" s="57" t="s">
        <v>98</v>
      </c>
      <c r="F2" s="16"/>
    </row>
    <row r="3" spans="1:6" x14ac:dyDescent="0.25">
      <c r="A3" s="136" t="s">
        <v>5</v>
      </c>
      <c r="B3" s="138"/>
      <c r="C3" s="138"/>
      <c r="D3" s="138"/>
      <c r="E3" s="138"/>
      <c r="F3" s="137"/>
    </row>
    <row r="4" spans="1:6" x14ac:dyDescent="0.25">
      <c r="A4" s="37" t="s">
        <v>6</v>
      </c>
      <c r="B4" s="136" t="s">
        <v>7</v>
      </c>
      <c r="C4" s="137"/>
      <c r="D4" s="136" t="s">
        <v>0</v>
      </c>
      <c r="E4" s="138"/>
      <c r="F4" s="137"/>
    </row>
    <row r="5" spans="1:6" ht="102" x14ac:dyDescent="0.25">
      <c r="A5" s="104" t="s">
        <v>371</v>
      </c>
      <c r="B5" s="142" t="s">
        <v>386</v>
      </c>
      <c r="C5" s="143"/>
      <c r="D5" s="144" t="s">
        <v>371</v>
      </c>
      <c r="E5" s="145"/>
      <c r="F5" s="146"/>
    </row>
    <row r="6" spans="1:6" ht="102" x14ac:dyDescent="0.25">
      <c r="A6" s="104" t="s">
        <v>371</v>
      </c>
      <c r="B6" s="142" t="s">
        <v>387</v>
      </c>
      <c r="C6" s="143"/>
      <c r="D6" s="144" t="s">
        <v>371</v>
      </c>
      <c r="E6" s="145"/>
      <c r="F6" s="146"/>
    </row>
    <row r="7" spans="1:6" x14ac:dyDescent="0.25">
      <c r="A7" s="13" t="s">
        <v>254</v>
      </c>
      <c r="B7" s="116" t="s">
        <v>383</v>
      </c>
      <c r="C7" s="117"/>
      <c r="D7" s="118" t="s">
        <v>255</v>
      </c>
      <c r="E7" s="119"/>
      <c r="F7" s="120"/>
    </row>
    <row r="8" spans="1:6" x14ac:dyDescent="0.25">
      <c r="A8" s="13" t="s">
        <v>254</v>
      </c>
      <c r="B8" s="116" t="s">
        <v>384</v>
      </c>
      <c r="C8" s="117"/>
      <c r="D8" s="118" t="s">
        <v>256</v>
      </c>
      <c r="E8" s="119"/>
      <c r="F8" s="120"/>
    </row>
    <row r="9" spans="1:6" ht="25.5" x14ac:dyDescent="0.25">
      <c r="A9" s="103" t="s">
        <v>267</v>
      </c>
      <c r="B9" s="142" t="s">
        <v>357</v>
      </c>
      <c r="C9" s="143"/>
      <c r="D9" s="147" t="s">
        <v>267</v>
      </c>
      <c r="E9" s="148"/>
      <c r="F9" s="149"/>
    </row>
    <row r="10" spans="1:6" ht="25.5" x14ac:dyDescent="0.25">
      <c r="A10" s="13" t="s">
        <v>267</v>
      </c>
      <c r="B10" s="116" t="s">
        <v>372</v>
      </c>
      <c r="C10" s="117"/>
      <c r="D10" s="118" t="s">
        <v>267</v>
      </c>
      <c r="E10" s="119"/>
      <c r="F10" s="120"/>
    </row>
    <row r="11" spans="1:6" ht="25.5" x14ac:dyDescent="0.25">
      <c r="A11" s="103" t="s">
        <v>268</v>
      </c>
      <c r="B11" s="142" t="s">
        <v>385</v>
      </c>
      <c r="C11" s="143"/>
      <c r="D11" s="147" t="s">
        <v>268</v>
      </c>
      <c r="E11" s="148"/>
      <c r="F11" s="149"/>
    </row>
    <row r="12" spans="1:6" ht="63.75" x14ac:dyDescent="0.25">
      <c r="A12" s="22" t="s">
        <v>331</v>
      </c>
      <c r="B12" s="116" t="s">
        <v>370</v>
      </c>
      <c r="C12" s="117"/>
      <c r="D12" s="130" t="s">
        <v>332</v>
      </c>
      <c r="E12" s="131"/>
      <c r="F12" s="132"/>
    </row>
    <row r="13" spans="1:6" ht="76.5" x14ac:dyDescent="0.25">
      <c r="A13" s="22" t="s">
        <v>28</v>
      </c>
      <c r="B13" s="128" t="s">
        <v>215</v>
      </c>
      <c r="C13" s="129"/>
      <c r="D13" s="130" t="s">
        <v>28</v>
      </c>
      <c r="E13" s="131"/>
      <c r="F13" s="132"/>
    </row>
    <row r="14" spans="1:6" ht="63.75" x14ac:dyDescent="0.25">
      <c r="A14" s="103" t="s">
        <v>244</v>
      </c>
      <c r="B14" s="142" t="s">
        <v>374</v>
      </c>
      <c r="C14" s="143"/>
      <c r="D14" s="147" t="s">
        <v>349</v>
      </c>
      <c r="E14" s="148"/>
      <c r="F14" s="149"/>
    </row>
    <row r="15" spans="1:6" ht="63.75" x14ac:dyDescent="0.25">
      <c r="A15" s="103" t="s">
        <v>244</v>
      </c>
      <c r="B15" s="142" t="s">
        <v>381</v>
      </c>
      <c r="C15" s="143"/>
      <c r="D15" s="147" t="s">
        <v>247</v>
      </c>
      <c r="E15" s="148"/>
      <c r="F15" s="149"/>
    </row>
    <row r="16" spans="1:6" ht="63.75" x14ac:dyDescent="0.25">
      <c r="A16" s="103" t="s">
        <v>244</v>
      </c>
      <c r="B16" s="142" t="s">
        <v>382</v>
      </c>
      <c r="C16" s="143"/>
      <c r="D16" s="147" t="s">
        <v>247</v>
      </c>
      <c r="E16" s="148"/>
      <c r="F16" s="149"/>
    </row>
    <row r="17" spans="1:6" ht="63.75" x14ac:dyDescent="0.25">
      <c r="A17" s="13" t="s">
        <v>244</v>
      </c>
      <c r="B17" s="116" t="s">
        <v>373</v>
      </c>
      <c r="C17" s="117"/>
      <c r="D17" s="118" t="s">
        <v>248</v>
      </c>
      <c r="E17" s="119"/>
      <c r="F17" s="120"/>
    </row>
    <row r="18" spans="1:6" ht="63.75" x14ac:dyDescent="0.25">
      <c r="A18" s="13" t="s">
        <v>244</v>
      </c>
      <c r="B18" s="116" t="s">
        <v>373</v>
      </c>
      <c r="C18" s="117"/>
      <c r="D18" s="118" t="s">
        <v>249</v>
      </c>
      <c r="E18" s="119"/>
      <c r="F18" s="120"/>
    </row>
    <row r="19" spans="1:6" ht="63.75" x14ac:dyDescent="0.25">
      <c r="A19" s="103" t="s">
        <v>244</v>
      </c>
      <c r="B19" s="142" t="s">
        <v>374</v>
      </c>
      <c r="C19" s="143"/>
      <c r="D19" s="147" t="s">
        <v>245</v>
      </c>
      <c r="E19" s="148"/>
      <c r="F19" s="149"/>
    </row>
    <row r="20" spans="1:6" ht="15.75" x14ac:dyDescent="0.25">
      <c r="A20" s="133" t="s">
        <v>375</v>
      </c>
      <c r="B20" s="134"/>
      <c r="C20" s="134"/>
      <c r="D20" s="134"/>
      <c r="E20" s="134"/>
      <c r="F20" s="135"/>
    </row>
  </sheetData>
  <mergeCells count="35">
    <mergeCell ref="B18:C18"/>
    <mergeCell ref="D18:F18"/>
    <mergeCell ref="B19:C19"/>
    <mergeCell ref="D19:F19"/>
    <mergeCell ref="A20:F20"/>
    <mergeCell ref="B15:C15"/>
    <mergeCell ref="D15:F15"/>
    <mergeCell ref="B16:C16"/>
    <mergeCell ref="D16:F16"/>
    <mergeCell ref="B17:C17"/>
    <mergeCell ref="D17:F17"/>
    <mergeCell ref="B12:C12"/>
    <mergeCell ref="D12:F12"/>
    <mergeCell ref="B13:C13"/>
    <mergeCell ref="D13:F13"/>
    <mergeCell ref="B14:C14"/>
    <mergeCell ref="D14:F14"/>
    <mergeCell ref="B9:C9"/>
    <mergeCell ref="D9:F9"/>
    <mergeCell ref="B10:C10"/>
    <mergeCell ref="D10:F10"/>
    <mergeCell ref="B11:C11"/>
    <mergeCell ref="D11:F11"/>
    <mergeCell ref="B6:C6"/>
    <mergeCell ref="D6:F6"/>
    <mergeCell ref="B7:C7"/>
    <mergeCell ref="D7:F7"/>
    <mergeCell ref="B8:C8"/>
    <mergeCell ref="D8:F8"/>
    <mergeCell ref="D1:F1"/>
    <mergeCell ref="A3:F3"/>
    <mergeCell ref="B4:C4"/>
    <mergeCell ref="D4:F4"/>
    <mergeCell ref="B5:C5"/>
    <mergeCell ref="D5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57CE0-C254-4215-AB59-9A68ECB81A74}">
  <dimension ref="B2:H74"/>
  <sheetViews>
    <sheetView zoomScaleNormal="100" workbookViewId="0">
      <selection activeCell="B2" sqref="B2:G9"/>
    </sheetView>
  </sheetViews>
  <sheetFormatPr baseColWidth="10" defaultRowHeight="15" x14ac:dyDescent="0.25"/>
  <cols>
    <col min="1" max="1" width="10.42578125" customWidth="1"/>
    <col min="2" max="2" width="29.85546875" customWidth="1"/>
    <col min="3" max="3" width="20.28515625" customWidth="1"/>
    <col min="4" max="4" width="14.28515625" customWidth="1"/>
    <col min="5" max="5" width="18" customWidth="1"/>
    <col min="6" max="6" width="8.28515625" customWidth="1"/>
    <col min="7" max="7" width="23.7109375" customWidth="1"/>
    <col min="8" max="8" width="14.5703125" customWidth="1"/>
    <col min="9" max="9" width="26.85546875" customWidth="1"/>
    <col min="10" max="10" width="27.85546875" customWidth="1"/>
    <col min="11" max="11" width="15.5703125" customWidth="1"/>
    <col min="12" max="12" width="15.85546875" customWidth="1"/>
    <col min="13" max="13" width="13.5703125" customWidth="1"/>
    <col min="14" max="14" width="16.28515625" customWidth="1"/>
  </cols>
  <sheetData>
    <row r="2" spans="2:8" ht="16.5" customHeight="1" x14ac:dyDescent="0.25">
      <c r="B2" s="48" t="s">
        <v>1</v>
      </c>
      <c r="C2" s="23">
        <v>45924</v>
      </c>
      <c r="D2" s="166" t="s">
        <v>2</v>
      </c>
      <c r="E2" s="167"/>
      <c r="F2" s="156">
        <v>0.27083333333333331</v>
      </c>
      <c r="G2" s="157"/>
    </row>
    <row r="3" spans="2:8" ht="14.25" customHeight="1" x14ac:dyDescent="0.25">
      <c r="B3" s="48" t="s">
        <v>3</v>
      </c>
      <c r="C3" s="16" t="s">
        <v>442</v>
      </c>
      <c r="D3" s="35" t="s">
        <v>4</v>
      </c>
      <c r="E3" s="16" t="s">
        <v>395</v>
      </c>
      <c r="F3" s="66" t="s">
        <v>210</v>
      </c>
      <c r="G3" s="16">
        <v>42</v>
      </c>
    </row>
    <row r="4" spans="2:8" x14ac:dyDescent="0.25">
      <c r="B4" s="158" t="s">
        <v>5</v>
      </c>
      <c r="C4" s="159"/>
      <c r="D4" s="159"/>
      <c r="E4" s="159"/>
      <c r="F4" s="159"/>
      <c r="G4" s="160"/>
    </row>
    <row r="5" spans="2:8" x14ac:dyDescent="0.25">
      <c r="B5" s="35" t="s">
        <v>6</v>
      </c>
      <c r="C5" s="158" t="s">
        <v>7</v>
      </c>
      <c r="D5" s="160"/>
      <c r="E5" s="35" t="s">
        <v>8</v>
      </c>
      <c r="F5" s="158" t="s">
        <v>9</v>
      </c>
      <c r="G5" s="160"/>
    </row>
    <row r="6" spans="2:8" ht="24.75" customHeight="1" x14ac:dyDescent="0.25">
      <c r="B6" s="6" t="s">
        <v>409</v>
      </c>
      <c r="C6" s="164" t="s">
        <v>389</v>
      </c>
      <c r="D6" s="165"/>
      <c r="E6" s="110" t="s">
        <v>443</v>
      </c>
      <c r="F6" s="150" t="s">
        <v>10</v>
      </c>
      <c r="G6" s="151"/>
    </row>
    <row r="7" spans="2:8" s="1" customFormat="1" ht="35.25" customHeight="1" x14ac:dyDescent="0.25">
      <c r="B7" s="6" t="s">
        <v>446</v>
      </c>
      <c r="C7" s="164" t="s">
        <v>380</v>
      </c>
      <c r="D7" s="165"/>
      <c r="E7" s="105">
        <v>3100</v>
      </c>
      <c r="F7" s="150" t="s">
        <v>10</v>
      </c>
      <c r="G7" s="151"/>
    </row>
    <row r="8" spans="2:8" s="1" customFormat="1" ht="35.25" customHeight="1" x14ac:dyDescent="0.25">
      <c r="B8" s="6" t="s">
        <v>446</v>
      </c>
      <c r="C8" s="164" t="s">
        <v>411</v>
      </c>
      <c r="D8" s="165"/>
      <c r="E8" s="105" t="s">
        <v>0</v>
      </c>
      <c r="F8" s="150" t="s">
        <v>0</v>
      </c>
      <c r="G8" s="151"/>
    </row>
    <row r="9" spans="2:8" s="1" customFormat="1" ht="33.75" customHeight="1" x14ac:dyDescent="0.25">
      <c r="B9" s="13" t="s">
        <v>444</v>
      </c>
      <c r="C9" s="164" t="s">
        <v>445</v>
      </c>
      <c r="D9" s="165"/>
      <c r="E9" s="105">
        <v>2900</v>
      </c>
      <c r="F9" s="150" t="s">
        <v>10</v>
      </c>
      <c r="G9" s="151"/>
    </row>
    <row r="10" spans="2:8" s="1" customFormat="1" ht="32.25" customHeight="1" x14ac:dyDescent="0.25">
      <c r="B10" s="13" t="s">
        <v>425</v>
      </c>
      <c r="C10" s="164" t="s">
        <v>390</v>
      </c>
      <c r="D10" s="165"/>
      <c r="E10" s="111" t="s">
        <v>426</v>
      </c>
      <c r="F10" s="150" t="s">
        <v>10</v>
      </c>
      <c r="G10" s="151"/>
    </row>
    <row r="11" spans="2:8" s="1" customFormat="1" ht="27" customHeight="1" x14ac:dyDescent="0.25">
      <c r="B11" s="13" t="s">
        <v>427</v>
      </c>
      <c r="C11" s="164" t="s">
        <v>272</v>
      </c>
      <c r="D11" s="165"/>
      <c r="E11" s="105" t="s">
        <v>0</v>
      </c>
      <c r="F11" s="169" t="s">
        <v>0</v>
      </c>
      <c r="G11" s="169"/>
    </row>
    <row r="12" spans="2:8" s="1" customFormat="1" ht="27" customHeight="1" x14ac:dyDescent="0.25">
      <c r="B12" s="13" t="s">
        <v>427</v>
      </c>
      <c r="C12" s="164" t="s">
        <v>269</v>
      </c>
      <c r="D12" s="165"/>
      <c r="E12" s="105">
        <v>2900</v>
      </c>
      <c r="F12" s="169" t="s">
        <v>10</v>
      </c>
      <c r="G12" s="169"/>
    </row>
    <row r="13" spans="2:8" s="1" customFormat="1" ht="22.5" customHeight="1" x14ac:dyDescent="0.25">
      <c r="B13" s="22"/>
      <c r="C13" s="164"/>
      <c r="D13" s="165"/>
      <c r="E13" s="28"/>
      <c r="F13" s="152"/>
      <c r="G13" s="153"/>
      <c r="H13" s="102"/>
    </row>
    <row r="14" spans="2:8" ht="24.75" customHeight="1" x14ac:dyDescent="0.25">
      <c r="B14" s="6"/>
      <c r="C14" s="164"/>
      <c r="D14" s="165"/>
      <c r="E14" s="4"/>
      <c r="F14" s="150"/>
      <c r="G14" s="151"/>
    </row>
    <row r="15" spans="2:8" x14ac:dyDescent="0.25">
      <c r="G15" s="52"/>
    </row>
    <row r="16" spans="2:8" x14ac:dyDescent="0.25">
      <c r="G16" s="52"/>
    </row>
    <row r="19" spans="2:7" x14ac:dyDescent="0.25">
      <c r="B19" s="48" t="s">
        <v>1</v>
      </c>
      <c r="C19" s="23">
        <v>45884</v>
      </c>
      <c r="D19" s="166" t="s">
        <v>2</v>
      </c>
      <c r="E19" s="167"/>
      <c r="F19" s="156">
        <v>0.27083333333333331</v>
      </c>
      <c r="G19" s="157"/>
    </row>
    <row r="20" spans="2:7" ht="18.75" customHeight="1" x14ac:dyDescent="0.25">
      <c r="B20" s="48" t="s">
        <v>3</v>
      </c>
      <c r="C20" s="16" t="s">
        <v>262</v>
      </c>
      <c r="D20" s="35" t="s">
        <v>4</v>
      </c>
      <c r="E20" s="16" t="s">
        <v>415</v>
      </c>
      <c r="F20" s="66" t="s">
        <v>210</v>
      </c>
      <c r="G20" s="16">
        <v>61</v>
      </c>
    </row>
    <row r="21" spans="2:7" ht="23.25" customHeight="1" x14ac:dyDescent="0.25">
      <c r="B21" s="158" t="s">
        <v>5</v>
      </c>
      <c r="C21" s="159"/>
      <c r="D21" s="159"/>
      <c r="E21" s="159"/>
      <c r="F21" s="159"/>
      <c r="G21" s="160"/>
    </row>
    <row r="22" spans="2:7" ht="25.5" customHeight="1" x14ac:dyDescent="0.25">
      <c r="B22" s="35" t="s">
        <v>6</v>
      </c>
      <c r="C22" s="158" t="s">
        <v>7</v>
      </c>
      <c r="D22" s="160"/>
      <c r="E22" s="35" t="s">
        <v>8</v>
      </c>
      <c r="F22" s="158" t="s">
        <v>9</v>
      </c>
      <c r="G22" s="160"/>
    </row>
    <row r="23" spans="2:7" ht="25.5" customHeight="1" x14ac:dyDescent="0.25">
      <c r="B23" s="6" t="s">
        <v>406</v>
      </c>
      <c r="C23" s="164" t="s">
        <v>407</v>
      </c>
      <c r="D23" s="165"/>
      <c r="E23" s="4" t="s">
        <v>23</v>
      </c>
      <c r="F23" s="150" t="s">
        <v>10</v>
      </c>
      <c r="G23" s="151"/>
    </row>
    <row r="24" spans="2:7" ht="25.5" customHeight="1" x14ac:dyDescent="0.25">
      <c r="B24" s="6" t="s">
        <v>406</v>
      </c>
      <c r="C24" s="164" t="s">
        <v>408</v>
      </c>
      <c r="D24" s="165"/>
      <c r="E24" s="4" t="s">
        <v>23</v>
      </c>
      <c r="F24" s="150" t="s">
        <v>10</v>
      </c>
      <c r="G24" s="151"/>
    </row>
    <row r="25" spans="2:7" ht="25.5" customHeight="1" x14ac:dyDescent="0.25">
      <c r="B25" s="22" t="s">
        <v>391</v>
      </c>
      <c r="C25" s="164" t="s">
        <v>390</v>
      </c>
      <c r="D25" s="165"/>
      <c r="E25" s="105" t="s">
        <v>23</v>
      </c>
      <c r="F25" s="169" t="s">
        <v>10</v>
      </c>
      <c r="G25" s="169"/>
    </row>
    <row r="26" spans="2:7" ht="17.25" customHeight="1" x14ac:dyDescent="0.25">
      <c r="B26" s="6" t="s">
        <v>409</v>
      </c>
      <c r="C26" s="164" t="s">
        <v>389</v>
      </c>
      <c r="D26" s="165"/>
      <c r="E26" s="4" t="s">
        <v>23</v>
      </c>
      <c r="F26" s="150" t="s">
        <v>10</v>
      </c>
      <c r="G26" s="151"/>
    </row>
    <row r="27" spans="2:7" ht="18" customHeight="1" x14ac:dyDescent="0.25">
      <c r="B27" s="6" t="s">
        <v>379</v>
      </c>
      <c r="C27" s="164" t="s">
        <v>258</v>
      </c>
      <c r="D27" s="165"/>
      <c r="E27" s="4" t="s">
        <v>23</v>
      </c>
      <c r="F27" s="150" t="s">
        <v>10</v>
      </c>
      <c r="G27" s="151"/>
    </row>
    <row r="28" spans="2:7" ht="25.5" hidden="1" customHeight="1" x14ac:dyDescent="0.25">
      <c r="B28" s="13" t="s">
        <v>392</v>
      </c>
      <c r="C28" s="164" t="s">
        <v>380</v>
      </c>
      <c r="D28" s="165"/>
      <c r="E28" s="28">
        <v>3100</v>
      </c>
      <c r="F28" s="152" t="s">
        <v>10</v>
      </c>
      <c r="G28" s="153"/>
    </row>
    <row r="29" spans="2:7" ht="25.5" customHeight="1" x14ac:dyDescent="0.25">
      <c r="B29" s="13" t="s">
        <v>410</v>
      </c>
      <c r="C29" s="164" t="s">
        <v>403</v>
      </c>
      <c r="D29" s="165"/>
      <c r="E29" s="28">
        <v>3100</v>
      </c>
      <c r="F29" s="152" t="s">
        <v>10</v>
      </c>
      <c r="G29" s="153"/>
    </row>
    <row r="30" spans="2:7" ht="25.5" customHeight="1" x14ac:dyDescent="0.25">
      <c r="B30" s="13" t="s">
        <v>410</v>
      </c>
      <c r="C30" s="164" t="s">
        <v>411</v>
      </c>
      <c r="D30" s="165"/>
      <c r="E30" s="109" t="s">
        <v>0</v>
      </c>
      <c r="F30" s="152" t="s">
        <v>10</v>
      </c>
      <c r="G30" s="153"/>
    </row>
    <row r="31" spans="2:7" ht="25.5" customHeight="1" x14ac:dyDescent="0.25">
      <c r="B31" s="13" t="s">
        <v>392</v>
      </c>
      <c r="C31" s="164" t="s">
        <v>412</v>
      </c>
      <c r="D31" s="165"/>
      <c r="E31" s="28">
        <v>3100</v>
      </c>
      <c r="F31" s="152" t="s">
        <v>10</v>
      </c>
      <c r="G31" s="153"/>
    </row>
    <row r="32" spans="2:7" ht="25.5" customHeight="1" x14ac:dyDescent="0.25">
      <c r="B32" s="13" t="s">
        <v>392</v>
      </c>
      <c r="C32" s="164" t="s">
        <v>413</v>
      </c>
      <c r="D32" s="165"/>
      <c r="E32" s="109" t="s">
        <v>0</v>
      </c>
      <c r="F32" s="152" t="s">
        <v>10</v>
      </c>
      <c r="G32" s="153"/>
    </row>
    <row r="33" spans="2:7" ht="25.5" customHeight="1" x14ac:dyDescent="0.25">
      <c r="B33" s="13" t="s">
        <v>414</v>
      </c>
      <c r="C33" s="164" t="s">
        <v>403</v>
      </c>
      <c r="D33" s="165"/>
      <c r="E33" s="28">
        <v>3100</v>
      </c>
      <c r="F33" s="152" t="s">
        <v>10</v>
      </c>
      <c r="G33" s="153"/>
    </row>
    <row r="34" spans="2:7" ht="25.5" customHeight="1" x14ac:dyDescent="0.25">
      <c r="B34" s="106"/>
      <c r="C34" s="107"/>
      <c r="D34" s="107"/>
      <c r="E34" s="108"/>
      <c r="F34" s="108"/>
      <c r="G34" s="108"/>
    </row>
    <row r="35" spans="2:7" ht="25.5" customHeight="1" x14ac:dyDescent="0.25">
      <c r="B35" s="48" t="s">
        <v>1</v>
      </c>
      <c r="C35" s="23">
        <v>45890</v>
      </c>
      <c r="D35" s="166" t="s">
        <v>2</v>
      </c>
      <c r="E35" s="167"/>
      <c r="F35" s="170">
        <v>0.33333333333333331</v>
      </c>
      <c r="G35" s="171"/>
    </row>
    <row r="36" spans="2:7" ht="25.5" customHeight="1" x14ac:dyDescent="0.25">
      <c r="B36" s="48" t="s">
        <v>3</v>
      </c>
      <c r="C36" s="16" t="s">
        <v>393</v>
      </c>
      <c r="D36" s="35" t="s">
        <v>4</v>
      </c>
      <c r="E36" s="16" t="s">
        <v>394</v>
      </c>
      <c r="F36" s="66" t="s">
        <v>210</v>
      </c>
      <c r="G36" s="16">
        <v>40</v>
      </c>
    </row>
    <row r="37" spans="2:7" ht="22.5" customHeight="1" x14ac:dyDescent="0.25">
      <c r="B37" s="158" t="s">
        <v>5</v>
      </c>
      <c r="C37" s="159"/>
      <c r="D37" s="159"/>
      <c r="E37" s="159"/>
      <c r="F37" s="159"/>
      <c r="G37" s="160"/>
    </row>
    <row r="38" spans="2:7" ht="22.5" customHeight="1" x14ac:dyDescent="0.25">
      <c r="B38" s="35" t="s">
        <v>6</v>
      </c>
      <c r="C38" s="168" t="s">
        <v>7</v>
      </c>
      <c r="D38" s="168"/>
      <c r="E38" s="35" t="s">
        <v>8</v>
      </c>
      <c r="F38" s="158" t="s">
        <v>9</v>
      </c>
      <c r="G38" s="160"/>
    </row>
    <row r="39" spans="2:7" ht="37.5" customHeight="1" x14ac:dyDescent="0.25">
      <c r="B39" s="10" t="s">
        <v>402</v>
      </c>
      <c r="C39" s="164" t="s">
        <v>403</v>
      </c>
      <c r="D39" s="165"/>
      <c r="E39" s="28">
        <v>3100</v>
      </c>
      <c r="F39" s="152" t="s">
        <v>404</v>
      </c>
      <c r="G39" s="153"/>
    </row>
    <row r="40" spans="2:7" ht="22.5" customHeight="1" x14ac:dyDescent="0.25">
      <c r="B40" s="35"/>
      <c r="C40" s="158"/>
      <c r="D40" s="160"/>
      <c r="E40" s="35"/>
      <c r="F40" s="158"/>
      <c r="G40" s="160"/>
    </row>
    <row r="43" spans="2:7" x14ac:dyDescent="0.25">
      <c r="B43" s="48" t="s">
        <v>1</v>
      </c>
      <c r="C43" s="23">
        <v>45863</v>
      </c>
      <c r="D43" s="155" t="s">
        <v>2</v>
      </c>
      <c r="E43" s="155"/>
      <c r="F43" s="156">
        <v>0.125</v>
      </c>
      <c r="G43" s="157"/>
    </row>
    <row r="44" spans="2:7" x14ac:dyDescent="0.25">
      <c r="B44" s="48" t="s">
        <v>3</v>
      </c>
      <c r="C44" s="23" t="s">
        <v>262</v>
      </c>
      <c r="D44" s="35" t="s">
        <v>4</v>
      </c>
      <c r="E44" s="47" t="s">
        <v>102</v>
      </c>
      <c r="F44" s="36" t="s">
        <v>211</v>
      </c>
      <c r="G44" s="15">
        <v>61</v>
      </c>
    </row>
    <row r="45" spans="2:7" x14ac:dyDescent="0.25">
      <c r="B45" s="158" t="s">
        <v>5</v>
      </c>
      <c r="C45" s="159"/>
      <c r="D45" s="159"/>
      <c r="E45" s="159"/>
      <c r="F45" s="159"/>
      <c r="G45" s="160"/>
    </row>
    <row r="46" spans="2:7" x14ac:dyDescent="0.25">
      <c r="B46" s="68" t="s">
        <v>6</v>
      </c>
      <c r="C46" s="161" t="s">
        <v>7</v>
      </c>
      <c r="D46" s="162"/>
      <c r="E46" s="68" t="s">
        <v>8</v>
      </c>
      <c r="F46" s="158" t="s">
        <v>9</v>
      </c>
      <c r="G46" s="160"/>
    </row>
    <row r="47" spans="2:7" ht="26.25" customHeight="1" x14ac:dyDescent="0.25">
      <c r="B47" s="6" t="s">
        <v>351</v>
      </c>
      <c r="C47" s="164" t="s">
        <v>359</v>
      </c>
      <c r="D47" s="165"/>
      <c r="E47" s="4" t="s">
        <v>23</v>
      </c>
      <c r="F47" s="150" t="s">
        <v>10</v>
      </c>
      <c r="G47" s="151"/>
    </row>
    <row r="48" spans="2:7" ht="38.25" x14ac:dyDescent="0.25">
      <c r="B48" s="10" t="s">
        <v>273</v>
      </c>
      <c r="C48" s="154" t="s">
        <v>269</v>
      </c>
      <c r="D48" s="154"/>
      <c r="E48" s="28">
        <v>3000</v>
      </c>
      <c r="F48" s="152" t="s">
        <v>10</v>
      </c>
      <c r="G48" s="153"/>
    </row>
    <row r="49" spans="2:7" ht="44.25" customHeight="1" x14ac:dyDescent="0.25">
      <c r="B49" s="6" t="s">
        <v>273</v>
      </c>
      <c r="C49" s="163" t="s">
        <v>272</v>
      </c>
      <c r="D49" s="163"/>
      <c r="E49" s="4" t="s">
        <v>0</v>
      </c>
      <c r="F49" s="150" t="s">
        <v>0</v>
      </c>
      <c r="G49" s="151"/>
    </row>
    <row r="50" spans="2:7" ht="33.75" customHeight="1" x14ac:dyDescent="0.25">
      <c r="B50" s="13" t="s">
        <v>352</v>
      </c>
      <c r="C50" s="154" t="s">
        <v>353</v>
      </c>
      <c r="D50" s="154"/>
      <c r="E50" s="28" t="s">
        <v>0</v>
      </c>
      <c r="F50" s="152" t="s">
        <v>352</v>
      </c>
      <c r="G50" s="153"/>
    </row>
    <row r="51" spans="2:7" ht="36" customHeight="1" x14ac:dyDescent="0.25">
      <c r="B51" s="13" t="s">
        <v>330</v>
      </c>
      <c r="C51" s="154" t="s">
        <v>279</v>
      </c>
      <c r="D51" s="154"/>
      <c r="E51" s="28" t="s">
        <v>0</v>
      </c>
      <c r="F51" s="152" t="s">
        <v>330</v>
      </c>
      <c r="G51" s="153"/>
    </row>
    <row r="52" spans="2:7" ht="37.5" customHeight="1" x14ac:dyDescent="0.25">
      <c r="B52" s="13" t="s">
        <v>354</v>
      </c>
      <c r="C52" s="154" t="s">
        <v>355</v>
      </c>
      <c r="D52" s="154"/>
      <c r="E52" s="28" t="s">
        <v>0</v>
      </c>
      <c r="F52" s="152" t="s">
        <v>354</v>
      </c>
      <c r="G52" s="153"/>
    </row>
    <row r="53" spans="2:7" ht="25.5" customHeight="1" x14ac:dyDescent="0.25">
      <c r="B53" s="13" t="s">
        <v>356</v>
      </c>
      <c r="C53" s="154" t="s">
        <v>205</v>
      </c>
      <c r="D53" s="154"/>
      <c r="E53" s="28" t="s">
        <v>0</v>
      </c>
      <c r="F53" s="152" t="s">
        <v>356</v>
      </c>
      <c r="G53" s="153"/>
    </row>
    <row r="59" spans="2:7" ht="15.75" x14ac:dyDescent="0.25">
      <c r="B59" s="100" t="s">
        <v>339</v>
      </c>
      <c r="C59" s="100" t="s">
        <v>167</v>
      </c>
      <c r="D59" s="100" t="s">
        <v>340</v>
      </c>
    </row>
    <row r="60" spans="2:7" ht="15.75" x14ac:dyDescent="0.25">
      <c r="B60" s="99" t="s">
        <v>341</v>
      </c>
      <c r="C60" s="99" t="s">
        <v>344</v>
      </c>
      <c r="D60" s="101">
        <v>2300</v>
      </c>
    </row>
    <row r="61" spans="2:7" ht="15.75" x14ac:dyDescent="0.25">
      <c r="B61" s="99" t="s">
        <v>341</v>
      </c>
      <c r="C61" s="99" t="s">
        <v>345</v>
      </c>
      <c r="D61" s="101">
        <v>4500</v>
      </c>
    </row>
    <row r="62" spans="2:7" ht="15.75" x14ac:dyDescent="0.25">
      <c r="B62" s="99" t="s">
        <v>342</v>
      </c>
      <c r="C62" s="99" t="s">
        <v>344</v>
      </c>
      <c r="D62" s="101">
        <v>2900</v>
      </c>
    </row>
    <row r="63" spans="2:7" ht="15.75" x14ac:dyDescent="0.25">
      <c r="B63" s="99" t="s">
        <v>343</v>
      </c>
      <c r="C63" s="99" t="s">
        <v>345</v>
      </c>
      <c r="D63" s="101">
        <v>5300</v>
      </c>
    </row>
    <row r="64" spans="2:7" ht="15.75" x14ac:dyDescent="0.25">
      <c r="B64" s="99" t="s">
        <v>346</v>
      </c>
      <c r="C64" s="99" t="s">
        <v>344</v>
      </c>
      <c r="D64" s="101">
        <v>2900</v>
      </c>
    </row>
    <row r="65" spans="2:4" ht="15.75" x14ac:dyDescent="0.25">
      <c r="B65" s="99" t="s">
        <v>346</v>
      </c>
      <c r="C65" s="99" t="s">
        <v>345</v>
      </c>
      <c r="D65" s="101">
        <v>5600</v>
      </c>
    </row>
    <row r="66" spans="2:4" ht="15.75" x14ac:dyDescent="0.25">
      <c r="B66" s="99"/>
      <c r="C66" s="99"/>
      <c r="D66" s="99"/>
    </row>
    <row r="67" spans="2:4" ht="15.75" x14ac:dyDescent="0.25">
      <c r="B67" s="99"/>
      <c r="C67" s="99"/>
      <c r="D67" s="99"/>
    </row>
    <row r="68" spans="2:4" ht="15.75" x14ac:dyDescent="0.25">
      <c r="B68" s="99"/>
      <c r="C68" s="99"/>
      <c r="D68" s="99"/>
    </row>
    <row r="69" spans="2:4" ht="15.75" x14ac:dyDescent="0.25">
      <c r="B69" s="99"/>
      <c r="C69" s="99"/>
      <c r="D69" s="99"/>
    </row>
    <row r="70" spans="2:4" ht="15.75" x14ac:dyDescent="0.25">
      <c r="B70" s="99"/>
      <c r="C70" s="99"/>
      <c r="D70" s="99"/>
    </row>
    <row r="71" spans="2:4" ht="15.75" x14ac:dyDescent="0.25">
      <c r="B71" s="99"/>
      <c r="C71" s="99"/>
      <c r="D71" s="99"/>
    </row>
    <row r="72" spans="2:4" ht="15.75" x14ac:dyDescent="0.25">
      <c r="B72" s="99"/>
      <c r="C72" s="99"/>
      <c r="D72" s="99"/>
    </row>
    <row r="73" spans="2:4" ht="15.75" x14ac:dyDescent="0.25">
      <c r="B73" s="99"/>
      <c r="C73" s="99"/>
      <c r="D73" s="99"/>
    </row>
    <row r="74" spans="2:4" ht="15.75" x14ac:dyDescent="0.25">
      <c r="B74" s="99"/>
      <c r="C74" s="99"/>
      <c r="D74" s="99"/>
    </row>
  </sheetData>
  <mergeCells count="78">
    <mergeCell ref="F26:G26"/>
    <mergeCell ref="C25:D25"/>
    <mergeCell ref="F25:G25"/>
    <mergeCell ref="C14:D14"/>
    <mergeCell ref="F14:G14"/>
    <mergeCell ref="F51:G51"/>
    <mergeCell ref="F50:G50"/>
    <mergeCell ref="F48:G48"/>
    <mergeCell ref="F47:G47"/>
    <mergeCell ref="F35:G35"/>
    <mergeCell ref="C33:D33"/>
    <mergeCell ref="F33:G33"/>
    <mergeCell ref="C29:D29"/>
    <mergeCell ref="F29:G29"/>
    <mergeCell ref="C32:D32"/>
    <mergeCell ref="F32:G32"/>
    <mergeCell ref="C30:D30"/>
    <mergeCell ref="F30:G30"/>
    <mergeCell ref="C31:D31"/>
    <mergeCell ref="F31:G31"/>
    <mergeCell ref="F19:G19"/>
    <mergeCell ref="B21:G21"/>
    <mergeCell ref="C7:D7"/>
    <mergeCell ref="F7:G7"/>
    <mergeCell ref="C9:D9"/>
    <mergeCell ref="F9:G9"/>
    <mergeCell ref="C10:D10"/>
    <mergeCell ref="F10:G10"/>
    <mergeCell ref="C8:D8"/>
    <mergeCell ref="F8:G8"/>
    <mergeCell ref="F40:G40"/>
    <mergeCell ref="C40:D40"/>
    <mergeCell ref="C11:D11"/>
    <mergeCell ref="F39:G39"/>
    <mergeCell ref="C39:D39"/>
    <mergeCell ref="C38:D38"/>
    <mergeCell ref="B37:G37"/>
    <mergeCell ref="F38:G38"/>
    <mergeCell ref="C12:D12"/>
    <mergeCell ref="F12:G12"/>
    <mergeCell ref="C22:D22"/>
    <mergeCell ref="F22:G22"/>
    <mergeCell ref="C27:D27"/>
    <mergeCell ref="F27:G27"/>
    <mergeCell ref="C28:D28"/>
    <mergeCell ref="F28:G28"/>
    <mergeCell ref="D35:E35"/>
    <mergeCell ref="D2:E2"/>
    <mergeCell ref="C5:D5"/>
    <mergeCell ref="B4:G4"/>
    <mergeCell ref="F5:G5"/>
    <mergeCell ref="F2:G2"/>
    <mergeCell ref="C13:D13"/>
    <mergeCell ref="F13:G13"/>
    <mergeCell ref="C6:D6"/>
    <mergeCell ref="C24:D24"/>
    <mergeCell ref="F24:G24"/>
    <mergeCell ref="C26:D26"/>
    <mergeCell ref="C23:D23"/>
    <mergeCell ref="F23:G23"/>
    <mergeCell ref="F11:G11"/>
    <mergeCell ref="D19:E19"/>
    <mergeCell ref="F6:G6"/>
    <mergeCell ref="F53:G53"/>
    <mergeCell ref="C53:D53"/>
    <mergeCell ref="D43:E43"/>
    <mergeCell ref="F43:G43"/>
    <mergeCell ref="B45:G45"/>
    <mergeCell ref="C52:D52"/>
    <mergeCell ref="F52:G52"/>
    <mergeCell ref="C46:D46"/>
    <mergeCell ref="F46:G46"/>
    <mergeCell ref="C48:D48"/>
    <mergeCell ref="C49:D49"/>
    <mergeCell ref="F49:G49"/>
    <mergeCell ref="C51:D51"/>
    <mergeCell ref="C50:D50"/>
    <mergeCell ref="C47:D47"/>
  </mergeCells>
  <phoneticPr fontId="14" type="noConversion"/>
  <pageMargins left="0.7" right="0.7" top="0.75" bottom="0.75" header="0.3" footer="0.3"/>
  <pageSetup paperSize="9" orientation="portrait" verticalDpi="7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5C32E-80BF-4EE6-A394-29FDFC384E05}">
  <dimension ref="B3:G111"/>
  <sheetViews>
    <sheetView topLeftCell="A47" workbookViewId="0">
      <selection activeCell="B48" sqref="B48:G63"/>
    </sheetView>
  </sheetViews>
  <sheetFormatPr baseColWidth="10" defaultRowHeight="15" x14ac:dyDescent="0.25"/>
  <cols>
    <col min="2" max="2" width="31.42578125" customWidth="1"/>
    <col min="3" max="3" width="19.5703125" customWidth="1"/>
    <col min="4" max="4" width="10.42578125" customWidth="1"/>
    <col min="5" max="5" width="17.7109375" customWidth="1"/>
    <col min="6" max="6" width="9.42578125" customWidth="1"/>
    <col min="7" max="7" width="27.5703125" customWidth="1"/>
    <col min="9" max="9" width="15.42578125" customWidth="1"/>
    <col min="10" max="10" width="15.7109375" customWidth="1"/>
    <col min="11" max="11" width="16.28515625" customWidth="1"/>
    <col min="12" max="12" width="25.5703125" customWidth="1"/>
    <col min="13" max="13" width="17.5703125" customWidth="1"/>
    <col min="14" max="14" width="10.42578125" customWidth="1"/>
  </cols>
  <sheetData>
    <row r="3" spans="2:7" ht="17.25" customHeight="1" x14ac:dyDescent="0.25">
      <c r="B3" s="48" t="s">
        <v>1</v>
      </c>
      <c r="C3" s="23">
        <v>45864</v>
      </c>
      <c r="D3" s="155" t="s">
        <v>2</v>
      </c>
      <c r="E3" s="155"/>
      <c r="F3" s="178">
        <v>0.125</v>
      </c>
      <c r="G3" s="178"/>
    </row>
    <row r="4" spans="2:7" ht="17.25" customHeight="1" x14ac:dyDescent="0.25">
      <c r="B4" s="48" t="s">
        <v>3</v>
      </c>
      <c r="C4" s="50" t="s">
        <v>274</v>
      </c>
      <c r="D4" s="35" t="s">
        <v>4</v>
      </c>
      <c r="E4" s="47" t="s">
        <v>102</v>
      </c>
      <c r="F4" s="36" t="s">
        <v>159</v>
      </c>
      <c r="G4" s="43">
        <v>61</v>
      </c>
    </row>
    <row r="5" spans="2:7" x14ac:dyDescent="0.25">
      <c r="B5" s="168" t="s">
        <v>5</v>
      </c>
      <c r="C5" s="168"/>
      <c r="D5" s="168"/>
      <c r="E5" s="168"/>
      <c r="F5" s="168"/>
      <c r="G5" s="168"/>
    </row>
    <row r="6" spans="2:7" x14ac:dyDescent="0.25">
      <c r="B6" s="35" t="s">
        <v>6</v>
      </c>
      <c r="C6" s="168" t="s">
        <v>7</v>
      </c>
      <c r="D6" s="168"/>
      <c r="E6" s="35" t="s">
        <v>8</v>
      </c>
      <c r="F6" s="168" t="s">
        <v>9</v>
      </c>
      <c r="G6" s="168"/>
    </row>
    <row r="7" spans="2:7" ht="27.75" customHeight="1" x14ac:dyDescent="0.25">
      <c r="B7" s="13" t="s">
        <v>239</v>
      </c>
      <c r="C7" s="154" t="s">
        <v>243</v>
      </c>
      <c r="D7" s="154"/>
      <c r="E7" s="28" t="s">
        <v>0</v>
      </c>
      <c r="F7" s="152" t="s">
        <v>239</v>
      </c>
      <c r="G7" s="153"/>
    </row>
    <row r="8" spans="2:7" ht="27.75" customHeight="1" x14ac:dyDescent="0.25">
      <c r="B8" s="13" t="s">
        <v>242</v>
      </c>
      <c r="C8" s="154" t="s">
        <v>219</v>
      </c>
      <c r="D8" s="154"/>
      <c r="E8" s="28" t="s">
        <v>0</v>
      </c>
      <c r="F8" s="152" t="s">
        <v>242</v>
      </c>
      <c r="G8" s="153"/>
    </row>
    <row r="9" spans="2:7" ht="32.25" customHeight="1" x14ac:dyDescent="0.25">
      <c r="B9" s="13" t="s">
        <v>238</v>
      </c>
      <c r="C9" s="154" t="s">
        <v>192</v>
      </c>
      <c r="D9" s="154"/>
      <c r="E9" s="28" t="s">
        <v>0</v>
      </c>
      <c r="F9" s="152" t="s">
        <v>238</v>
      </c>
      <c r="G9" s="153"/>
    </row>
    <row r="10" spans="2:7" ht="32.25" customHeight="1" x14ac:dyDescent="0.25">
      <c r="B10" s="13" t="s">
        <v>241</v>
      </c>
      <c r="C10" s="154" t="s">
        <v>192</v>
      </c>
      <c r="D10" s="154"/>
      <c r="E10" s="28" t="s">
        <v>0</v>
      </c>
      <c r="F10" s="152" t="s">
        <v>241</v>
      </c>
      <c r="G10" s="153"/>
    </row>
    <row r="11" spans="2:7" ht="32.25" customHeight="1" x14ac:dyDescent="0.25">
      <c r="B11" s="8" t="s">
        <v>302</v>
      </c>
      <c r="C11" s="176" t="s">
        <v>215</v>
      </c>
      <c r="D11" s="177"/>
      <c r="E11" s="60" t="s">
        <v>118</v>
      </c>
      <c r="F11" s="190" t="s">
        <v>303</v>
      </c>
      <c r="G11" s="190"/>
    </row>
    <row r="12" spans="2:7" ht="38.25" customHeight="1" x14ac:dyDescent="0.25">
      <c r="B12" s="8" t="s">
        <v>360</v>
      </c>
      <c r="C12" s="188" t="s">
        <v>361</v>
      </c>
      <c r="D12" s="189"/>
      <c r="E12" s="60">
        <v>6000</v>
      </c>
      <c r="F12" s="190" t="s">
        <v>128</v>
      </c>
      <c r="G12" s="190"/>
    </row>
    <row r="13" spans="2:7" ht="38.25" customHeight="1" x14ac:dyDescent="0.25">
      <c r="B13" s="8" t="s">
        <v>315</v>
      </c>
      <c r="C13" s="188" t="s">
        <v>358</v>
      </c>
      <c r="D13" s="189"/>
      <c r="E13" s="60">
        <v>6300</v>
      </c>
      <c r="F13" s="190" t="s">
        <v>128</v>
      </c>
      <c r="G13" s="190"/>
    </row>
    <row r="14" spans="2:7" ht="38.25" customHeight="1" x14ac:dyDescent="0.25">
      <c r="B14" s="8" t="s">
        <v>362</v>
      </c>
      <c r="C14" s="173" t="s">
        <v>363</v>
      </c>
      <c r="D14" s="174"/>
      <c r="E14" s="9">
        <v>11000</v>
      </c>
      <c r="F14" s="150" t="s">
        <v>10</v>
      </c>
      <c r="G14" s="151"/>
    </row>
    <row r="15" spans="2:7" ht="38.25" customHeight="1" x14ac:dyDescent="0.25">
      <c r="B15" s="8" t="s">
        <v>362</v>
      </c>
      <c r="C15" s="175" t="s">
        <v>364</v>
      </c>
      <c r="D15" s="175"/>
      <c r="E15" s="9">
        <v>6300</v>
      </c>
      <c r="F15" s="150" t="s">
        <v>10</v>
      </c>
      <c r="G15" s="151"/>
    </row>
    <row r="16" spans="2:7" ht="38.25" customHeight="1" x14ac:dyDescent="0.25">
      <c r="B16" s="8" t="s">
        <v>362</v>
      </c>
      <c r="C16" s="173" t="s">
        <v>205</v>
      </c>
      <c r="D16" s="174"/>
      <c r="E16" s="9">
        <v>7000</v>
      </c>
      <c r="F16" s="150" t="s">
        <v>10</v>
      </c>
      <c r="G16" s="151"/>
    </row>
    <row r="17" spans="2:7" ht="38.25" customHeight="1" x14ac:dyDescent="0.25">
      <c r="B17" s="8" t="s">
        <v>362</v>
      </c>
      <c r="C17" s="173" t="s">
        <v>324</v>
      </c>
      <c r="D17" s="174"/>
      <c r="E17" s="9">
        <v>6300</v>
      </c>
      <c r="F17" s="150" t="s">
        <v>10</v>
      </c>
      <c r="G17" s="151"/>
    </row>
    <row r="18" spans="2:7" ht="38.25" customHeight="1" x14ac:dyDescent="0.25">
      <c r="B18" s="8" t="s">
        <v>362</v>
      </c>
      <c r="C18" s="176" t="s">
        <v>365</v>
      </c>
      <c r="D18" s="177"/>
      <c r="E18" s="9">
        <v>2600</v>
      </c>
      <c r="F18" s="150" t="s">
        <v>10</v>
      </c>
      <c r="G18" s="151"/>
    </row>
    <row r="21" spans="2:7" x14ac:dyDescent="0.25">
      <c r="B21" s="48" t="s">
        <v>1</v>
      </c>
      <c r="C21" s="23">
        <v>45882</v>
      </c>
      <c r="D21" s="155" t="s">
        <v>2</v>
      </c>
      <c r="E21" s="155"/>
      <c r="F21" s="172">
        <v>0.29166666666666669</v>
      </c>
      <c r="G21" s="172"/>
    </row>
    <row r="22" spans="2:7" x14ac:dyDescent="0.25">
      <c r="B22" s="48" t="s">
        <v>3</v>
      </c>
      <c r="C22" s="23" t="s">
        <v>396</v>
      </c>
      <c r="D22" s="35" t="s">
        <v>4</v>
      </c>
      <c r="E22" s="47"/>
      <c r="F22" s="36" t="s">
        <v>159</v>
      </c>
      <c r="G22" s="43">
        <v>56</v>
      </c>
    </row>
    <row r="23" spans="2:7" x14ac:dyDescent="0.25">
      <c r="B23" s="168" t="s">
        <v>5</v>
      </c>
      <c r="C23" s="168"/>
      <c r="D23" s="168"/>
      <c r="E23" s="168"/>
      <c r="F23" s="168"/>
      <c r="G23" s="168"/>
    </row>
    <row r="24" spans="2:7" x14ac:dyDescent="0.25">
      <c r="B24" s="35" t="s">
        <v>6</v>
      </c>
      <c r="C24" s="168" t="s">
        <v>7</v>
      </c>
      <c r="D24" s="168"/>
      <c r="E24" s="35" t="s">
        <v>8</v>
      </c>
      <c r="F24" s="168" t="s">
        <v>9</v>
      </c>
      <c r="G24" s="168"/>
    </row>
    <row r="25" spans="2:7" ht="36" customHeight="1" x14ac:dyDescent="0.25">
      <c r="B25" s="10" t="s">
        <v>193</v>
      </c>
      <c r="C25" s="154" t="s">
        <v>192</v>
      </c>
      <c r="D25" s="154"/>
      <c r="E25" s="28" t="s">
        <v>0</v>
      </c>
      <c r="F25" s="152" t="s">
        <v>195</v>
      </c>
      <c r="G25" s="153"/>
    </row>
    <row r="26" spans="2:7" ht="36.75" customHeight="1" x14ac:dyDescent="0.25">
      <c r="B26" s="10" t="s">
        <v>194</v>
      </c>
      <c r="C26" s="154" t="s">
        <v>192</v>
      </c>
      <c r="D26" s="154"/>
      <c r="E26" s="28" t="s">
        <v>0</v>
      </c>
      <c r="F26" s="152" t="s">
        <v>195</v>
      </c>
      <c r="G26" s="153"/>
    </row>
    <row r="27" spans="2:7" x14ac:dyDescent="0.25">
      <c r="B27" s="10"/>
      <c r="C27" s="154"/>
      <c r="D27" s="154"/>
      <c r="E27" s="28"/>
      <c r="F27" s="152"/>
      <c r="G27" s="153"/>
    </row>
    <row r="28" spans="2:7" x14ac:dyDescent="0.25">
      <c r="B28" s="10"/>
      <c r="C28" s="164"/>
      <c r="D28" s="165"/>
      <c r="E28" s="28"/>
      <c r="F28" s="152"/>
      <c r="G28" s="153"/>
    </row>
    <row r="29" spans="2:7" x14ac:dyDescent="0.25">
      <c r="B29" s="10"/>
      <c r="C29" s="164"/>
      <c r="D29" s="165"/>
      <c r="E29" s="28"/>
      <c r="F29" s="152"/>
      <c r="G29" s="153"/>
    </row>
    <row r="32" spans="2:7" x14ac:dyDescent="0.25">
      <c r="B32" s="48" t="s">
        <v>1</v>
      </c>
      <c r="C32" s="23">
        <v>45884</v>
      </c>
      <c r="D32" s="155" t="s">
        <v>2</v>
      </c>
      <c r="E32" s="155"/>
      <c r="F32" s="172">
        <v>0.27083333333333331</v>
      </c>
      <c r="G32" s="172"/>
    </row>
    <row r="33" spans="2:7" x14ac:dyDescent="0.25">
      <c r="B33" s="48" t="s">
        <v>3</v>
      </c>
      <c r="C33" s="23" t="s">
        <v>401</v>
      </c>
      <c r="D33" s="35" t="s">
        <v>4</v>
      </c>
      <c r="E33" s="47" t="s">
        <v>420</v>
      </c>
      <c r="F33" s="36" t="s">
        <v>159</v>
      </c>
      <c r="G33" s="43">
        <v>29</v>
      </c>
    </row>
    <row r="34" spans="2:7" x14ac:dyDescent="0.25">
      <c r="B34" s="168" t="s">
        <v>5</v>
      </c>
      <c r="C34" s="168"/>
      <c r="D34" s="168"/>
      <c r="E34" s="168"/>
      <c r="F34" s="168"/>
      <c r="G34" s="168"/>
    </row>
    <row r="35" spans="2:7" x14ac:dyDescent="0.25">
      <c r="B35" s="35" t="s">
        <v>6</v>
      </c>
      <c r="C35" s="168" t="s">
        <v>7</v>
      </c>
      <c r="D35" s="168"/>
      <c r="E35" s="35" t="s">
        <v>8</v>
      </c>
      <c r="F35" s="168" t="s">
        <v>9</v>
      </c>
      <c r="G35" s="168"/>
    </row>
    <row r="36" spans="2:7" ht="25.5" x14ac:dyDescent="0.25">
      <c r="B36" s="10" t="s">
        <v>416</v>
      </c>
      <c r="C36" s="154" t="s">
        <v>279</v>
      </c>
      <c r="D36" s="154"/>
      <c r="E36" s="28" t="s">
        <v>0</v>
      </c>
      <c r="F36" s="152" t="s">
        <v>195</v>
      </c>
      <c r="G36" s="153"/>
    </row>
    <row r="37" spans="2:7" ht="25.5" x14ac:dyDescent="0.25">
      <c r="B37" s="10" t="s">
        <v>417</v>
      </c>
      <c r="C37" s="154" t="s">
        <v>192</v>
      </c>
      <c r="D37" s="154"/>
      <c r="E37" s="28" t="s">
        <v>0</v>
      </c>
      <c r="F37" s="152" t="s">
        <v>195</v>
      </c>
      <c r="G37" s="153"/>
    </row>
    <row r="38" spans="2:7" x14ac:dyDescent="0.25">
      <c r="B38" s="10" t="s">
        <v>418</v>
      </c>
      <c r="C38" s="154" t="s">
        <v>419</v>
      </c>
      <c r="D38" s="154"/>
      <c r="E38" s="28">
        <v>3500</v>
      </c>
      <c r="F38" s="152" t="s">
        <v>10</v>
      </c>
      <c r="G38" s="153"/>
    </row>
    <row r="39" spans="2:7" hidden="1" x14ac:dyDescent="0.25">
      <c r="B39" s="10"/>
      <c r="C39" s="164"/>
      <c r="D39" s="165"/>
      <c r="E39" s="28"/>
      <c r="F39" s="152"/>
      <c r="G39" s="153"/>
    </row>
    <row r="40" spans="2:7" hidden="1" x14ac:dyDescent="0.25">
      <c r="B40" s="10"/>
      <c r="C40" s="164"/>
      <c r="D40" s="165"/>
      <c r="E40" s="28"/>
      <c r="F40" s="152"/>
      <c r="G40" s="153"/>
    </row>
    <row r="48" spans="2:7" x14ac:dyDescent="0.25">
      <c r="B48" s="48" t="s">
        <v>1</v>
      </c>
      <c r="C48" s="23">
        <v>45904</v>
      </c>
      <c r="D48" s="155" t="s">
        <v>2</v>
      </c>
      <c r="E48" s="155"/>
      <c r="F48" s="178">
        <v>0.58333333333333337</v>
      </c>
      <c r="G48" s="178"/>
    </row>
    <row r="49" spans="2:7" x14ac:dyDescent="0.25">
      <c r="B49" s="48" t="s">
        <v>3</v>
      </c>
      <c r="C49" s="23" t="s">
        <v>424</v>
      </c>
      <c r="D49" s="35" t="s">
        <v>4</v>
      </c>
      <c r="E49" s="47" t="s">
        <v>38</v>
      </c>
      <c r="F49" s="36" t="s">
        <v>159</v>
      </c>
      <c r="G49" s="43">
        <v>29</v>
      </c>
    </row>
    <row r="50" spans="2:7" x14ac:dyDescent="0.25">
      <c r="B50" s="168" t="s">
        <v>5</v>
      </c>
      <c r="C50" s="168"/>
      <c r="D50" s="168"/>
      <c r="E50" s="168"/>
      <c r="F50" s="168"/>
      <c r="G50" s="168"/>
    </row>
    <row r="51" spans="2:7" x14ac:dyDescent="0.25">
      <c r="B51" s="35" t="s">
        <v>6</v>
      </c>
      <c r="C51" s="168" t="s">
        <v>7</v>
      </c>
      <c r="D51" s="168"/>
      <c r="E51" s="35" t="s">
        <v>8</v>
      </c>
      <c r="F51" s="168" t="s">
        <v>9</v>
      </c>
      <c r="G51" s="168"/>
    </row>
    <row r="52" spans="2:7" ht="39" customHeight="1" x14ac:dyDescent="0.25">
      <c r="B52" s="10" t="s">
        <v>207</v>
      </c>
      <c r="C52" s="154" t="s">
        <v>423</v>
      </c>
      <c r="D52" s="154"/>
      <c r="E52" s="28" t="s">
        <v>0</v>
      </c>
      <c r="F52" s="152" t="s">
        <v>207</v>
      </c>
      <c r="G52" s="153"/>
    </row>
    <row r="53" spans="2:7" ht="25.5" x14ac:dyDescent="0.25">
      <c r="B53" s="10" t="s">
        <v>208</v>
      </c>
      <c r="C53" s="154" t="s">
        <v>422</v>
      </c>
      <c r="D53" s="154"/>
      <c r="E53" s="28" t="s">
        <v>0</v>
      </c>
      <c r="F53" s="152" t="s">
        <v>195</v>
      </c>
      <c r="G53" s="153"/>
    </row>
    <row r="56" spans="2:7" x14ac:dyDescent="0.25">
      <c r="B56" s="187" t="s">
        <v>207</v>
      </c>
      <c r="C56" s="179" t="s">
        <v>196</v>
      </c>
      <c r="D56" s="180"/>
      <c r="E56" s="181"/>
    </row>
    <row r="57" spans="2:7" ht="30" x14ac:dyDescent="0.25">
      <c r="B57" s="187"/>
      <c r="C57" s="44" t="s">
        <v>197</v>
      </c>
      <c r="D57" s="65" t="s">
        <v>199</v>
      </c>
      <c r="E57" s="65" t="s">
        <v>200</v>
      </c>
    </row>
    <row r="58" spans="2:7" x14ac:dyDescent="0.25">
      <c r="B58" s="187"/>
      <c r="C58" s="44" t="s">
        <v>197</v>
      </c>
      <c r="D58" s="46">
        <v>2</v>
      </c>
      <c r="E58" s="46">
        <v>5</v>
      </c>
    </row>
    <row r="59" spans="2:7" x14ac:dyDescent="0.25">
      <c r="B59" s="187"/>
      <c r="C59" s="44" t="s">
        <v>197</v>
      </c>
      <c r="D59" s="46">
        <v>3</v>
      </c>
      <c r="E59" s="46">
        <v>5</v>
      </c>
    </row>
    <row r="60" spans="2:7" x14ac:dyDescent="0.25">
      <c r="B60" s="187"/>
      <c r="C60" s="44" t="s">
        <v>197</v>
      </c>
      <c r="D60" s="46">
        <v>4</v>
      </c>
      <c r="E60" s="46">
        <v>6</v>
      </c>
    </row>
    <row r="61" spans="2:7" x14ac:dyDescent="0.25">
      <c r="B61" s="187"/>
      <c r="C61" s="44" t="s">
        <v>197</v>
      </c>
      <c r="D61" s="46">
        <v>16</v>
      </c>
      <c r="E61" s="46">
        <v>6</v>
      </c>
    </row>
    <row r="62" spans="2:7" ht="30" x14ac:dyDescent="0.25">
      <c r="B62" s="187"/>
      <c r="C62" s="65" t="s">
        <v>213</v>
      </c>
      <c r="D62" s="182">
        <v>4</v>
      </c>
      <c r="E62" s="183"/>
    </row>
    <row r="63" spans="2:7" ht="25.5" x14ac:dyDescent="0.25">
      <c r="B63" s="67" t="s">
        <v>208</v>
      </c>
      <c r="C63" s="44" t="s">
        <v>209</v>
      </c>
      <c r="D63" s="182">
        <v>5</v>
      </c>
      <c r="E63" s="183"/>
    </row>
    <row r="68" spans="2:7" x14ac:dyDescent="0.25">
      <c r="B68" s="184" t="s">
        <v>196</v>
      </c>
      <c r="C68" s="184"/>
      <c r="D68" s="184"/>
      <c r="E68" s="184"/>
    </row>
    <row r="69" spans="2:7" x14ac:dyDescent="0.25">
      <c r="B69" s="16" t="s">
        <v>222</v>
      </c>
      <c r="C69" s="16" t="s">
        <v>166</v>
      </c>
      <c r="D69" s="16" t="s">
        <v>223</v>
      </c>
      <c r="E69" s="16" t="s">
        <v>224</v>
      </c>
      <c r="F69" s="16" t="s">
        <v>327</v>
      </c>
      <c r="G69" s="16" t="s">
        <v>328</v>
      </c>
    </row>
    <row r="70" spans="2:7" x14ac:dyDescent="0.25">
      <c r="B70" s="10" t="s">
        <v>225</v>
      </c>
      <c r="C70" s="16">
        <v>6</v>
      </c>
      <c r="D70" s="16"/>
      <c r="E70" s="16"/>
      <c r="F70" s="46" t="s">
        <v>329</v>
      </c>
      <c r="G70" s="29"/>
    </row>
    <row r="71" spans="2:7" x14ac:dyDescent="0.25">
      <c r="B71" s="16" t="s">
        <v>170</v>
      </c>
      <c r="C71" s="16">
        <v>8</v>
      </c>
      <c r="D71" s="16"/>
      <c r="E71" s="16"/>
      <c r="F71" s="46"/>
      <c r="G71" s="29"/>
    </row>
    <row r="72" spans="2:7" x14ac:dyDescent="0.25">
      <c r="B72" s="16" t="s">
        <v>171</v>
      </c>
      <c r="C72" s="16">
        <v>7</v>
      </c>
      <c r="D72" s="16"/>
      <c r="E72" s="16"/>
      <c r="F72" s="46"/>
      <c r="G72" s="29"/>
    </row>
    <row r="73" spans="2:7" x14ac:dyDescent="0.25">
      <c r="B73" s="16" t="s">
        <v>172</v>
      </c>
      <c r="C73" s="16">
        <v>9</v>
      </c>
      <c r="D73" s="16"/>
      <c r="E73" s="16"/>
      <c r="F73" s="46"/>
      <c r="G73" s="29"/>
    </row>
    <row r="74" spans="2:7" x14ac:dyDescent="0.25">
      <c r="B74" s="16" t="s">
        <v>173</v>
      </c>
      <c r="C74" s="16">
        <v>6</v>
      </c>
      <c r="D74" s="16"/>
      <c r="E74" s="16"/>
      <c r="F74" s="46"/>
      <c r="G74" s="29"/>
    </row>
    <row r="75" spans="2:7" x14ac:dyDescent="0.25">
      <c r="B75" s="16" t="s">
        <v>174</v>
      </c>
      <c r="C75" s="16">
        <v>13</v>
      </c>
      <c r="D75" s="16"/>
      <c r="E75" s="16"/>
      <c r="F75" s="46"/>
      <c r="G75" s="29"/>
    </row>
    <row r="76" spans="2:7" x14ac:dyDescent="0.25">
      <c r="B76" s="16" t="s">
        <v>175</v>
      </c>
      <c r="C76" s="16">
        <v>4</v>
      </c>
      <c r="D76" s="16"/>
      <c r="E76" s="16"/>
      <c r="F76" s="46"/>
      <c r="G76" s="29"/>
    </row>
    <row r="77" spans="2:7" x14ac:dyDescent="0.25">
      <c r="B77" s="16" t="s">
        <v>226</v>
      </c>
      <c r="C77" s="16">
        <v>15</v>
      </c>
      <c r="D77" s="16"/>
      <c r="E77" s="16"/>
      <c r="F77" s="46" t="s">
        <v>329</v>
      </c>
      <c r="G77" s="29"/>
    </row>
    <row r="78" spans="2:7" x14ac:dyDescent="0.25">
      <c r="B78" s="16" t="s">
        <v>227</v>
      </c>
      <c r="C78" s="16">
        <v>6</v>
      </c>
      <c r="D78" s="16"/>
      <c r="E78" s="16"/>
      <c r="F78" s="46" t="s">
        <v>329</v>
      </c>
      <c r="G78" s="29"/>
    </row>
    <row r="79" spans="2:7" x14ac:dyDescent="0.25">
      <c r="B79" s="16" t="s">
        <v>178</v>
      </c>
      <c r="C79" s="16">
        <v>4</v>
      </c>
      <c r="D79" s="16"/>
      <c r="E79" s="16"/>
      <c r="F79" s="46"/>
      <c r="G79" s="29"/>
    </row>
    <row r="80" spans="2:7" x14ac:dyDescent="0.25">
      <c r="B80" s="16" t="s">
        <v>179</v>
      </c>
      <c r="C80" s="16">
        <v>5</v>
      </c>
      <c r="D80" s="16"/>
      <c r="E80" s="16"/>
      <c r="F80" s="46" t="s">
        <v>329</v>
      </c>
      <c r="G80" s="29"/>
    </row>
    <row r="81" spans="2:7" x14ac:dyDescent="0.25">
      <c r="B81" s="16" t="s">
        <v>228</v>
      </c>
      <c r="C81" s="16">
        <v>8</v>
      </c>
      <c r="D81" s="16"/>
      <c r="E81" s="16"/>
      <c r="F81" s="46"/>
      <c r="G81" s="29"/>
    </row>
    <row r="82" spans="2:7" x14ac:dyDescent="0.25">
      <c r="B82" s="16" t="s">
        <v>181</v>
      </c>
      <c r="C82" s="16">
        <v>5</v>
      </c>
      <c r="D82" s="16"/>
      <c r="E82" s="16"/>
      <c r="F82" s="46"/>
      <c r="G82" s="29"/>
    </row>
    <row r="83" spans="2:7" x14ac:dyDescent="0.25">
      <c r="B83" s="16" t="s">
        <v>182</v>
      </c>
      <c r="C83" s="16">
        <v>4</v>
      </c>
      <c r="D83" s="16"/>
      <c r="E83" s="16"/>
      <c r="F83" s="46"/>
      <c r="G83" s="29"/>
    </row>
    <row r="84" spans="2:7" x14ac:dyDescent="0.25">
      <c r="B84" s="16" t="s">
        <v>183</v>
      </c>
      <c r="C84" s="16">
        <v>7</v>
      </c>
      <c r="D84" s="16"/>
      <c r="E84" s="16"/>
      <c r="F84" s="46"/>
      <c r="G84" s="29"/>
    </row>
    <row r="85" spans="2:7" x14ac:dyDescent="0.25">
      <c r="B85" s="16" t="s">
        <v>184</v>
      </c>
      <c r="C85" s="16">
        <v>4</v>
      </c>
      <c r="D85" s="16"/>
      <c r="E85" s="16"/>
      <c r="F85" s="46"/>
      <c r="G85" s="29"/>
    </row>
    <row r="86" spans="2:7" x14ac:dyDescent="0.25">
      <c r="B86" s="16" t="s">
        <v>185</v>
      </c>
      <c r="C86" s="16">
        <v>4</v>
      </c>
      <c r="D86" s="16"/>
      <c r="E86" s="16"/>
      <c r="F86" s="46" t="s">
        <v>329</v>
      </c>
      <c r="G86" s="29"/>
    </row>
    <row r="87" spans="2:7" x14ac:dyDescent="0.25">
      <c r="B87" s="16" t="s">
        <v>186</v>
      </c>
      <c r="C87" s="16">
        <v>4</v>
      </c>
      <c r="D87" s="16"/>
      <c r="E87" s="16"/>
      <c r="F87" s="46" t="s">
        <v>329</v>
      </c>
      <c r="G87" s="29"/>
    </row>
    <row r="88" spans="2:7" x14ac:dyDescent="0.25">
      <c r="B88" s="16" t="s">
        <v>187</v>
      </c>
      <c r="C88" s="16">
        <v>18</v>
      </c>
      <c r="D88" s="16"/>
      <c r="E88" s="16"/>
      <c r="F88" s="46"/>
      <c r="G88" s="29"/>
    </row>
    <row r="89" spans="2:7" x14ac:dyDescent="0.25">
      <c r="B89" s="16" t="s">
        <v>229</v>
      </c>
      <c r="C89" s="16">
        <v>7</v>
      </c>
      <c r="D89" s="16"/>
      <c r="E89" s="16"/>
      <c r="F89" s="46"/>
      <c r="G89" s="29"/>
    </row>
    <row r="90" spans="2:7" x14ac:dyDescent="0.25">
      <c r="B90" s="16" t="s">
        <v>189</v>
      </c>
      <c r="C90" s="16">
        <v>12</v>
      </c>
      <c r="D90" s="16"/>
      <c r="E90" s="16"/>
      <c r="F90" s="46"/>
      <c r="G90" s="29"/>
    </row>
    <row r="91" spans="2:7" x14ac:dyDescent="0.25">
      <c r="B91" s="16" t="s">
        <v>190</v>
      </c>
      <c r="C91" s="16">
        <v>7</v>
      </c>
      <c r="D91" s="16"/>
      <c r="E91" s="16"/>
      <c r="F91" s="46"/>
      <c r="G91" s="29"/>
    </row>
    <row r="92" spans="2:7" x14ac:dyDescent="0.25">
      <c r="B92" s="16" t="s">
        <v>191</v>
      </c>
      <c r="C92" s="16">
        <v>8</v>
      </c>
      <c r="D92" s="16"/>
      <c r="E92" s="16"/>
      <c r="F92" s="46"/>
      <c r="G92" s="29"/>
    </row>
    <row r="95" spans="2:7" x14ac:dyDescent="0.25">
      <c r="B95" s="185" t="s">
        <v>207</v>
      </c>
      <c r="C95" s="186" t="s">
        <v>196</v>
      </c>
      <c r="D95" s="186"/>
      <c r="E95" s="186"/>
      <c r="F95" s="186"/>
    </row>
    <row r="96" spans="2:7" ht="30" x14ac:dyDescent="0.25">
      <c r="B96" s="185"/>
      <c r="C96" s="44" t="s">
        <v>197</v>
      </c>
      <c r="D96" s="65" t="s">
        <v>199</v>
      </c>
      <c r="E96" s="65" t="s">
        <v>200</v>
      </c>
      <c r="F96" s="44" t="s">
        <v>201</v>
      </c>
    </row>
    <row r="97" spans="2:7" x14ac:dyDescent="0.25">
      <c r="B97" s="185"/>
      <c r="C97" s="44" t="s">
        <v>197</v>
      </c>
      <c r="D97" s="46">
        <v>2</v>
      </c>
      <c r="E97" s="46">
        <v>5</v>
      </c>
      <c r="F97" s="46" t="s">
        <v>203</v>
      </c>
      <c r="G97" s="46">
        <v>597</v>
      </c>
    </row>
    <row r="98" spans="2:7" x14ac:dyDescent="0.25">
      <c r="B98" s="185"/>
      <c r="C98" s="44" t="s">
        <v>197</v>
      </c>
      <c r="D98" s="46">
        <v>3</v>
      </c>
      <c r="E98" s="46">
        <v>5</v>
      </c>
      <c r="F98" s="46" t="s">
        <v>203</v>
      </c>
      <c r="G98" s="46">
        <v>591</v>
      </c>
    </row>
    <row r="99" spans="2:7" x14ac:dyDescent="0.25">
      <c r="B99" s="185"/>
      <c r="C99" s="44" t="s">
        <v>197</v>
      </c>
      <c r="D99" s="46">
        <v>4</v>
      </c>
      <c r="E99" s="46">
        <v>5</v>
      </c>
      <c r="F99" s="46" t="s">
        <v>203</v>
      </c>
      <c r="G99" s="46">
        <v>599</v>
      </c>
    </row>
    <row r="100" spans="2:7" x14ac:dyDescent="0.25">
      <c r="B100" s="185"/>
      <c r="C100" s="44" t="s">
        <v>197</v>
      </c>
      <c r="D100" s="46">
        <v>16</v>
      </c>
      <c r="E100" s="46">
        <v>6</v>
      </c>
      <c r="F100" s="46" t="s">
        <v>202</v>
      </c>
      <c r="G100" s="46" t="s">
        <v>204</v>
      </c>
    </row>
    <row r="101" spans="2:7" x14ac:dyDescent="0.25">
      <c r="B101" s="185"/>
      <c r="C101" s="44" t="s">
        <v>198</v>
      </c>
      <c r="D101" s="46"/>
      <c r="E101" s="46">
        <v>5</v>
      </c>
      <c r="F101" s="46" t="s">
        <v>203</v>
      </c>
      <c r="G101" s="46">
        <v>598</v>
      </c>
    </row>
    <row r="106" spans="2:7" ht="25.5" x14ac:dyDescent="0.25">
      <c r="B106" s="13" t="s">
        <v>251</v>
      </c>
      <c r="C106" s="154" t="s">
        <v>205</v>
      </c>
      <c r="D106" s="154"/>
      <c r="E106" s="28" t="s">
        <v>0</v>
      </c>
      <c r="F106" s="152" t="s">
        <v>0</v>
      </c>
      <c r="G106" s="153"/>
    </row>
    <row r="107" spans="2:7" ht="25.5" x14ac:dyDescent="0.25">
      <c r="B107" s="13" t="s">
        <v>238</v>
      </c>
      <c r="C107" s="154" t="s">
        <v>192</v>
      </c>
      <c r="D107" s="154"/>
      <c r="E107" s="28" t="s">
        <v>0</v>
      </c>
      <c r="F107" s="152" t="s">
        <v>0</v>
      </c>
      <c r="G107" s="153"/>
    </row>
    <row r="108" spans="2:7" ht="25.5" x14ac:dyDescent="0.25">
      <c r="B108" s="13" t="s">
        <v>239</v>
      </c>
      <c r="C108" s="154" t="s">
        <v>243</v>
      </c>
      <c r="D108" s="154"/>
      <c r="E108" s="28" t="s">
        <v>0</v>
      </c>
      <c r="F108" s="152" t="s">
        <v>0</v>
      </c>
      <c r="G108" s="153"/>
    </row>
    <row r="109" spans="2:7" ht="25.5" x14ac:dyDescent="0.25">
      <c r="B109" s="13" t="s">
        <v>240</v>
      </c>
      <c r="C109" s="154" t="s">
        <v>158</v>
      </c>
      <c r="D109" s="154"/>
      <c r="E109" s="28" t="s">
        <v>0</v>
      </c>
      <c r="F109" s="152" t="s">
        <v>0</v>
      </c>
      <c r="G109" s="153"/>
    </row>
    <row r="110" spans="2:7" ht="25.5" x14ac:dyDescent="0.25">
      <c r="B110" s="13" t="s">
        <v>241</v>
      </c>
      <c r="C110" s="154" t="s">
        <v>192</v>
      </c>
      <c r="D110" s="154"/>
      <c r="E110" s="28" t="s">
        <v>0</v>
      </c>
      <c r="F110" s="152" t="s">
        <v>0</v>
      </c>
      <c r="G110" s="153"/>
    </row>
    <row r="111" spans="2:7" ht="25.5" x14ac:dyDescent="0.25">
      <c r="B111" s="13" t="s">
        <v>242</v>
      </c>
      <c r="C111" s="154" t="s">
        <v>219</v>
      </c>
      <c r="D111" s="154"/>
      <c r="E111" s="28" t="s">
        <v>0</v>
      </c>
      <c r="F111" s="152" t="s">
        <v>0</v>
      </c>
      <c r="G111" s="153"/>
    </row>
  </sheetData>
  <mergeCells count="87">
    <mergeCell ref="C111:D111"/>
    <mergeCell ref="C107:D107"/>
    <mergeCell ref="F106:G106"/>
    <mergeCell ref="C10:D10"/>
    <mergeCell ref="F10:G10"/>
    <mergeCell ref="C12:D12"/>
    <mergeCell ref="F12:G12"/>
    <mergeCell ref="C13:D13"/>
    <mergeCell ref="F13:G13"/>
    <mergeCell ref="C11:D11"/>
    <mergeCell ref="F11:G11"/>
    <mergeCell ref="C28:D28"/>
    <mergeCell ref="C52:D52"/>
    <mergeCell ref="F48:G48"/>
    <mergeCell ref="C29:D29"/>
    <mergeCell ref="F111:G111"/>
    <mergeCell ref="F109:G109"/>
    <mergeCell ref="F53:G53"/>
    <mergeCell ref="C56:E56"/>
    <mergeCell ref="D62:E62"/>
    <mergeCell ref="B68:E68"/>
    <mergeCell ref="B95:B101"/>
    <mergeCell ref="C95:F95"/>
    <mergeCell ref="F107:G107"/>
    <mergeCell ref="C106:D106"/>
    <mergeCell ref="D63:E63"/>
    <mergeCell ref="C53:D53"/>
    <mergeCell ref="C108:D108"/>
    <mergeCell ref="F108:G108"/>
    <mergeCell ref="C109:D109"/>
    <mergeCell ref="B56:B62"/>
    <mergeCell ref="C110:D110"/>
    <mergeCell ref="F21:G21"/>
    <mergeCell ref="B23:G23"/>
    <mergeCell ref="C24:D24"/>
    <mergeCell ref="C25:D25"/>
    <mergeCell ref="C26:D26"/>
    <mergeCell ref="F51:G51"/>
    <mergeCell ref="B50:G50"/>
    <mergeCell ref="C27:D27"/>
    <mergeCell ref="F28:G28"/>
    <mergeCell ref="F52:G52"/>
    <mergeCell ref="C51:D51"/>
    <mergeCell ref="F27:G27"/>
    <mergeCell ref="D48:E48"/>
    <mergeCell ref="F29:G29"/>
    <mergeCell ref="F110:G110"/>
    <mergeCell ref="F8:G8"/>
    <mergeCell ref="F3:G3"/>
    <mergeCell ref="F7:G7"/>
    <mergeCell ref="D3:E3"/>
    <mergeCell ref="C6:D6"/>
    <mergeCell ref="C7:D7"/>
    <mergeCell ref="B5:G5"/>
    <mergeCell ref="F6:G6"/>
    <mergeCell ref="C8:D8"/>
    <mergeCell ref="C9:D9"/>
    <mergeCell ref="F25:G25"/>
    <mergeCell ref="F26:G26"/>
    <mergeCell ref="F24:G24"/>
    <mergeCell ref="D21:E21"/>
    <mergeCell ref="F9:G9"/>
    <mergeCell ref="C14:D14"/>
    <mergeCell ref="C15:D15"/>
    <mergeCell ref="C18:D18"/>
    <mergeCell ref="F18:G18"/>
    <mergeCell ref="C16:D16"/>
    <mergeCell ref="C17:D17"/>
    <mergeCell ref="F14:G14"/>
    <mergeCell ref="F15:G15"/>
    <mergeCell ref="F16:G16"/>
    <mergeCell ref="F17:G17"/>
    <mergeCell ref="D32:E32"/>
    <mergeCell ref="F32:G32"/>
    <mergeCell ref="B34:G34"/>
    <mergeCell ref="C35:D35"/>
    <mergeCell ref="F35:G35"/>
    <mergeCell ref="C39:D39"/>
    <mergeCell ref="F39:G39"/>
    <mergeCell ref="C40:D40"/>
    <mergeCell ref="F40:G40"/>
    <mergeCell ref="C36:D36"/>
    <mergeCell ref="F36:G36"/>
    <mergeCell ref="C37:D37"/>
    <mergeCell ref="F37:G37"/>
    <mergeCell ref="C38:D38"/>
    <mergeCell ref="F38:G38"/>
  </mergeCells>
  <pageMargins left="0.7" right="0.7" top="0.75" bottom="0.75" header="0.3" footer="0.3"/>
  <pageSetup orientation="portrait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04F27-F18B-4F07-9A6D-94BAAF45FAEF}">
  <dimension ref="B3:G68"/>
  <sheetViews>
    <sheetView topLeftCell="A10" workbookViewId="0">
      <selection activeCell="B64" sqref="B64:G64"/>
    </sheetView>
  </sheetViews>
  <sheetFormatPr baseColWidth="10" defaultRowHeight="15" x14ac:dyDescent="0.25"/>
  <cols>
    <col min="2" max="2" width="39.85546875" customWidth="1"/>
    <col min="3" max="3" width="21.140625" customWidth="1"/>
    <col min="4" max="4" width="11.42578125" customWidth="1"/>
    <col min="5" max="5" width="17.85546875" customWidth="1"/>
    <col min="6" max="6" width="14.85546875" customWidth="1"/>
    <col min="7" max="7" width="24.7109375" customWidth="1"/>
  </cols>
  <sheetData>
    <row r="3" spans="2:7" x14ac:dyDescent="0.25">
      <c r="B3" s="48" t="s">
        <v>1</v>
      </c>
      <c r="C3" s="23"/>
      <c r="D3" s="155" t="s">
        <v>2</v>
      </c>
      <c r="E3" s="155"/>
      <c r="F3" s="178"/>
      <c r="G3" s="178"/>
    </row>
    <row r="4" spans="2:7" x14ac:dyDescent="0.25">
      <c r="B4" s="48" t="s">
        <v>3</v>
      </c>
      <c r="C4" s="50"/>
      <c r="D4" s="48" t="s">
        <v>4</v>
      </c>
      <c r="E4" s="47"/>
      <c r="F4" s="36" t="s">
        <v>212</v>
      </c>
      <c r="G4" s="16"/>
    </row>
    <row r="5" spans="2:7" x14ac:dyDescent="0.25">
      <c r="B5" s="168" t="s">
        <v>5</v>
      </c>
      <c r="C5" s="168"/>
      <c r="D5" s="168"/>
      <c r="E5" s="168"/>
      <c r="F5" s="168"/>
      <c r="G5" s="168"/>
    </row>
    <row r="6" spans="2:7" x14ac:dyDescent="0.25">
      <c r="B6" s="35" t="s">
        <v>6</v>
      </c>
      <c r="C6" s="168" t="s">
        <v>7</v>
      </c>
      <c r="D6" s="168"/>
      <c r="E6" s="35" t="s">
        <v>8</v>
      </c>
      <c r="F6" s="168" t="s">
        <v>9</v>
      </c>
      <c r="G6" s="168"/>
    </row>
    <row r="7" spans="2:7" ht="44.25" customHeight="1" x14ac:dyDescent="0.25">
      <c r="B7" s="8" t="s">
        <v>289</v>
      </c>
      <c r="C7" s="176" t="s">
        <v>266</v>
      </c>
      <c r="D7" s="177"/>
      <c r="E7" s="60" t="s">
        <v>118</v>
      </c>
      <c r="F7" s="191" t="s">
        <v>294</v>
      </c>
      <c r="G7" s="191"/>
    </row>
    <row r="8" spans="2:7" ht="39.75" customHeight="1" x14ac:dyDescent="0.25">
      <c r="B8" s="8" t="s">
        <v>289</v>
      </c>
      <c r="C8" s="176" t="s">
        <v>266</v>
      </c>
      <c r="D8" s="177"/>
      <c r="E8" s="60" t="s">
        <v>118</v>
      </c>
      <c r="F8" s="191" t="s">
        <v>293</v>
      </c>
      <c r="G8" s="191"/>
    </row>
    <row r="9" spans="2:7" ht="44.25" customHeight="1" x14ac:dyDescent="0.25">
      <c r="B9" s="8" t="s">
        <v>289</v>
      </c>
      <c r="C9" s="176" t="s">
        <v>296</v>
      </c>
      <c r="D9" s="177"/>
      <c r="E9" s="60" t="s">
        <v>118</v>
      </c>
      <c r="F9" s="191" t="s">
        <v>295</v>
      </c>
      <c r="G9" s="191"/>
    </row>
    <row r="10" spans="2:7" ht="50.25" customHeight="1" x14ac:dyDescent="0.25">
      <c r="B10" s="8" t="s">
        <v>289</v>
      </c>
      <c r="C10" s="176" t="s">
        <v>215</v>
      </c>
      <c r="D10" s="177"/>
      <c r="E10" s="60" t="s">
        <v>118</v>
      </c>
      <c r="F10" s="190" t="s">
        <v>220</v>
      </c>
      <c r="G10" s="190"/>
    </row>
    <row r="15" spans="2:7" x14ac:dyDescent="0.25">
      <c r="B15" s="184" t="s">
        <v>231</v>
      </c>
      <c r="C15" s="184"/>
      <c r="D15" s="184"/>
      <c r="E15" s="184"/>
    </row>
    <row r="16" spans="2:7" x14ac:dyDescent="0.25">
      <c r="B16" s="16" t="s">
        <v>222</v>
      </c>
      <c r="C16" s="16" t="s">
        <v>166</v>
      </c>
      <c r="D16" s="16" t="s">
        <v>223</v>
      </c>
      <c r="E16" s="16" t="s">
        <v>224</v>
      </c>
    </row>
    <row r="17" spans="2:5" x14ac:dyDescent="0.25">
      <c r="B17" s="10" t="s">
        <v>232</v>
      </c>
      <c r="C17" s="16">
        <v>5</v>
      </c>
      <c r="D17" s="16" t="s">
        <v>230</v>
      </c>
      <c r="E17" s="16"/>
    </row>
    <row r="18" spans="2:5" x14ac:dyDescent="0.25">
      <c r="B18" s="16" t="s">
        <v>233</v>
      </c>
      <c r="C18" s="16">
        <v>15</v>
      </c>
      <c r="D18" s="16" t="s">
        <v>230</v>
      </c>
      <c r="E18" s="16"/>
    </row>
    <row r="19" spans="2:5" x14ac:dyDescent="0.25">
      <c r="B19" s="16" t="s">
        <v>236</v>
      </c>
      <c r="C19" s="16">
        <v>2</v>
      </c>
      <c r="D19" s="16" t="s">
        <v>230</v>
      </c>
      <c r="E19" s="16"/>
    </row>
    <row r="20" spans="2:5" x14ac:dyDescent="0.25">
      <c r="B20" s="16" t="s">
        <v>237</v>
      </c>
      <c r="C20" s="16">
        <v>2</v>
      </c>
      <c r="D20" s="16" t="s">
        <v>230</v>
      </c>
      <c r="E20" s="16"/>
    </row>
    <row r="21" spans="2:5" x14ac:dyDescent="0.25">
      <c r="B21" s="16" t="s">
        <v>234</v>
      </c>
      <c r="C21" s="16">
        <v>10</v>
      </c>
      <c r="D21" s="16" t="s">
        <v>230</v>
      </c>
      <c r="E21" s="16"/>
    </row>
    <row r="22" spans="2:5" x14ac:dyDescent="0.25">
      <c r="B22" s="16" t="s">
        <v>174</v>
      </c>
      <c r="C22" s="16">
        <v>10</v>
      </c>
      <c r="D22" s="16" t="s">
        <v>230</v>
      </c>
      <c r="E22" s="16"/>
    </row>
    <row r="23" spans="2:5" x14ac:dyDescent="0.25">
      <c r="B23" s="16" t="s">
        <v>187</v>
      </c>
      <c r="C23" s="16">
        <v>30</v>
      </c>
      <c r="D23" s="16"/>
      <c r="E23" s="16"/>
    </row>
    <row r="24" spans="2:5" x14ac:dyDescent="0.25">
      <c r="B24" s="16" t="s">
        <v>235</v>
      </c>
      <c r="C24" s="16">
        <v>10</v>
      </c>
      <c r="D24" s="16"/>
      <c r="E24" s="16"/>
    </row>
    <row r="25" spans="2:5" x14ac:dyDescent="0.25">
      <c r="B25" s="16"/>
      <c r="C25" s="16"/>
      <c r="D25" s="16"/>
      <c r="E25" s="16"/>
    </row>
    <row r="26" spans="2:5" x14ac:dyDescent="0.25">
      <c r="B26" s="16"/>
      <c r="C26" s="16"/>
      <c r="D26" s="16"/>
      <c r="E26" s="16"/>
    </row>
    <row r="27" spans="2:5" x14ac:dyDescent="0.25">
      <c r="B27" s="16"/>
      <c r="C27" s="16"/>
      <c r="D27" s="16"/>
      <c r="E27" s="16"/>
    </row>
    <row r="28" spans="2:5" x14ac:dyDescent="0.25">
      <c r="B28" s="16"/>
      <c r="C28" s="16"/>
      <c r="D28" s="16"/>
      <c r="E28" s="16"/>
    </row>
    <row r="29" spans="2:5" x14ac:dyDescent="0.25">
      <c r="B29" s="16"/>
      <c r="C29" s="16"/>
      <c r="D29" s="16"/>
      <c r="E29" s="16"/>
    </row>
    <row r="30" spans="2:5" x14ac:dyDescent="0.25">
      <c r="B30" s="16"/>
      <c r="C30" s="16"/>
      <c r="D30" s="16"/>
      <c r="E30" s="16"/>
    </row>
    <row r="31" spans="2:5" x14ac:dyDescent="0.25">
      <c r="B31" s="16"/>
      <c r="C31" s="16"/>
      <c r="D31" s="16"/>
      <c r="E31" s="16"/>
    </row>
    <row r="32" spans="2:5" x14ac:dyDescent="0.25">
      <c r="B32" s="16"/>
      <c r="C32" s="16"/>
      <c r="D32" s="16"/>
      <c r="E32" s="16"/>
    </row>
    <row r="33" spans="2:7" x14ac:dyDescent="0.25">
      <c r="B33" s="16"/>
      <c r="C33" s="16"/>
      <c r="D33" s="16"/>
      <c r="E33" s="16"/>
    </row>
    <row r="34" spans="2:7" x14ac:dyDescent="0.25">
      <c r="B34" s="16"/>
      <c r="C34" s="16"/>
      <c r="D34" s="16"/>
      <c r="E34" s="16"/>
    </row>
    <row r="35" spans="2:7" x14ac:dyDescent="0.25">
      <c r="B35" s="16"/>
      <c r="C35" s="16"/>
      <c r="D35" s="16"/>
      <c r="E35" s="16"/>
    </row>
    <row r="36" spans="2:7" x14ac:dyDescent="0.25">
      <c r="B36" s="16"/>
      <c r="C36" s="16"/>
      <c r="D36" s="16"/>
      <c r="E36" s="16"/>
    </row>
    <row r="37" spans="2:7" x14ac:dyDescent="0.25">
      <c r="B37" s="16"/>
      <c r="C37" s="16"/>
      <c r="D37" s="16"/>
      <c r="E37" s="16"/>
    </row>
    <row r="38" spans="2:7" x14ac:dyDescent="0.25">
      <c r="B38" s="16"/>
      <c r="C38" s="16"/>
      <c r="D38" s="16"/>
      <c r="E38" s="16"/>
    </row>
    <row r="39" spans="2:7" x14ac:dyDescent="0.25">
      <c r="B39" s="16"/>
      <c r="C39" s="16"/>
      <c r="D39" s="16"/>
      <c r="E39" s="16"/>
    </row>
    <row r="40" spans="2:7" x14ac:dyDescent="0.25">
      <c r="B40" s="16"/>
      <c r="C40" s="16"/>
      <c r="D40" s="16"/>
      <c r="E40" s="16"/>
    </row>
    <row r="41" spans="2:7" x14ac:dyDescent="0.25">
      <c r="B41" s="16"/>
      <c r="C41" s="16"/>
      <c r="D41" s="16"/>
      <c r="E41" s="16"/>
    </row>
    <row r="44" spans="2:7" x14ac:dyDescent="0.25">
      <c r="B44" s="48" t="s">
        <v>1</v>
      </c>
      <c r="C44" s="23"/>
      <c r="D44" s="155" t="s">
        <v>2</v>
      </c>
      <c r="E44" s="155"/>
      <c r="F44" s="178"/>
      <c r="G44" s="178"/>
    </row>
    <row r="45" spans="2:7" x14ac:dyDescent="0.25">
      <c r="B45" s="48" t="s">
        <v>3</v>
      </c>
      <c r="C45" s="50"/>
      <c r="D45" s="35" t="s">
        <v>4</v>
      </c>
      <c r="E45" s="47"/>
      <c r="F45" s="36" t="s">
        <v>212</v>
      </c>
      <c r="G45" s="16"/>
    </row>
    <row r="46" spans="2:7" x14ac:dyDescent="0.25">
      <c r="B46" s="168" t="s">
        <v>5</v>
      </c>
      <c r="C46" s="168"/>
      <c r="D46" s="168"/>
      <c r="E46" s="168"/>
      <c r="F46" s="168"/>
      <c r="G46" s="168"/>
    </row>
    <row r="47" spans="2:7" x14ac:dyDescent="0.25">
      <c r="B47" s="35" t="s">
        <v>6</v>
      </c>
      <c r="C47" s="168" t="s">
        <v>7</v>
      </c>
      <c r="D47" s="168"/>
      <c r="E47" s="35" t="s">
        <v>8</v>
      </c>
      <c r="F47" s="168" t="s">
        <v>9</v>
      </c>
      <c r="G47" s="168"/>
    </row>
    <row r="48" spans="2:7" ht="23.25" customHeight="1" x14ac:dyDescent="0.25">
      <c r="B48" s="8" t="s">
        <v>289</v>
      </c>
      <c r="C48" s="176" t="s">
        <v>266</v>
      </c>
      <c r="D48" s="177"/>
      <c r="E48" s="60" t="s">
        <v>118</v>
      </c>
      <c r="F48" s="191" t="s">
        <v>264</v>
      </c>
      <c r="G48" s="191"/>
    </row>
    <row r="49" spans="2:7" ht="26.25" customHeight="1" x14ac:dyDescent="0.25">
      <c r="B49" s="8" t="s">
        <v>289</v>
      </c>
      <c r="C49" s="176" t="s">
        <v>266</v>
      </c>
      <c r="D49" s="177"/>
      <c r="E49" s="60" t="s">
        <v>118</v>
      </c>
      <c r="F49" s="191" t="s">
        <v>265</v>
      </c>
      <c r="G49" s="191"/>
    </row>
    <row r="50" spans="2:7" x14ac:dyDescent="0.25">
      <c r="B50" s="8" t="s">
        <v>289</v>
      </c>
      <c r="C50" s="176" t="s">
        <v>24</v>
      </c>
      <c r="D50" s="177"/>
      <c r="E50" s="60" t="s">
        <v>118</v>
      </c>
      <c r="F50" s="190"/>
      <c r="G50" s="190"/>
    </row>
    <row r="51" spans="2:7" x14ac:dyDescent="0.25">
      <c r="B51" s="8" t="s">
        <v>289</v>
      </c>
      <c r="C51" s="176" t="s">
        <v>24</v>
      </c>
      <c r="D51" s="177"/>
      <c r="E51" s="60" t="s">
        <v>118</v>
      </c>
      <c r="F51" s="190"/>
      <c r="G51" s="190"/>
    </row>
    <row r="61" spans="2:7" ht="37.5" customHeight="1" x14ac:dyDescent="0.25">
      <c r="B61" s="8" t="s">
        <v>289</v>
      </c>
      <c r="C61" s="176" t="s">
        <v>266</v>
      </c>
      <c r="D61" s="177"/>
      <c r="E61" s="60" t="s">
        <v>118</v>
      </c>
      <c r="F61" s="191" t="s">
        <v>294</v>
      </c>
      <c r="G61" s="191"/>
    </row>
    <row r="62" spans="2:7" ht="37.5" customHeight="1" x14ac:dyDescent="0.25">
      <c r="B62" s="8" t="s">
        <v>289</v>
      </c>
      <c r="C62" s="176" t="s">
        <v>266</v>
      </c>
      <c r="D62" s="177"/>
      <c r="E62" s="60" t="s">
        <v>118</v>
      </c>
      <c r="F62" s="191" t="s">
        <v>293</v>
      </c>
      <c r="G62" s="191"/>
    </row>
    <row r="63" spans="2:7" ht="37.5" customHeight="1" x14ac:dyDescent="0.25">
      <c r="B63" s="8" t="s">
        <v>289</v>
      </c>
      <c r="C63" s="176" t="s">
        <v>296</v>
      </c>
      <c r="D63" s="177"/>
      <c r="E63" s="60" t="s">
        <v>118</v>
      </c>
      <c r="F63" s="191" t="s">
        <v>295</v>
      </c>
      <c r="G63" s="191"/>
    </row>
    <row r="64" spans="2:7" ht="45" customHeight="1" x14ac:dyDescent="0.25">
      <c r="B64" s="8" t="s">
        <v>292</v>
      </c>
      <c r="C64" s="176" t="s">
        <v>215</v>
      </c>
      <c r="D64" s="177"/>
      <c r="E64" s="60" t="s">
        <v>118</v>
      </c>
      <c r="F64" s="190" t="s">
        <v>297</v>
      </c>
      <c r="G64" s="190"/>
    </row>
    <row r="65" spans="2:7" ht="44.25" customHeight="1" x14ac:dyDescent="0.25">
      <c r="B65" s="8" t="s">
        <v>290</v>
      </c>
      <c r="C65" s="176" t="s">
        <v>215</v>
      </c>
      <c r="D65" s="177"/>
      <c r="E65" s="60" t="s">
        <v>118</v>
      </c>
      <c r="F65" s="190" t="s">
        <v>298</v>
      </c>
      <c r="G65" s="190"/>
    </row>
    <row r="66" spans="2:7" ht="44.25" customHeight="1" x14ac:dyDescent="0.25">
      <c r="B66" s="8" t="s">
        <v>291</v>
      </c>
      <c r="C66" s="176" t="s">
        <v>215</v>
      </c>
      <c r="D66" s="177"/>
      <c r="E66" s="60" t="s">
        <v>118</v>
      </c>
      <c r="F66" s="190" t="s">
        <v>299</v>
      </c>
      <c r="G66" s="190"/>
    </row>
    <row r="67" spans="2:7" ht="24.75" customHeight="1" x14ac:dyDescent="0.25">
      <c r="B67" s="8" t="s">
        <v>300</v>
      </c>
      <c r="C67" s="176" t="s">
        <v>243</v>
      </c>
      <c r="D67" s="177"/>
      <c r="E67" s="60" t="s">
        <v>118</v>
      </c>
      <c r="F67" s="190" t="s">
        <v>301</v>
      </c>
      <c r="G67" s="190"/>
    </row>
    <row r="68" spans="2:7" ht="25.5" x14ac:dyDescent="0.25">
      <c r="B68" s="8" t="s">
        <v>302</v>
      </c>
      <c r="C68" s="176" t="s">
        <v>215</v>
      </c>
      <c r="D68" s="177"/>
      <c r="E68" s="60" t="s">
        <v>118</v>
      </c>
      <c r="F68" s="190" t="s">
        <v>303</v>
      </c>
      <c r="G68" s="190"/>
    </row>
  </sheetData>
  <mergeCells count="43">
    <mergeCell ref="C67:D67"/>
    <mergeCell ref="F67:G67"/>
    <mergeCell ref="C68:D68"/>
    <mergeCell ref="F68:G68"/>
    <mergeCell ref="C64:D64"/>
    <mergeCell ref="F64:G64"/>
    <mergeCell ref="C65:D65"/>
    <mergeCell ref="F65:G65"/>
    <mergeCell ref="C66:D66"/>
    <mergeCell ref="F66:G66"/>
    <mergeCell ref="C61:D61"/>
    <mergeCell ref="F61:G61"/>
    <mergeCell ref="C62:D62"/>
    <mergeCell ref="F62:G62"/>
    <mergeCell ref="C63:D63"/>
    <mergeCell ref="F63:G63"/>
    <mergeCell ref="C50:D50"/>
    <mergeCell ref="F50:G50"/>
    <mergeCell ref="C51:D51"/>
    <mergeCell ref="F51:G51"/>
    <mergeCell ref="C48:D48"/>
    <mergeCell ref="F48:G48"/>
    <mergeCell ref="C49:D49"/>
    <mergeCell ref="F49:G49"/>
    <mergeCell ref="D44:E44"/>
    <mergeCell ref="F44:G44"/>
    <mergeCell ref="B46:G46"/>
    <mergeCell ref="C47:D47"/>
    <mergeCell ref="F47:G47"/>
    <mergeCell ref="B15:E15"/>
    <mergeCell ref="C7:D7"/>
    <mergeCell ref="F7:G7"/>
    <mergeCell ref="D3:E3"/>
    <mergeCell ref="F3:G3"/>
    <mergeCell ref="B5:G5"/>
    <mergeCell ref="C6:D6"/>
    <mergeCell ref="F6:G6"/>
    <mergeCell ref="C10:D10"/>
    <mergeCell ref="F10:G10"/>
    <mergeCell ref="C8:D8"/>
    <mergeCell ref="F8:G8"/>
    <mergeCell ref="C9:D9"/>
    <mergeCell ref="F9:G9"/>
  </mergeCells>
  <pageMargins left="0.7" right="0.7" top="0.75" bottom="0.75" header="0.3" footer="0.3"/>
  <pageSetup paperSize="9" orientation="portrait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9B9A-8E83-44B8-A4C4-54EB6A58E0F0}">
  <dimension ref="B3:G24"/>
  <sheetViews>
    <sheetView topLeftCell="A10" workbookViewId="0">
      <selection activeCell="L9" sqref="L9"/>
    </sheetView>
  </sheetViews>
  <sheetFormatPr baseColWidth="10" defaultRowHeight="15" x14ac:dyDescent="0.25"/>
  <cols>
    <col min="2" max="2" width="24.85546875" customWidth="1"/>
    <col min="3" max="3" width="19.5703125" customWidth="1"/>
    <col min="4" max="4" width="18.5703125" customWidth="1"/>
    <col min="5" max="5" width="19.85546875" customWidth="1"/>
    <col min="6" max="6" width="13.5703125" customWidth="1"/>
  </cols>
  <sheetData>
    <row r="3" spans="2:7" x14ac:dyDescent="0.25">
      <c r="B3" s="35" t="s">
        <v>1</v>
      </c>
      <c r="C3" s="23">
        <v>45797</v>
      </c>
      <c r="D3" s="155" t="s">
        <v>2</v>
      </c>
      <c r="E3" s="155"/>
      <c r="F3" s="178">
        <v>0.33333333333333331</v>
      </c>
      <c r="G3" s="178"/>
    </row>
    <row r="4" spans="2:7" ht="15" customHeight="1" x14ac:dyDescent="0.25">
      <c r="B4" s="35" t="s">
        <v>3</v>
      </c>
      <c r="C4" s="24" t="s">
        <v>284</v>
      </c>
      <c r="D4" s="35" t="s">
        <v>4</v>
      </c>
      <c r="E4" s="25" t="s">
        <v>281</v>
      </c>
      <c r="F4" s="26" t="s">
        <v>95</v>
      </c>
      <c r="G4" s="43">
        <v>44</v>
      </c>
    </row>
    <row r="5" spans="2:7" x14ac:dyDescent="0.25">
      <c r="B5" s="158" t="s">
        <v>5</v>
      </c>
      <c r="C5" s="159"/>
      <c r="D5" s="159"/>
      <c r="E5" s="159"/>
      <c r="F5" s="159"/>
      <c r="G5" s="160"/>
    </row>
    <row r="6" spans="2:7" x14ac:dyDescent="0.25">
      <c r="B6" s="35" t="s">
        <v>6</v>
      </c>
      <c r="C6" s="168" t="s">
        <v>7</v>
      </c>
      <c r="D6" s="168"/>
      <c r="E6" s="35" t="s">
        <v>8</v>
      </c>
      <c r="F6" s="168" t="s">
        <v>9</v>
      </c>
      <c r="G6" s="168"/>
    </row>
    <row r="7" spans="2:7" ht="26.25" x14ac:dyDescent="0.25">
      <c r="B7" s="27" t="s">
        <v>48</v>
      </c>
      <c r="C7" s="175" t="s">
        <v>151</v>
      </c>
      <c r="D7" s="175"/>
      <c r="E7" s="28">
        <v>8500</v>
      </c>
      <c r="F7" s="191" t="s">
        <v>49</v>
      </c>
      <c r="G7" s="191"/>
    </row>
    <row r="8" spans="2:7" ht="15" customHeight="1" x14ac:dyDescent="0.25">
      <c r="B8" s="10" t="s">
        <v>214</v>
      </c>
      <c r="C8" s="154" t="s">
        <v>282</v>
      </c>
      <c r="D8" s="154"/>
      <c r="E8" s="28">
        <v>6500</v>
      </c>
      <c r="F8" s="152" t="s">
        <v>10</v>
      </c>
      <c r="G8" s="153"/>
    </row>
    <row r="11" spans="2:7" x14ac:dyDescent="0.25">
      <c r="B11" s="31" t="s">
        <v>1</v>
      </c>
      <c r="C11" s="3"/>
      <c r="D11" s="195" t="s">
        <v>2</v>
      </c>
      <c r="E11" s="195"/>
      <c r="F11" s="194"/>
      <c r="G11" s="194"/>
    </row>
    <row r="12" spans="2:7" x14ac:dyDescent="0.25">
      <c r="B12" s="31" t="s">
        <v>3</v>
      </c>
      <c r="C12" s="20"/>
      <c r="D12" s="31" t="s">
        <v>4</v>
      </c>
      <c r="E12" s="11"/>
      <c r="F12" s="30" t="s">
        <v>96</v>
      </c>
      <c r="G12" s="29"/>
    </row>
    <row r="13" spans="2:7" x14ac:dyDescent="0.25">
      <c r="B13" s="192" t="s">
        <v>5</v>
      </c>
      <c r="C13" s="192"/>
      <c r="D13" s="192"/>
      <c r="E13" s="192"/>
      <c r="F13" s="192"/>
      <c r="G13" s="192"/>
    </row>
    <row r="14" spans="2:7" x14ac:dyDescent="0.25">
      <c r="B14" s="21" t="s">
        <v>6</v>
      </c>
      <c r="C14" s="192" t="s">
        <v>7</v>
      </c>
      <c r="D14" s="192"/>
      <c r="E14" s="31" t="s">
        <v>8</v>
      </c>
      <c r="F14" s="192" t="s">
        <v>9</v>
      </c>
      <c r="G14" s="192"/>
    </row>
    <row r="15" spans="2:7" ht="25.5" x14ac:dyDescent="0.25">
      <c r="B15" s="8" t="s">
        <v>93</v>
      </c>
      <c r="C15" s="193" t="s">
        <v>94</v>
      </c>
      <c r="D15" s="193"/>
      <c r="E15" s="9">
        <v>17000</v>
      </c>
      <c r="F15" s="193" t="s">
        <v>10</v>
      </c>
      <c r="G15" s="193"/>
    </row>
    <row r="19" spans="2:7" x14ac:dyDescent="0.25">
      <c r="B19" s="39" t="s">
        <v>11</v>
      </c>
      <c r="C19" s="19">
        <v>45525</v>
      </c>
      <c r="D19" s="30" t="s">
        <v>2</v>
      </c>
      <c r="E19" s="200">
        <v>0.72916666666666663</v>
      </c>
      <c r="F19" s="200"/>
      <c r="G19" s="200"/>
    </row>
    <row r="20" spans="2:7" x14ac:dyDescent="0.25">
      <c r="B20" s="39" t="s">
        <v>3</v>
      </c>
      <c r="C20" s="17" t="s">
        <v>111</v>
      </c>
      <c r="D20" s="39" t="s">
        <v>12</v>
      </c>
      <c r="E20" s="38" t="s">
        <v>102</v>
      </c>
      <c r="F20" s="40" t="s">
        <v>97</v>
      </c>
      <c r="G20" s="38">
        <v>27</v>
      </c>
    </row>
    <row r="21" spans="2:7" x14ac:dyDescent="0.25">
      <c r="B21" s="198" t="s">
        <v>5</v>
      </c>
      <c r="C21" s="198"/>
      <c r="D21" s="198"/>
      <c r="E21" s="198"/>
      <c r="F21" s="198"/>
      <c r="G21" s="198"/>
    </row>
    <row r="22" spans="2:7" x14ac:dyDescent="0.25">
      <c r="B22" s="37" t="s">
        <v>6</v>
      </c>
      <c r="C22" s="198" t="s">
        <v>7</v>
      </c>
      <c r="D22" s="198"/>
      <c r="E22" s="37" t="s">
        <v>25</v>
      </c>
      <c r="F22" s="192" t="s">
        <v>9</v>
      </c>
      <c r="G22" s="192"/>
    </row>
    <row r="23" spans="2:7" ht="25.5" x14ac:dyDescent="0.25">
      <c r="B23" s="10" t="s">
        <v>40</v>
      </c>
      <c r="C23" s="199" t="s">
        <v>113</v>
      </c>
      <c r="D23" s="199"/>
      <c r="E23" s="51" t="s">
        <v>115</v>
      </c>
      <c r="F23" s="196" t="s">
        <v>114</v>
      </c>
      <c r="G23" s="197"/>
    </row>
    <row r="24" spans="2:7" ht="25.5" x14ac:dyDescent="0.25">
      <c r="B24" s="10" t="s">
        <v>41</v>
      </c>
      <c r="C24" s="184" t="s">
        <v>42</v>
      </c>
      <c r="D24" s="184"/>
      <c r="E24" s="41"/>
      <c r="F24" s="196" t="s">
        <v>43</v>
      </c>
      <c r="G24" s="197"/>
    </row>
  </sheetData>
  <mergeCells count="24">
    <mergeCell ref="F22:G22"/>
    <mergeCell ref="F23:G23"/>
    <mergeCell ref="F24:G24"/>
    <mergeCell ref="F15:G15"/>
    <mergeCell ref="C22:D22"/>
    <mergeCell ref="C23:D23"/>
    <mergeCell ref="C24:D24"/>
    <mergeCell ref="E19:G19"/>
    <mergeCell ref="B21:G21"/>
    <mergeCell ref="C14:D14"/>
    <mergeCell ref="C15:D15"/>
    <mergeCell ref="F3:G3"/>
    <mergeCell ref="F6:G6"/>
    <mergeCell ref="F7:G7"/>
    <mergeCell ref="B5:G5"/>
    <mergeCell ref="F11:G11"/>
    <mergeCell ref="B13:G13"/>
    <mergeCell ref="F14:G14"/>
    <mergeCell ref="C7:D7"/>
    <mergeCell ref="C6:D6"/>
    <mergeCell ref="D3:E3"/>
    <mergeCell ref="D11:E11"/>
    <mergeCell ref="C8:D8"/>
    <mergeCell ref="F8:G8"/>
  </mergeCells>
  <pageMargins left="0.7" right="0.7" top="0.75" bottom="0.75" header="0.3" footer="0.3"/>
  <pageSetup orientation="portrait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0ED8A-8F70-407F-8BBD-2258A7CA276A}">
  <dimension ref="A1:I47"/>
  <sheetViews>
    <sheetView tabSelected="1" workbookViewId="0">
      <selection sqref="A1:F6"/>
    </sheetView>
  </sheetViews>
  <sheetFormatPr baseColWidth="10" defaultRowHeight="15" x14ac:dyDescent="0.25"/>
  <cols>
    <col min="1" max="1" width="30.42578125" customWidth="1"/>
    <col min="2" max="2" width="20.42578125" customWidth="1"/>
    <col min="3" max="3" width="11.7109375" customWidth="1"/>
    <col min="4" max="4" width="17.28515625" customWidth="1"/>
    <col min="5" max="5" width="9.42578125" customWidth="1"/>
    <col min="6" max="6" width="21.42578125" customWidth="1"/>
  </cols>
  <sheetData>
    <row r="1" spans="1:9" ht="18" customHeight="1" x14ac:dyDescent="0.25">
      <c r="A1" s="31" t="s">
        <v>1</v>
      </c>
      <c r="B1" s="3">
        <v>45924</v>
      </c>
      <c r="C1" s="195" t="s">
        <v>2</v>
      </c>
      <c r="D1" s="195"/>
      <c r="E1" s="201">
        <v>0.16666666666666666</v>
      </c>
      <c r="F1" s="201"/>
    </row>
    <row r="2" spans="1:9" ht="17.25" customHeight="1" x14ac:dyDescent="0.25">
      <c r="A2" s="31" t="s">
        <v>3</v>
      </c>
      <c r="B2" s="58" t="s">
        <v>262</v>
      </c>
      <c r="C2" s="31" t="s">
        <v>4</v>
      </c>
      <c r="D2" s="7" t="s">
        <v>102</v>
      </c>
      <c r="E2" s="31" t="s">
        <v>98</v>
      </c>
      <c r="F2" s="16">
        <v>61</v>
      </c>
    </row>
    <row r="3" spans="1:9" x14ac:dyDescent="0.25">
      <c r="A3" s="192" t="s">
        <v>5</v>
      </c>
      <c r="B3" s="192"/>
      <c r="C3" s="192"/>
      <c r="D3" s="192"/>
      <c r="E3" s="192"/>
      <c r="F3" s="192"/>
    </row>
    <row r="4" spans="1:9" x14ac:dyDescent="0.25">
      <c r="A4" s="21" t="s">
        <v>6</v>
      </c>
      <c r="B4" s="192" t="s">
        <v>7</v>
      </c>
      <c r="C4" s="192"/>
      <c r="D4" s="31" t="s">
        <v>8</v>
      </c>
      <c r="E4" s="192" t="s">
        <v>9</v>
      </c>
      <c r="F4" s="192"/>
    </row>
    <row r="5" spans="1:9" ht="38.25" x14ac:dyDescent="0.25">
      <c r="A5" s="8" t="s">
        <v>152</v>
      </c>
      <c r="B5" s="176" t="s">
        <v>447</v>
      </c>
      <c r="C5" s="177"/>
      <c r="D5" s="60">
        <v>8300</v>
      </c>
      <c r="E5" s="190" t="s">
        <v>10</v>
      </c>
      <c r="F5" s="190"/>
    </row>
    <row r="6" spans="1:9" ht="38.25" x14ac:dyDescent="0.25">
      <c r="A6" s="8" t="s">
        <v>152</v>
      </c>
      <c r="B6" s="176" t="s">
        <v>448</v>
      </c>
      <c r="C6" s="177"/>
      <c r="D6" s="60">
        <v>6300</v>
      </c>
      <c r="E6" s="190" t="s">
        <v>10</v>
      </c>
      <c r="F6" s="190"/>
    </row>
    <row r="7" spans="1:9" x14ac:dyDescent="0.25">
      <c r="A7" s="10" t="s">
        <v>286</v>
      </c>
      <c r="B7" s="176" t="s">
        <v>112</v>
      </c>
      <c r="C7" s="177"/>
      <c r="D7" s="9" t="s">
        <v>23</v>
      </c>
      <c r="E7" s="128" t="s">
        <v>10</v>
      </c>
      <c r="F7" s="129"/>
    </row>
    <row r="8" spans="1:9" x14ac:dyDescent="0.25">
      <c r="A8" s="8" t="s">
        <v>270</v>
      </c>
      <c r="B8" s="176" t="s">
        <v>397</v>
      </c>
      <c r="C8" s="177"/>
      <c r="D8" s="9" t="s">
        <v>23</v>
      </c>
      <c r="E8" s="176" t="s">
        <v>10</v>
      </c>
      <c r="F8" s="177"/>
    </row>
    <row r="9" spans="1:9" ht="28.5" customHeight="1" x14ac:dyDescent="0.25">
      <c r="A9" s="13" t="s">
        <v>354</v>
      </c>
      <c r="B9" s="154" t="s">
        <v>253</v>
      </c>
      <c r="C9" s="154"/>
      <c r="D9" s="28" t="s">
        <v>0</v>
      </c>
      <c r="E9" s="152" t="s">
        <v>251</v>
      </c>
      <c r="F9" s="153"/>
      <c r="I9" s="45"/>
    </row>
    <row r="10" spans="1:9" ht="30" customHeight="1" x14ac:dyDescent="0.25">
      <c r="A10" s="13" t="s">
        <v>398</v>
      </c>
      <c r="B10" s="154" t="s">
        <v>192</v>
      </c>
      <c r="C10" s="154"/>
      <c r="D10" s="28" t="s">
        <v>0</v>
      </c>
      <c r="E10" s="152" t="s">
        <v>278</v>
      </c>
      <c r="F10" s="153"/>
      <c r="I10" s="45"/>
    </row>
    <row r="11" spans="1:9" ht="33" customHeight="1" x14ac:dyDescent="0.25">
      <c r="A11" s="13" t="s">
        <v>399</v>
      </c>
      <c r="B11" s="154" t="s">
        <v>219</v>
      </c>
      <c r="C11" s="154"/>
      <c r="D11" s="28" t="s">
        <v>0</v>
      </c>
      <c r="E11" s="152" t="s">
        <v>278</v>
      </c>
      <c r="F11" s="153"/>
      <c r="I11" s="45"/>
    </row>
    <row r="12" spans="1:9" ht="32.25" customHeight="1" x14ac:dyDescent="0.25">
      <c r="A12" s="202" t="s">
        <v>400</v>
      </c>
      <c r="B12" s="203"/>
      <c r="C12" s="203"/>
      <c r="D12" s="203"/>
      <c r="E12" s="203"/>
      <c r="F12" s="203"/>
      <c r="I12" s="45"/>
    </row>
    <row r="13" spans="1:9" ht="15" customHeight="1" x14ac:dyDescent="0.25">
      <c r="I13" s="45"/>
    </row>
    <row r="14" spans="1:9" ht="15" customHeight="1" x14ac:dyDescent="0.25">
      <c r="I14" s="45"/>
    </row>
    <row r="15" spans="1:9" s="59" customFormat="1" ht="15" customHeight="1" x14ac:dyDescent="0.25"/>
    <row r="16" spans="1:9" ht="41.25" customHeight="1" x14ac:dyDescent="0.25">
      <c r="A16" s="8" t="s">
        <v>44</v>
      </c>
      <c r="B16" s="193" t="s">
        <v>99</v>
      </c>
      <c r="C16" s="193"/>
      <c r="D16" s="9">
        <v>11000</v>
      </c>
      <c r="E16" s="190" t="s">
        <v>32</v>
      </c>
      <c r="F16" s="190"/>
    </row>
    <row r="17" spans="1:9" ht="38.25" x14ac:dyDescent="0.25">
      <c r="A17" s="8" t="s">
        <v>44</v>
      </c>
      <c r="B17" s="193" t="s">
        <v>45</v>
      </c>
      <c r="C17" s="193"/>
      <c r="D17" s="9">
        <v>6000</v>
      </c>
      <c r="E17" s="193" t="s">
        <v>10</v>
      </c>
      <c r="F17" s="193"/>
    </row>
    <row r="18" spans="1:9" ht="38.25" x14ac:dyDescent="0.25">
      <c r="A18" s="8" t="s">
        <v>44</v>
      </c>
      <c r="B18" s="193" t="s">
        <v>46</v>
      </c>
      <c r="C18" s="193"/>
      <c r="D18" s="9">
        <v>3000</v>
      </c>
      <c r="E18" s="193" t="s">
        <v>10</v>
      </c>
      <c r="F18" s="193"/>
    </row>
    <row r="19" spans="1:9" ht="38.25" x14ac:dyDescent="0.25">
      <c r="A19" s="8" t="s">
        <v>44</v>
      </c>
      <c r="B19" s="193" t="s">
        <v>106</v>
      </c>
      <c r="C19" s="193"/>
      <c r="D19" s="9">
        <v>2500</v>
      </c>
      <c r="E19" s="193" t="s">
        <v>10</v>
      </c>
      <c r="F19" s="193"/>
    </row>
    <row r="20" spans="1:9" ht="38.25" x14ac:dyDescent="0.25">
      <c r="A20" s="8" t="s">
        <v>44</v>
      </c>
      <c r="B20" s="193" t="s">
        <v>338</v>
      </c>
      <c r="C20" s="193"/>
      <c r="D20" s="9">
        <v>11000</v>
      </c>
      <c r="E20" s="190" t="s">
        <v>32</v>
      </c>
      <c r="F20" s="190"/>
    </row>
    <row r="21" spans="1:9" x14ac:dyDescent="0.25">
      <c r="A21" s="10" t="s">
        <v>108</v>
      </c>
      <c r="B21" s="176" t="s">
        <v>110</v>
      </c>
      <c r="C21" s="177"/>
      <c r="D21" s="9">
        <v>3000</v>
      </c>
      <c r="E21" s="128" t="s">
        <v>109</v>
      </c>
      <c r="F21" s="129"/>
    </row>
    <row r="22" spans="1:9" x14ac:dyDescent="0.25">
      <c r="A22" s="10" t="s">
        <v>116</v>
      </c>
      <c r="B22" s="193" t="s">
        <v>117</v>
      </c>
      <c r="C22" s="193"/>
      <c r="D22" s="9">
        <v>2300</v>
      </c>
      <c r="E22" s="193" t="s">
        <v>101</v>
      </c>
      <c r="F22" s="193"/>
    </row>
    <row r="23" spans="1:9" x14ac:dyDescent="0.25">
      <c r="A23" s="10" t="s">
        <v>127</v>
      </c>
      <c r="B23" s="176" t="s">
        <v>156</v>
      </c>
      <c r="C23" s="177"/>
      <c r="D23" s="9">
        <v>2300</v>
      </c>
      <c r="E23" s="128" t="s">
        <v>128</v>
      </c>
      <c r="F23" s="129"/>
    </row>
    <row r="24" spans="1:9" ht="28.5" customHeight="1" x14ac:dyDescent="0.25">
      <c r="A24" s="8" t="s">
        <v>31</v>
      </c>
      <c r="B24" s="176" t="s">
        <v>112</v>
      </c>
      <c r="C24" s="177"/>
      <c r="D24" s="9" t="s">
        <v>23</v>
      </c>
      <c r="E24" s="176" t="s">
        <v>32</v>
      </c>
      <c r="F24" s="177"/>
      <c r="I24" s="45"/>
    </row>
    <row r="25" spans="1:9" x14ac:dyDescent="0.25">
      <c r="A25" s="8" t="s">
        <v>153</v>
      </c>
      <c r="B25" s="176" t="s">
        <v>258</v>
      </c>
      <c r="C25" s="177"/>
      <c r="D25" s="9" t="s">
        <v>23</v>
      </c>
      <c r="E25" s="176" t="s">
        <v>32</v>
      </c>
      <c r="F25" s="177"/>
    </row>
    <row r="26" spans="1:9" x14ac:dyDescent="0.25">
      <c r="A26" s="8" t="s">
        <v>153</v>
      </c>
      <c r="B26" s="176" t="s">
        <v>263</v>
      </c>
      <c r="C26" s="177"/>
      <c r="D26" s="9" t="s">
        <v>23</v>
      </c>
      <c r="E26" s="176" t="s">
        <v>32</v>
      </c>
      <c r="F26" s="177"/>
    </row>
    <row r="27" spans="1:9" ht="15" customHeight="1" x14ac:dyDescent="0.25">
      <c r="A27" s="8" t="s">
        <v>270</v>
      </c>
      <c r="B27" s="176" t="s">
        <v>269</v>
      </c>
      <c r="C27" s="177"/>
      <c r="D27" s="9" t="s">
        <v>23</v>
      </c>
      <c r="E27" s="176" t="s">
        <v>10</v>
      </c>
      <c r="F27" s="177"/>
      <c r="I27" s="45"/>
    </row>
    <row r="28" spans="1:9" ht="19.5" customHeight="1" x14ac:dyDescent="0.25">
      <c r="A28" s="8" t="s">
        <v>150</v>
      </c>
      <c r="B28" s="176" t="s">
        <v>112</v>
      </c>
      <c r="C28" s="177"/>
      <c r="D28" s="9" t="s">
        <v>23</v>
      </c>
      <c r="E28" s="176" t="s">
        <v>32</v>
      </c>
      <c r="F28" s="177"/>
      <c r="I28" s="45"/>
    </row>
    <row r="29" spans="1:9" ht="38.25" x14ac:dyDescent="0.25">
      <c r="A29" s="8" t="s">
        <v>273</v>
      </c>
      <c r="B29" s="176" t="s">
        <v>269</v>
      </c>
      <c r="C29" s="177"/>
      <c r="D29" s="60">
        <v>3000</v>
      </c>
      <c r="E29" s="190" t="s">
        <v>10</v>
      </c>
      <c r="F29" s="190"/>
    </row>
    <row r="30" spans="1:9" ht="38.25" x14ac:dyDescent="0.25">
      <c r="A30" s="8" t="s">
        <v>273</v>
      </c>
      <c r="B30" s="176" t="s">
        <v>272</v>
      </c>
      <c r="C30" s="177"/>
      <c r="D30" s="60" t="s">
        <v>0</v>
      </c>
      <c r="E30" s="190" t="s">
        <v>0</v>
      </c>
      <c r="F30" s="190"/>
    </row>
    <row r="31" spans="1:9" x14ac:dyDescent="0.25">
      <c r="A31" s="8" t="s">
        <v>150</v>
      </c>
      <c r="B31" s="176" t="s">
        <v>216</v>
      </c>
      <c r="C31" s="177"/>
      <c r="D31" s="9" t="s">
        <v>23</v>
      </c>
      <c r="E31" s="176" t="s">
        <v>32</v>
      </c>
      <c r="F31" s="177"/>
    </row>
    <row r="32" spans="1:9" x14ac:dyDescent="0.25">
      <c r="A32" s="8" t="s">
        <v>270</v>
      </c>
      <c r="B32" s="176" t="s">
        <v>269</v>
      </c>
      <c r="C32" s="177"/>
      <c r="D32" s="9" t="s">
        <v>23</v>
      </c>
      <c r="E32" s="176" t="s">
        <v>32</v>
      </c>
      <c r="F32" s="177"/>
    </row>
    <row r="33" spans="1:9" ht="48.75" customHeight="1" x14ac:dyDescent="0.25">
      <c r="A33" s="8" t="s">
        <v>291</v>
      </c>
      <c r="B33" s="176" t="s">
        <v>215</v>
      </c>
      <c r="C33" s="177"/>
      <c r="D33" s="60" t="s">
        <v>118</v>
      </c>
      <c r="E33" s="150" t="s">
        <v>299</v>
      </c>
      <c r="F33" s="151"/>
      <c r="I33" s="45"/>
    </row>
    <row r="36" spans="1:9" x14ac:dyDescent="0.25">
      <c r="A36" s="31" t="s">
        <v>1</v>
      </c>
      <c r="B36" s="3">
        <v>45867</v>
      </c>
      <c r="C36" s="195" t="s">
        <v>2</v>
      </c>
      <c r="D36" s="195"/>
      <c r="E36" s="201">
        <v>0.16666666666666666</v>
      </c>
      <c r="F36" s="201"/>
    </row>
    <row r="37" spans="1:9" x14ac:dyDescent="0.25">
      <c r="A37" s="31" t="s">
        <v>3</v>
      </c>
      <c r="B37" s="58" t="s">
        <v>262</v>
      </c>
      <c r="C37" s="31" t="s">
        <v>4</v>
      </c>
      <c r="D37" s="7" t="s">
        <v>102</v>
      </c>
      <c r="E37" s="31" t="s">
        <v>98</v>
      </c>
      <c r="F37" s="16">
        <v>61</v>
      </c>
    </row>
    <row r="38" spans="1:9" x14ac:dyDescent="0.25">
      <c r="A38" s="192" t="s">
        <v>5</v>
      </c>
      <c r="B38" s="192"/>
      <c r="C38" s="192"/>
      <c r="D38" s="192"/>
      <c r="E38" s="192"/>
      <c r="F38" s="192"/>
    </row>
    <row r="39" spans="1:9" x14ac:dyDescent="0.25">
      <c r="A39" s="21" t="s">
        <v>6</v>
      </c>
      <c r="B39" s="192" t="s">
        <v>7</v>
      </c>
      <c r="C39" s="192"/>
      <c r="D39" s="31" t="s">
        <v>8</v>
      </c>
      <c r="E39" s="192" t="s">
        <v>9</v>
      </c>
      <c r="F39" s="192"/>
    </row>
    <row r="40" spans="1:9" x14ac:dyDescent="0.25">
      <c r="A40" s="8" t="s">
        <v>31</v>
      </c>
      <c r="B40" s="176" t="s">
        <v>112</v>
      </c>
      <c r="C40" s="177"/>
      <c r="D40" s="9" t="s">
        <v>23</v>
      </c>
      <c r="E40" s="176" t="s">
        <v>32</v>
      </c>
      <c r="F40" s="177"/>
    </row>
    <row r="41" spans="1:9" x14ac:dyDescent="0.25">
      <c r="A41" s="8" t="s">
        <v>153</v>
      </c>
      <c r="B41" s="176" t="s">
        <v>377</v>
      </c>
      <c r="C41" s="177"/>
      <c r="D41" s="9" t="s">
        <v>23</v>
      </c>
      <c r="E41" s="176" t="s">
        <v>32</v>
      </c>
      <c r="F41" s="177"/>
    </row>
    <row r="42" spans="1:9" x14ac:dyDescent="0.25">
      <c r="A42" s="10" t="s">
        <v>127</v>
      </c>
      <c r="B42" s="176" t="s">
        <v>376</v>
      </c>
      <c r="C42" s="177"/>
      <c r="D42" s="9">
        <v>3400</v>
      </c>
      <c r="E42" s="128" t="s">
        <v>128</v>
      </c>
      <c r="F42" s="129"/>
    </row>
    <row r="43" spans="1:9" ht="25.5" x14ac:dyDescent="0.25">
      <c r="A43" s="13" t="s">
        <v>251</v>
      </c>
      <c r="B43" s="154" t="s">
        <v>205</v>
      </c>
      <c r="C43" s="154"/>
      <c r="D43" s="28" t="s">
        <v>0</v>
      </c>
      <c r="E43" s="152" t="s">
        <v>251</v>
      </c>
      <c r="F43" s="153"/>
    </row>
    <row r="44" spans="1:9" ht="25.5" x14ac:dyDescent="0.25">
      <c r="A44" s="13" t="s">
        <v>278</v>
      </c>
      <c r="B44" s="154" t="s">
        <v>279</v>
      </c>
      <c r="C44" s="154"/>
      <c r="D44" s="28" t="s">
        <v>0</v>
      </c>
      <c r="E44" s="152" t="s">
        <v>278</v>
      </c>
      <c r="F44" s="153"/>
    </row>
    <row r="45" spans="1:9" ht="25.5" x14ac:dyDescent="0.25">
      <c r="A45" s="13" t="s">
        <v>378</v>
      </c>
      <c r="B45" s="154" t="s">
        <v>253</v>
      </c>
      <c r="C45" s="154"/>
      <c r="D45" s="28" t="s">
        <v>0</v>
      </c>
      <c r="E45" s="152" t="s">
        <v>378</v>
      </c>
      <c r="F45" s="153"/>
    </row>
    <row r="46" spans="1:9" ht="25.5" x14ac:dyDescent="0.25">
      <c r="A46" s="13" t="s">
        <v>252</v>
      </c>
      <c r="B46" s="154" t="s">
        <v>158</v>
      </c>
      <c r="C46" s="154"/>
      <c r="D46" s="28" t="s">
        <v>0</v>
      </c>
      <c r="E46" s="152" t="s">
        <v>252</v>
      </c>
      <c r="F46" s="153"/>
    </row>
    <row r="47" spans="1:9" ht="30" customHeight="1" x14ac:dyDescent="0.25">
      <c r="A47" s="13" t="s">
        <v>280</v>
      </c>
      <c r="B47" s="154" t="s">
        <v>266</v>
      </c>
      <c r="C47" s="154"/>
      <c r="D47" s="28" t="s">
        <v>0</v>
      </c>
      <c r="E47" s="152" t="s">
        <v>280</v>
      </c>
      <c r="F47" s="153"/>
    </row>
  </sheetData>
  <mergeCells count="77">
    <mergeCell ref="B21:C21"/>
    <mergeCell ref="E21:F21"/>
    <mergeCell ref="E23:F23"/>
    <mergeCell ref="B24:C24"/>
    <mergeCell ref="E24:F24"/>
    <mergeCell ref="E22:F22"/>
    <mergeCell ref="B23:C23"/>
    <mergeCell ref="B22:C22"/>
    <mergeCell ref="B33:C33"/>
    <mergeCell ref="E33:F33"/>
    <mergeCell ref="B20:C20"/>
    <mergeCell ref="E20:F20"/>
    <mergeCell ref="B8:C8"/>
    <mergeCell ref="E8:F8"/>
    <mergeCell ref="B9:C9"/>
    <mergeCell ref="E9:F9"/>
    <mergeCell ref="B10:C10"/>
    <mergeCell ref="B28:C28"/>
    <mergeCell ref="E28:F28"/>
    <mergeCell ref="E18:F18"/>
    <mergeCell ref="B16:C16"/>
    <mergeCell ref="E17:F17"/>
    <mergeCell ref="B18:C18"/>
    <mergeCell ref="B17:C17"/>
    <mergeCell ref="E19:F19"/>
    <mergeCell ref="E4:F4"/>
    <mergeCell ref="B6:C6"/>
    <mergeCell ref="E6:F6"/>
    <mergeCell ref="B19:C19"/>
    <mergeCell ref="B7:C7"/>
    <mergeCell ref="E7:F7"/>
    <mergeCell ref="E16:F16"/>
    <mergeCell ref="E10:F10"/>
    <mergeCell ref="B11:C11"/>
    <mergeCell ref="E11:F11"/>
    <mergeCell ref="A12:F12"/>
    <mergeCell ref="C1:D1"/>
    <mergeCell ref="B4:C4"/>
    <mergeCell ref="E1:F1"/>
    <mergeCell ref="A3:F3"/>
    <mergeCell ref="B5:C5"/>
    <mergeCell ref="E5:F5"/>
    <mergeCell ref="B32:C32"/>
    <mergeCell ref="E32:F32"/>
    <mergeCell ref="B29:C29"/>
    <mergeCell ref="E29:F29"/>
    <mergeCell ref="B30:C30"/>
    <mergeCell ref="E30:F30"/>
    <mergeCell ref="B31:C31"/>
    <mergeCell ref="E31:F31"/>
    <mergeCell ref="B46:C46"/>
    <mergeCell ref="E46:F46"/>
    <mergeCell ref="B47:C47"/>
    <mergeCell ref="E47:F47"/>
    <mergeCell ref="B40:C40"/>
    <mergeCell ref="E40:F40"/>
    <mergeCell ref="B43:C43"/>
    <mergeCell ref="E43:F43"/>
    <mergeCell ref="B44:C44"/>
    <mergeCell ref="E44:F44"/>
    <mergeCell ref="B41:C41"/>
    <mergeCell ref="E41:F41"/>
    <mergeCell ref="B42:C42"/>
    <mergeCell ref="E42:F42"/>
    <mergeCell ref="B45:C45"/>
    <mergeCell ref="E45:F45"/>
    <mergeCell ref="C36:D36"/>
    <mergeCell ref="E36:F36"/>
    <mergeCell ref="A38:F38"/>
    <mergeCell ref="B39:C39"/>
    <mergeCell ref="E39:F39"/>
    <mergeCell ref="B25:C25"/>
    <mergeCell ref="E25:F25"/>
    <mergeCell ref="B26:C26"/>
    <mergeCell ref="E26:F26"/>
    <mergeCell ref="B27:C27"/>
    <mergeCell ref="E27:F27"/>
  </mergeCells>
  <pageMargins left="0.7" right="0.7" top="0.75" bottom="0.75" header="0.3" footer="0.3"/>
  <pageSetup paperSize="9" orientation="portrait" verticalDpi="7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743D-F5DE-4B74-8830-370BC2F59812}">
  <dimension ref="A1:F24"/>
  <sheetViews>
    <sheetView topLeftCell="A19" workbookViewId="0">
      <selection activeCell="E15" sqref="E15"/>
    </sheetView>
  </sheetViews>
  <sheetFormatPr baseColWidth="10" defaultRowHeight="15" x14ac:dyDescent="0.25"/>
  <cols>
    <col min="1" max="1" width="20.7109375" customWidth="1"/>
    <col min="2" max="2" width="25.140625" customWidth="1"/>
    <col min="4" max="4" width="16.42578125" customWidth="1"/>
    <col min="5" max="5" width="14.85546875" customWidth="1"/>
    <col min="6" max="6" width="30.42578125" customWidth="1"/>
  </cols>
  <sheetData>
    <row r="1" spans="1:6" x14ac:dyDescent="0.25">
      <c r="A1" s="31" t="s">
        <v>1</v>
      </c>
      <c r="B1" s="3">
        <v>45842</v>
      </c>
      <c r="C1" s="206" t="s">
        <v>30</v>
      </c>
      <c r="D1" s="207"/>
      <c r="E1" s="194">
        <v>0.16666666666666666</v>
      </c>
      <c r="F1" s="193"/>
    </row>
    <row r="2" spans="1:6" x14ac:dyDescent="0.25">
      <c r="A2" s="31" t="s">
        <v>3</v>
      </c>
      <c r="B2" s="7" t="s">
        <v>262</v>
      </c>
      <c r="C2" s="30" t="s">
        <v>12</v>
      </c>
      <c r="D2" s="7" t="s">
        <v>102</v>
      </c>
      <c r="E2" s="31" t="s">
        <v>27</v>
      </c>
      <c r="F2" s="7">
        <v>61</v>
      </c>
    </row>
    <row r="3" spans="1:6" x14ac:dyDescent="0.25">
      <c r="A3" s="192" t="s">
        <v>13</v>
      </c>
      <c r="B3" s="192"/>
      <c r="C3" s="192"/>
      <c r="D3" s="192"/>
      <c r="E3" s="192"/>
      <c r="F3" s="192"/>
    </row>
    <row r="4" spans="1:6" x14ac:dyDescent="0.25">
      <c r="A4" s="192" t="s">
        <v>6</v>
      </c>
      <c r="B4" s="192"/>
      <c r="C4" s="192" t="s">
        <v>7</v>
      </c>
      <c r="D4" s="192"/>
      <c r="E4" s="21" t="s">
        <v>14</v>
      </c>
      <c r="F4" s="21" t="s">
        <v>9</v>
      </c>
    </row>
    <row r="5" spans="1:6" x14ac:dyDescent="0.25">
      <c r="A5" s="204" t="s">
        <v>20</v>
      </c>
      <c r="B5" s="205"/>
      <c r="C5" s="173" t="s">
        <v>322</v>
      </c>
      <c r="D5" s="174"/>
      <c r="E5" s="2">
        <v>11000</v>
      </c>
      <c r="F5" s="7" t="s">
        <v>10</v>
      </c>
    </row>
    <row r="6" spans="1:6" x14ac:dyDescent="0.25">
      <c r="A6" s="204" t="s">
        <v>20</v>
      </c>
      <c r="B6" s="205"/>
      <c r="C6" s="175" t="s">
        <v>323</v>
      </c>
      <c r="D6" s="175"/>
      <c r="E6" s="2">
        <v>6300</v>
      </c>
      <c r="F6" s="7" t="s">
        <v>10</v>
      </c>
    </row>
    <row r="7" spans="1:6" x14ac:dyDescent="0.25">
      <c r="A7" s="204" t="s">
        <v>20</v>
      </c>
      <c r="B7" s="205"/>
      <c r="C7" s="173" t="s">
        <v>296</v>
      </c>
      <c r="D7" s="174"/>
      <c r="E7" s="2">
        <v>7000</v>
      </c>
      <c r="F7" s="7" t="s">
        <v>10</v>
      </c>
    </row>
    <row r="8" spans="1:6" ht="15.75" customHeight="1" x14ac:dyDescent="0.25">
      <c r="A8" s="204" t="s">
        <v>20</v>
      </c>
      <c r="B8" s="205"/>
      <c r="C8" s="173" t="s">
        <v>324</v>
      </c>
      <c r="D8" s="174"/>
      <c r="E8" s="9">
        <v>6300</v>
      </c>
      <c r="F8" s="7" t="s">
        <v>10</v>
      </c>
    </row>
    <row r="9" spans="1:6" ht="25.5" customHeight="1" x14ac:dyDescent="0.25">
      <c r="A9" s="176" t="s">
        <v>157</v>
      </c>
      <c r="B9" s="177"/>
      <c r="C9" s="193" t="s">
        <v>325</v>
      </c>
      <c r="D9" s="193"/>
      <c r="E9" s="18">
        <v>6000</v>
      </c>
      <c r="F9" s="82" t="s">
        <v>218</v>
      </c>
    </row>
    <row r="10" spans="1:6" ht="26.25" customHeight="1" x14ac:dyDescent="0.25">
      <c r="A10" s="118" t="s">
        <v>242</v>
      </c>
      <c r="B10" s="120"/>
      <c r="C10" s="152" t="s">
        <v>219</v>
      </c>
      <c r="D10" s="153"/>
      <c r="E10" s="84" t="s">
        <v>0</v>
      </c>
      <c r="F10" s="28" t="s">
        <v>242</v>
      </c>
    </row>
    <row r="11" spans="1:6" ht="30" customHeight="1" x14ac:dyDescent="0.25">
      <c r="A11" s="118" t="s">
        <v>240</v>
      </c>
      <c r="B11" s="120"/>
      <c r="C11" s="152" t="s">
        <v>158</v>
      </c>
      <c r="D11" s="153"/>
      <c r="E11" s="84" t="s">
        <v>0</v>
      </c>
      <c r="F11" s="28" t="s">
        <v>240</v>
      </c>
    </row>
    <row r="12" spans="1:6" ht="30" customHeight="1" x14ac:dyDescent="0.25">
      <c r="A12" s="176" t="s">
        <v>29</v>
      </c>
      <c r="B12" s="177"/>
      <c r="C12" s="176" t="s">
        <v>269</v>
      </c>
      <c r="D12" s="177"/>
      <c r="E12" s="9" t="s">
        <v>23</v>
      </c>
      <c r="F12" s="9" t="s">
        <v>10</v>
      </c>
    </row>
    <row r="13" spans="1:6" ht="30" customHeight="1" x14ac:dyDescent="0.25"/>
    <row r="14" spans="1:6" ht="18.75" customHeight="1" x14ac:dyDescent="0.25"/>
    <row r="15" spans="1:6" x14ac:dyDescent="0.25">
      <c r="A15" s="204" t="s">
        <v>20</v>
      </c>
      <c r="B15" s="205"/>
      <c r="C15" s="176" t="s">
        <v>312</v>
      </c>
      <c r="D15" s="177"/>
      <c r="E15" s="2">
        <v>2600</v>
      </c>
      <c r="F15" s="7" t="s">
        <v>10</v>
      </c>
    </row>
    <row r="16" spans="1:6" x14ac:dyDescent="0.25">
      <c r="A16" s="204" t="s">
        <v>20</v>
      </c>
      <c r="B16" s="205"/>
      <c r="C16" s="176" t="s">
        <v>155</v>
      </c>
      <c r="D16" s="177"/>
      <c r="E16" s="2">
        <v>2600</v>
      </c>
      <c r="F16" s="7" t="s">
        <v>10</v>
      </c>
    </row>
    <row r="17" spans="1:6" x14ac:dyDescent="0.25">
      <c r="A17" s="204" t="s">
        <v>20</v>
      </c>
      <c r="B17" s="205"/>
      <c r="C17" s="173" t="s">
        <v>154</v>
      </c>
      <c r="D17" s="174"/>
      <c r="E17" s="2">
        <v>6300</v>
      </c>
      <c r="F17" s="7" t="s">
        <v>10</v>
      </c>
    </row>
    <row r="18" spans="1:6" x14ac:dyDescent="0.25">
      <c r="A18" s="176" t="s">
        <v>29</v>
      </c>
      <c r="B18" s="177"/>
      <c r="C18" s="176" t="s">
        <v>125</v>
      </c>
      <c r="D18" s="177"/>
      <c r="E18" s="9" t="s">
        <v>23</v>
      </c>
      <c r="F18" s="9" t="s">
        <v>10</v>
      </c>
    </row>
    <row r="19" spans="1:6" x14ac:dyDescent="0.25">
      <c r="A19" s="176" t="s">
        <v>124</v>
      </c>
      <c r="B19" s="177"/>
      <c r="C19" s="176" t="s">
        <v>126</v>
      </c>
      <c r="D19" s="177"/>
      <c r="E19" s="9">
        <v>2300</v>
      </c>
      <c r="F19" s="16" t="s">
        <v>109</v>
      </c>
    </row>
    <row r="20" spans="1:6" x14ac:dyDescent="0.25">
      <c r="A20" s="176" t="s">
        <v>19</v>
      </c>
      <c r="B20" s="177"/>
      <c r="C20" s="175" t="s">
        <v>149</v>
      </c>
      <c r="D20" s="175"/>
      <c r="E20" s="18">
        <v>2300</v>
      </c>
      <c r="F20" s="82" t="s">
        <v>43</v>
      </c>
    </row>
    <row r="21" spans="1:6" x14ac:dyDescent="0.25">
      <c r="A21" s="176" t="s">
        <v>157</v>
      </c>
      <c r="B21" s="177"/>
      <c r="C21" s="193" t="s">
        <v>107</v>
      </c>
      <c r="D21" s="193"/>
      <c r="E21" s="208" t="s">
        <v>206</v>
      </c>
      <c r="F21" s="209"/>
    </row>
    <row r="22" spans="1:6" ht="25.5" customHeight="1" x14ac:dyDescent="0.25">
      <c r="A22" s="188" t="s">
        <v>217</v>
      </c>
      <c r="B22" s="189"/>
      <c r="C22" s="193" t="s">
        <v>275</v>
      </c>
      <c r="D22" s="193"/>
      <c r="E22" s="18">
        <v>6000</v>
      </c>
      <c r="F22" s="82" t="s">
        <v>218</v>
      </c>
    </row>
    <row r="23" spans="1:6" ht="30" customHeight="1" x14ac:dyDescent="0.25">
      <c r="A23" s="118" t="s">
        <v>315</v>
      </c>
      <c r="B23" s="120"/>
      <c r="C23" s="152" t="s">
        <v>318</v>
      </c>
      <c r="D23" s="153"/>
      <c r="E23" s="84">
        <v>6300</v>
      </c>
      <c r="F23" s="28" t="s">
        <v>316</v>
      </c>
    </row>
    <row r="24" spans="1:6" ht="30" customHeight="1" x14ac:dyDescent="0.25">
      <c r="A24" s="118" t="s">
        <v>315</v>
      </c>
      <c r="B24" s="120"/>
      <c r="C24" s="152" t="s">
        <v>317</v>
      </c>
      <c r="D24" s="153"/>
      <c r="E24" s="84">
        <v>6300</v>
      </c>
      <c r="F24" s="28" t="s">
        <v>316</v>
      </c>
    </row>
  </sheetData>
  <mergeCells count="42">
    <mergeCell ref="A16:B16"/>
    <mergeCell ref="A6:B6"/>
    <mergeCell ref="C6:D6"/>
    <mergeCell ref="A7:B7"/>
    <mergeCell ref="C7:D7"/>
    <mergeCell ref="A15:B15"/>
    <mergeCell ref="C15:D15"/>
    <mergeCell ref="A8:B8"/>
    <mergeCell ref="C8:D8"/>
    <mergeCell ref="A11:B11"/>
    <mergeCell ref="C11:D11"/>
    <mergeCell ref="A9:B9"/>
    <mergeCell ref="C9:D9"/>
    <mergeCell ref="E21:F21"/>
    <mergeCell ref="A19:B19"/>
    <mergeCell ref="C19:D19"/>
    <mergeCell ref="A21:B21"/>
    <mergeCell ref="C21:D21"/>
    <mergeCell ref="C20:D20"/>
    <mergeCell ref="E1:F1"/>
    <mergeCell ref="A4:B4"/>
    <mergeCell ref="C4:D4"/>
    <mergeCell ref="A3:F3"/>
    <mergeCell ref="A5:B5"/>
    <mergeCell ref="C5:D5"/>
    <mergeCell ref="C1:D1"/>
    <mergeCell ref="A23:B23"/>
    <mergeCell ref="C23:D23"/>
    <mergeCell ref="A24:B24"/>
    <mergeCell ref="C24:D24"/>
    <mergeCell ref="A10:B10"/>
    <mergeCell ref="C10:D10"/>
    <mergeCell ref="A12:B12"/>
    <mergeCell ref="C12:D12"/>
    <mergeCell ref="A22:B22"/>
    <mergeCell ref="C22:D22"/>
    <mergeCell ref="C18:D18"/>
    <mergeCell ref="A20:B20"/>
    <mergeCell ref="C16:D16"/>
    <mergeCell ref="A18:B18"/>
    <mergeCell ref="C17:D17"/>
    <mergeCell ref="A17:B17"/>
  </mergeCells>
  <pageMargins left="0.7" right="0.7" top="0.75" bottom="0.75" header="0.3" footer="0.3"/>
  <pageSetup paperSize="9" orientation="portrait" verticalDpi="7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5BDB-C885-44CB-88F2-AF16B5F15087}">
  <dimension ref="A2:F57"/>
  <sheetViews>
    <sheetView topLeftCell="A40" workbookViewId="0">
      <selection activeCell="I48" sqref="I48"/>
    </sheetView>
  </sheetViews>
  <sheetFormatPr baseColWidth="10" defaultRowHeight="15" x14ac:dyDescent="0.25"/>
  <cols>
    <col min="1" max="1" width="25.7109375" customWidth="1"/>
    <col min="2" max="2" width="19.42578125" customWidth="1"/>
    <col min="3" max="3" width="11.140625" customWidth="1"/>
    <col min="4" max="4" width="17.5703125" customWidth="1"/>
    <col min="5" max="5" width="10.5703125" customWidth="1"/>
    <col min="6" max="6" width="15" customWidth="1"/>
    <col min="8" max="8" width="15.85546875" customWidth="1"/>
  </cols>
  <sheetData>
    <row r="2" spans="1:6" x14ac:dyDescent="0.25">
      <c r="A2" s="31" t="s">
        <v>1</v>
      </c>
      <c r="B2" s="14">
        <v>45848</v>
      </c>
      <c r="C2" s="215" t="s">
        <v>2</v>
      </c>
      <c r="D2" s="215"/>
      <c r="E2" s="201">
        <v>0.29166666666666669</v>
      </c>
      <c r="F2" s="201"/>
    </row>
    <row r="3" spans="1:6" x14ac:dyDescent="0.25">
      <c r="A3" s="31" t="s">
        <v>3</v>
      </c>
      <c r="B3" s="12" t="s">
        <v>277</v>
      </c>
      <c r="C3" s="31" t="s">
        <v>12</v>
      </c>
      <c r="D3" s="7" t="s">
        <v>38</v>
      </c>
      <c r="E3" s="31" t="s">
        <v>211</v>
      </c>
      <c r="F3" s="16">
        <v>29</v>
      </c>
    </row>
    <row r="4" spans="1:6" x14ac:dyDescent="0.25">
      <c r="A4" s="192" t="s">
        <v>5</v>
      </c>
      <c r="B4" s="192"/>
      <c r="C4" s="192"/>
      <c r="D4" s="192"/>
      <c r="E4" s="192"/>
      <c r="F4" s="192"/>
    </row>
    <row r="5" spans="1:6" x14ac:dyDescent="0.25">
      <c r="A5" s="21" t="s">
        <v>6</v>
      </c>
      <c r="B5" s="192" t="s">
        <v>7</v>
      </c>
      <c r="C5" s="192"/>
      <c r="D5" s="21" t="s">
        <v>14</v>
      </c>
      <c r="E5" s="192" t="s">
        <v>9</v>
      </c>
      <c r="F5" s="192"/>
    </row>
    <row r="6" spans="1:6" x14ac:dyDescent="0.25">
      <c r="A6" s="10" t="s">
        <v>276</v>
      </c>
      <c r="B6" s="193" t="s">
        <v>347</v>
      </c>
      <c r="C6" s="193"/>
      <c r="D6" s="18" t="s">
        <v>0</v>
      </c>
      <c r="E6" s="184" t="s">
        <v>0</v>
      </c>
      <c r="F6" s="184"/>
    </row>
    <row r="7" spans="1:6" x14ac:dyDescent="0.25">
      <c r="A7" s="10" t="s">
        <v>214</v>
      </c>
      <c r="B7" s="154" t="s">
        <v>321</v>
      </c>
      <c r="C7" s="154"/>
      <c r="D7" s="28">
        <v>6500</v>
      </c>
      <c r="E7" s="152" t="s">
        <v>10</v>
      </c>
      <c r="F7" s="153"/>
    </row>
    <row r="8" spans="1:6" x14ac:dyDescent="0.25">
      <c r="A8" s="10"/>
      <c r="B8" s="24"/>
      <c r="C8" s="24"/>
      <c r="D8" s="28"/>
      <c r="E8" s="96"/>
      <c r="F8" s="97"/>
    </row>
    <row r="11" spans="1:6" x14ac:dyDescent="0.25">
      <c r="A11" s="48" t="s">
        <v>1</v>
      </c>
      <c r="B11" s="23">
        <v>45806</v>
      </c>
      <c r="C11" s="155" t="s">
        <v>2</v>
      </c>
      <c r="D11" s="155"/>
      <c r="E11" s="178" t="s">
        <v>308</v>
      </c>
      <c r="F11" s="178"/>
    </row>
    <row r="12" spans="1:6" x14ac:dyDescent="0.25">
      <c r="A12" s="48" t="s">
        <v>3</v>
      </c>
      <c r="B12" s="23" t="s">
        <v>277</v>
      </c>
      <c r="C12" s="35" t="s">
        <v>4</v>
      </c>
      <c r="D12" s="47" t="s">
        <v>38</v>
      </c>
      <c r="E12" s="36" t="s">
        <v>211</v>
      </c>
      <c r="F12" s="15">
        <v>29</v>
      </c>
    </row>
    <row r="13" spans="1:6" x14ac:dyDescent="0.25">
      <c r="A13" s="168" t="s">
        <v>5</v>
      </c>
      <c r="B13" s="168"/>
      <c r="C13" s="168"/>
      <c r="D13" s="168"/>
      <c r="E13" s="168"/>
      <c r="F13" s="168"/>
    </row>
    <row r="14" spans="1:6" x14ac:dyDescent="0.25">
      <c r="A14" s="68" t="s">
        <v>6</v>
      </c>
      <c r="B14" s="161" t="s">
        <v>7</v>
      </c>
      <c r="C14" s="162"/>
      <c r="D14" s="68" t="s">
        <v>8</v>
      </c>
      <c r="E14" s="168" t="s">
        <v>9</v>
      </c>
      <c r="F14" s="168"/>
    </row>
    <row r="15" spans="1:6" ht="25.5" x14ac:dyDescent="0.25">
      <c r="A15" s="10" t="s">
        <v>271</v>
      </c>
      <c r="B15" s="164" t="s">
        <v>304</v>
      </c>
      <c r="C15" s="165"/>
      <c r="D15" s="28">
        <v>2200</v>
      </c>
      <c r="E15" s="152" t="s">
        <v>10</v>
      </c>
      <c r="F15" s="153"/>
    </row>
    <row r="16" spans="1:6" ht="25.5" x14ac:dyDescent="0.25">
      <c r="A16" s="10" t="s">
        <v>271</v>
      </c>
      <c r="B16" s="164" t="s">
        <v>306</v>
      </c>
      <c r="C16" s="165"/>
      <c r="D16" s="28">
        <v>7700</v>
      </c>
      <c r="E16" s="152" t="s">
        <v>10</v>
      </c>
      <c r="F16" s="153"/>
    </row>
    <row r="17" spans="1:6" ht="25.5" x14ac:dyDescent="0.25">
      <c r="A17" s="10" t="s">
        <v>271</v>
      </c>
      <c r="B17" s="164" t="s">
        <v>288</v>
      </c>
      <c r="C17" s="165"/>
      <c r="D17" s="28">
        <v>6200</v>
      </c>
      <c r="E17" s="152" t="s">
        <v>10</v>
      </c>
      <c r="F17" s="153"/>
    </row>
    <row r="18" spans="1:6" ht="25.5" x14ac:dyDescent="0.25">
      <c r="A18" s="10" t="s">
        <v>271</v>
      </c>
      <c r="B18" s="210" t="s">
        <v>287</v>
      </c>
      <c r="C18" s="210"/>
      <c r="D18" s="28">
        <v>3700</v>
      </c>
      <c r="E18" s="152" t="s">
        <v>10</v>
      </c>
      <c r="F18" s="153"/>
    </row>
    <row r="19" spans="1:6" ht="25.5" x14ac:dyDescent="0.25">
      <c r="A19" s="10" t="s">
        <v>271</v>
      </c>
      <c r="B19" s="210" t="s">
        <v>305</v>
      </c>
      <c r="C19" s="210"/>
      <c r="D19" s="28">
        <v>7900</v>
      </c>
      <c r="E19" s="152" t="s">
        <v>10</v>
      </c>
      <c r="F19" s="153"/>
    </row>
    <row r="20" spans="1:6" x14ac:dyDescent="0.25">
      <c r="A20" s="10" t="s">
        <v>276</v>
      </c>
      <c r="B20" s="116" t="s">
        <v>319</v>
      </c>
      <c r="C20" s="117"/>
      <c r="D20" s="28">
        <v>6300</v>
      </c>
      <c r="E20" s="152" t="s">
        <v>10</v>
      </c>
      <c r="F20" s="153"/>
    </row>
    <row r="21" spans="1:6" x14ac:dyDescent="0.25">
      <c r="A21" s="10" t="s">
        <v>276</v>
      </c>
      <c r="B21" s="211" t="s">
        <v>320</v>
      </c>
      <c r="C21" s="212"/>
      <c r="D21" s="16">
        <v>13000</v>
      </c>
      <c r="E21" s="128" t="s">
        <v>10</v>
      </c>
      <c r="F21" s="129"/>
    </row>
    <row r="22" spans="1:6" ht="25.5" x14ac:dyDescent="0.25">
      <c r="A22" s="13" t="s">
        <v>309</v>
      </c>
      <c r="B22" s="164" t="s">
        <v>307</v>
      </c>
      <c r="C22" s="165"/>
      <c r="D22" s="28" t="s">
        <v>0</v>
      </c>
      <c r="E22" s="152" t="s">
        <v>0</v>
      </c>
      <c r="F22" s="153"/>
    </row>
    <row r="23" spans="1:6" x14ac:dyDescent="0.25">
      <c r="A23" s="29"/>
      <c r="B23" s="213"/>
      <c r="C23" s="214"/>
      <c r="D23" s="29"/>
      <c r="E23" s="213"/>
      <c r="F23" s="214"/>
    </row>
    <row r="28" spans="1:6" x14ac:dyDescent="0.25">
      <c r="A28" s="48" t="s">
        <v>1</v>
      </c>
      <c r="B28" s="23"/>
      <c r="C28" s="166" t="s">
        <v>2</v>
      </c>
      <c r="D28" s="167"/>
      <c r="E28" s="156"/>
      <c r="F28" s="157"/>
    </row>
    <row r="29" spans="1:6" x14ac:dyDescent="0.25">
      <c r="A29" s="48" t="s">
        <v>3</v>
      </c>
      <c r="B29" s="16"/>
      <c r="C29" s="35" t="s">
        <v>4</v>
      </c>
      <c r="D29" s="16"/>
      <c r="E29" s="66" t="s">
        <v>210</v>
      </c>
      <c r="F29" s="15"/>
    </row>
    <row r="30" spans="1:6" x14ac:dyDescent="0.25">
      <c r="A30" s="168" t="s">
        <v>5</v>
      </c>
      <c r="B30" s="168"/>
      <c r="C30" s="168"/>
      <c r="D30" s="168"/>
      <c r="E30" s="168"/>
      <c r="F30" s="168"/>
    </row>
    <row r="31" spans="1:6" x14ac:dyDescent="0.25">
      <c r="A31" s="68" t="s">
        <v>6</v>
      </c>
      <c r="B31" s="161" t="s">
        <v>7</v>
      </c>
      <c r="C31" s="162"/>
      <c r="D31" s="68" t="s">
        <v>8</v>
      </c>
      <c r="E31" s="168" t="s">
        <v>9</v>
      </c>
      <c r="F31" s="168"/>
    </row>
    <row r="32" spans="1:6" ht="25.5" x14ac:dyDescent="0.25">
      <c r="A32" s="10" t="s">
        <v>257</v>
      </c>
      <c r="B32" s="154" t="s">
        <v>283</v>
      </c>
      <c r="C32" s="154"/>
      <c r="D32" s="28">
        <v>9000</v>
      </c>
      <c r="E32" s="152" t="s">
        <v>285</v>
      </c>
      <c r="F32" s="153"/>
    </row>
    <row r="36" spans="1:6" x14ac:dyDescent="0.25">
      <c r="A36" s="48" t="s">
        <v>1</v>
      </c>
      <c r="B36" s="23">
        <v>45867</v>
      </c>
      <c r="C36" s="166" t="s">
        <v>2</v>
      </c>
      <c r="D36" s="167"/>
      <c r="E36" s="156">
        <v>0.58333333333333337</v>
      </c>
      <c r="F36" s="157"/>
    </row>
    <row r="37" spans="1:6" x14ac:dyDescent="0.25">
      <c r="A37" s="48" t="s">
        <v>3</v>
      </c>
      <c r="B37" s="16" t="s">
        <v>277</v>
      </c>
      <c r="C37" s="35" t="s">
        <v>4</v>
      </c>
      <c r="D37" s="16" t="s">
        <v>38</v>
      </c>
      <c r="E37" s="66" t="s">
        <v>210</v>
      </c>
      <c r="F37" s="15">
        <v>29</v>
      </c>
    </row>
    <row r="38" spans="1:6" x14ac:dyDescent="0.25">
      <c r="A38" s="168" t="s">
        <v>5</v>
      </c>
      <c r="B38" s="168"/>
      <c r="C38" s="168"/>
      <c r="D38" s="168"/>
      <c r="E38" s="168"/>
      <c r="F38" s="168"/>
    </row>
    <row r="39" spans="1:6" x14ac:dyDescent="0.25">
      <c r="A39" s="68" t="s">
        <v>6</v>
      </c>
      <c r="B39" s="161" t="s">
        <v>7</v>
      </c>
      <c r="C39" s="162"/>
      <c r="D39" s="68" t="s">
        <v>8</v>
      </c>
      <c r="E39" s="168" t="s">
        <v>9</v>
      </c>
      <c r="F39" s="168"/>
    </row>
    <row r="40" spans="1:6" x14ac:dyDescent="0.25">
      <c r="A40" s="10" t="s">
        <v>214</v>
      </c>
      <c r="B40" s="154" t="s">
        <v>321</v>
      </c>
      <c r="C40" s="154"/>
      <c r="D40" s="28">
        <v>6500</v>
      </c>
      <c r="E40" s="152" t="s">
        <v>10</v>
      </c>
      <c r="F40" s="153"/>
    </row>
    <row r="41" spans="1:6" ht="25.5" x14ac:dyDescent="0.25">
      <c r="A41" s="10" t="s">
        <v>257</v>
      </c>
      <c r="B41" s="154" t="s">
        <v>283</v>
      </c>
      <c r="C41" s="154"/>
      <c r="D41" s="28">
        <v>9000</v>
      </c>
      <c r="E41" s="152" t="s">
        <v>285</v>
      </c>
      <c r="F41" s="153"/>
    </row>
    <row r="42" spans="1:6" x14ac:dyDescent="0.25">
      <c r="A42" s="10" t="s">
        <v>276</v>
      </c>
      <c r="B42" s="116" t="s">
        <v>348</v>
      </c>
      <c r="C42" s="117"/>
      <c r="D42" s="28" t="s">
        <v>0</v>
      </c>
      <c r="E42" s="152" t="s">
        <v>0</v>
      </c>
      <c r="F42" s="153"/>
    </row>
    <row r="45" spans="1:6" x14ac:dyDescent="0.25">
      <c r="A45" s="48" t="s">
        <v>1</v>
      </c>
      <c r="B45" s="23">
        <v>45883</v>
      </c>
      <c r="C45" s="166" t="s">
        <v>2</v>
      </c>
      <c r="D45" s="167"/>
      <c r="E45" s="156">
        <v>0.29166666666666669</v>
      </c>
      <c r="F45" s="157"/>
    </row>
    <row r="46" spans="1:6" x14ac:dyDescent="0.25">
      <c r="A46" s="48" t="s">
        <v>3</v>
      </c>
      <c r="B46" s="16" t="s">
        <v>405</v>
      </c>
      <c r="C46" s="35" t="s">
        <v>4</v>
      </c>
      <c r="D46" s="16" t="s">
        <v>388</v>
      </c>
      <c r="E46" s="66" t="s">
        <v>210</v>
      </c>
      <c r="F46" s="15">
        <v>61</v>
      </c>
    </row>
    <row r="47" spans="1:6" ht="15" customHeight="1" x14ac:dyDescent="0.25">
      <c r="A47" s="168" t="s">
        <v>5</v>
      </c>
      <c r="B47" s="168"/>
      <c r="C47" s="168"/>
      <c r="D47" s="168"/>
      <c r="E47" s="168"/>
      <c r="F47" s="168"/>
    </row>
    <row r="48" spans="1:6" ht="38.25" customHeight="1" x14ac:dyDescent="0.25">
      <c r="A48" s="10" t="s">
        <v>214</v>
      </c>
      <c r="B48" s="154" t="s">
        <v>321</v>
      </c>
      <c r="C48" s="154"/>
      <c r="D48" s="28">
        <v>6500</v>
      </c>
      <c r="E48" s="152" t="s">
        <v>10</v>
      </c>
      <c r="F48" s="153"/>
    </row>
    <row r="51" spans="1:6" x14ac:dyDescent="0.25">
      <c r="A51" s="48" t="s">
        <v>1</v>
      </c>
      <c r="B51" s="23">
        <v>45864</v>
      </c>
      <c r="C51" s="166" t="s">
        <v>2</v>
      </c>
      <c r="D51" s="167"/>
      <c r="E51" s="156">
        <v>0.35416666666666669</v>
      </c>
      <c r="F51" s="157"/>
    </row>
    <row r="52" spans="1:6" x14ac:dyDescent="0.25">
      <c r="A52" s="48" t="s">
        <v>3</v>
      </c>
      <c r="B52" s="16"/>
      <c r="C52" s="35" t="s">
        <v>4</v>
      </c>
      <c r="D52" s="16"/>
      <c r="E52" s="66" t="s">
        <v>210</v>
      </c>
      <c r="F52" s="15"/>
    </row>
    <row r="53" spans="1:6" x14ac:dyDescent="0.25">
      <c r="A53" s="168" t="s">
        <v>5</v>
      </c>
      <c r="B53" s="168"/>
      <c r="C53" s="168"/>
      <c r="D53" s="168"/>
      <c r="E53" s="168"/>
      <c r="F53" s="168"/>
    </row>
    <row r="54" spans="1:6" x14ac:dyDescent="0.25">
      <c r="A54" s="35" t="s">
        <v>6</v>
      </c>
      <c r="B54" s="161" t="s">
        <v>7</v>
      </c>
      <c r="C54" s="162"/>
      <c r="D54" s="68" t="s">
        <v>8</v>
      </c>
      <c r="E54" s="168" t="s">
        <v>9</v>
      </c>
      <c r="F54" s="168"/>
    </row>
    <row r="55" spans="1:6" ht="15" customHeight="1" x14ac:dyDescent="0.25">
      <c r="A55" s="16" t="s">
        <v>366</v>
      </c>
      <c r="B55" s="190" t="s">
        <v>367</v>
      </c>
      <c r="C55" s="190"/>
      <c r="D55" s="28">
        <v>6000</v>
      </c>
      <c r="E55" s="152" t="s">
        <v>369</v>
      </c>
      <c r="F55" s="153"/>
    </row>
    <row r="56" spans="1:6" x14ac:dyDescent="0.25">
      <c r="A56" s="16" t="s">
        <v>366</v>
      </c>
      <c r="B56" s="190" t="s">
        <v>368</v>
      </c>
      <c r="C56" s="190"/>
      <c r="D56" s="28">
        <v>2000</v>
      </c>
      <c r="E56" s="152" t="s">
        <v>369</v>
      </c>
      <c r="F56" s="153"/>
    </row>
    <row r="57" spans="1:6" ht="51" x14ac:dyDescent="0.25">
      <c r="A57" s="10" t="s">
        <v>350</v>
      </c>
      <c r="B57" s="154" t="s">
        <v>296</v>
      </c>
      <c r="C57" s="154"/>
      <c r="D57" s="28" t="s">
        <v>0</v>
      </c>
      <c r="E57" s="152" t="s">
        <v>0</v>
      </c>
      <c r="F57" s="153"/>
    </row>
  </sheetData>
  <mergeCells count="66">
    <mergeCell ref="B55:C55"/>
    <mergeCell ref="E55:F55"/>
    <mergeCell ref="B56:C56"/>
    <mergeCell ref="E56:F56"/>
    <mergeCell ref="B57:C57"/>
    <mergeCell ref="E57:F57"/>
    <mergeCell ref="C51:D51"/>
    <mergeCell ref="E51:F51"/>
    <mergeCell ref="A53:F53"/>
    <mergeCell ref="B54:C54"/>
    <mergeCell ref="E54:F54"/>
    <mergeCell ref="B6:C6"/>
    <mergeCell ref="E6:F6"/>
    <mergeCell ref="B7:C7"/>
    <mergeCell ref="E7:F7"/>
    <mergeCell ref="C2:D2"/>
    <mergeCell ref="E2:F2"/>
    <mergeCell ref="A4:F4"/>
    <mergeCell ref="B5:C5"/>
    <mergeCell ref="E5:F5"/>
    <mergeCell ref="C11:D11"/>
    <mergeCell ref="E11:F11"/>
    <mergeCell ref="A13:F13"/>
    <mergeCell ref="B14:C14"/>
    <mergeCell ref="E14:F14"/>
    <mergeCell ref="B15:C15"/>
    <mergeCell ref="E15:F15"/>
    <mergeCell ref="B16:C16"/>
    <mergeCell ref="E16:F16"/>
    <mergeCell ref="B17:C17"/>
    <mergeCell ref="E17:F17"/>
    <mergeCell ref="B18:C18"/>
    <mergeCell ref="E18:F18"/>
    <mergeCell ref="B19:C19"/>
    <mergeCell ref="E19:F19"/>
    <mergeCell ref="C28:D28"/>
    <mergeCell ref="E28:F28"/>
    <mergeCell ref="B20:C20"/>
    <mergeCell ref="E20:F20"/>
    <mergeCell ref="B21:C21"/>
    <mergeCell ref="B22:C22"/>
    <mergeCell ref="B23:C23"/>
    <mergeCell ref="E21:F21"/>
    <mergeCell ref="E22:F22"/>
    <mergeCell ref="E23:F23"/>
    <mergeCell ref="B48:C48"/>
    <mergeCell ref="E48:F48"/>
    <mergeCell ref="A30:F30"/>
    <mergeCell ref="B31:C31"/>
    <mergeCell ref="E31:F31"/>
    <mergeCell ref="B32:C32"/>
    <mergeCell ref="E32:F32"/>
    <mergeCell ref="E36:F36"/>
    <mergeCell ref="C36:D36"/>
    <mergeCell ref="E39:F39"/>
    <mergeCell ref="B40:C40"/>
    <mergeCell ref="A38:F38"/>
    <mergeCell ref="E40:F40"/>
    <mergeCell ref="B39:C39"/>
    <mergeCell ref="C45:D45"/>
    <mergeCell ref="E45:F45"/>
    <mergeCell ref="A47:F47"/>
    <mergeCell ref="B41:C41"/>
    <mergeCell ref="E41:F41"/>
    <mergeCell ref="B42:C42"/>
    <mergeCell ref="E42:F42"/>
  </mergeCells>
  <pageMargins left="0.7" right="0.7" top="0.75" bottom="0.75" header="0.3" footer="0.3"/>
  <pageSetup orientation="portrait" horizontalDpi="120" verticalDpi="7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CODIGO DOMICILIARIOS </vt:lpstr>
      <vt:lpstr>MOVIMIENTO BANCO AGRARIO</vt:lpstr>
      <vt:lpstr>CONSORCIOS</vt:lpstr>
      <vt:lpstr>Hoja1</vt:lpstr>
      <vt:lpstr>SUPERMERCADOS </vt:lpstr>
      <vt:lpstr>BANCO AGRARIO </vt:lpstr>
      <vt:lpstr>SENA </vt:lpstr>
      <vt:lpstr>PISCICOLA</vt:lpstr>
      <vt:lpstr>GARZON</vt:lpstr>
      <vt:lpstr>LA PLATA</vt:lpstr>
      <vt:lpstr>RIVERA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</dc:creator>
  <cp:lastModifiedBy>ADMINISTRACION</cp:lastModifiedBy>
  <cp:lastPrinted>2025-07-12T13:57:02Z</cp:lastPrinted>
  <dcterms:created xsi:type="dcterms:W3CDTF">2021-11-24T13:06:21Z</dcterms:created>
  <dcterms:modified xsi:type="dcterms:W3CDTF">2025-09-24T01:03:13Z</dcterms:modified>
</cp:coreProperties>
</file>