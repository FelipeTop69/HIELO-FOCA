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ADBE4796-FDEE-454F-AEF6-A99A1D9A8367}" xr6:coauthVersionLast="47" xr6:coauthVersionMax="47" xr10:uidLastSave="{00000000-0000-0000-0000-000000000000}"/>
  <bookViews>
    <workbookView xWindow="-120" yWindow="-120" windowWidth="20730" windowHeight="11760" tabRatio="713" activeTab="2" xr2:uid="{7F998C17-66EB-42E9-A447-7E0056C5F018}"/>
  </bookViews>
  <sheets>
    <sheet name="BASE_DATOS" sheetId="25" r:id="rId1"/>
    <sheet name="CODIGO DOMICILIARIOS" sheetId="23" r:id="rId2"/>
    <sheet name="SUPERMERCADOS" sheetId="24" r:id="rId3"/>
    <sheet name="MOVIMIENTO BANCO AGRARIO" sheetId="20" r:id="rId4"/>
    <sheet name="CONSORCIOS" sheetId="6" r:id="rId5"/>
    <sheet name="BANCO AGRARIO " sheetId="19" r:id="rId6"/>
    <sheet name="SENA " sheetId="21" r:id="rId7"/>
    <sheet name="PISCICOLA" sheetId="18" r:id="rId8"/>
    <sheet name="GARZON" sheetId="8" r:id="rId9"/>
    <sheet name="LA PLATA" sheetId="9" r:id="rId10"/>
    <sheet name="RIVERA" sheetId="12" r:id="rId11"/>
  </sheets>
  <definedNames>
    <definedName name="_xlnm._FilterDatabase" localSheetId="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sharedStrings.xml><?xml version="1.0" encoding="utf-8"?>
<sst xmlns="http://schemas.openxmlformats.org/spreadsheetml/2006/main" count="1313" uniqueCount="448">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</sst>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</numFmts>
  <fonts count="34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1"/>
      <color rgb="FF222222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49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8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8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1" fillId="3" borderId="11" xfId="0" applyFont="1" applyFill="1" applyBorder="1" applyAlignment="1">
      <alignment horizontal="center" vertical="center" wrapText="1"/>
    </xf>
    <xf numFmtId="0" fontId="31" fillId="3" borderId="12" xfId="0" applyFont="1" applyFill="1" applyBorder="1" applyAlignment="1">
      <alignment horizontal="center" vertical="center" wrapText="1"/>
    </xf>
    <xf numFmtId="0" fontId="31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8" fillId="3" borderId="3" xfId="0" applyFont="1" applyFill="1" applyBorder="1" applyAlignment="1" applyProtection="1">
      <alignment horizontal="center" vertical="center"/>
      <protection locked="0"/>
    </xf>
    <xf numFmtId="0" fontId="28" fillId="3" borderId="4" xfId="0" applyFont="1" applyFill="1" applyBorder="1" applyAlignment="1" applyProtection="1">
      <alignment horizontal="center" vertical="center"/>
      <protection locked="0"/>
    </xf>
    <xf numFmtId="0" fontId="28" fillId="3" borderId="2" xfId="0" applyFont="1" applyFill="1" applyBorder="1" applyAlignment="1" applyProtection="1">
      <alignment horizontal="center" vertical="center"/>
      <protection locked="0"/>
    </xf>
    <xf numFmtId="0" fontId="25" fillId="3" borderId="1" xfId="0" applyFont="1" applyFill="1" applyBorder="1" applyAlignment="1">
      <alignment horizontal="center" vertical="center" wrapText="1"/>
    </xf>
    <xf numFmtId="0" fontId="23" fillId="5" borderId="1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18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28" fillId="3" borderId="3" xfId="0" applyFont="1" applyFill="1" applyBorder="1" applyAlignment="1" applyProtection="1">
      <alignment horizontal="center" vertical="center" wrapText="1"/>
      <protection locked="0"/>
    </xf>
    <xf numFmtId="0" fontId="28" fillId="3" borderId="2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2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1" dataDxfId="19" headerRowBorderDxfId="20" tableBorderDxfId="18" totalsRowBorderDxfId="17">
  <autoFilter ref="A2:C51" xr:uid="{62E2F28C-23D2-4BFB-8D4E-58A98B1A1DCE}"/>
  <tableColumns count="3">
    <tableColumn id="1" xr3:uid="{3E2638BF-46BE-48ED-B981-8992650553F0}" name="CODIGO" dataDxfId="16"/>
    <tableColumn id="2" xr3:uid="{4871B49C-FC15-4D26-9ABF-22149E253CA9}" name="VEHICULO" dataDxfId="15"/>
    <tableColumn id="3" xr3:uid="{2F274683-51A4-417C-AC03-A22118229720}" name="CONDUCTOR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3" dataDxfId="11" headerRowBorderDxfId="12" tableBorderDxfId="10" totalsRowBorderDxfId="9">
  <autoFilter ref="P2:V25" xr:uid="{269DF350-D5A4-46E1-8FEE-869F57C5231D}"/>
  <tableColumns count="7">
    <tableColumn id="1" xr3:uid="{3C613DF8-0385-4111-8BF2-3D9E1004ED03}" name="EMPRESA" dataDxfId="8"/>
    <tableColumn id="2" xr3:uid="{EB50365C-5A59-4146-8EB8-AE2747CAB015}" name="TUB 3 KG" dataDxfId="7"/>
    <tableColumn id="3" xr3:uid="{E57A5FB6-4B31-48CA-98E1-5EC947CE34F0}" name="TUB 7 KG " dataDxfId="6"/>
    <tableColumn id="4" xr3:uid="{9AEBBB80-F455-49FB-BA5B-6796A9774170}" name="GARRAFA 5 L" dataDxfId="5"/>
    <tableColumn id="5" xr3:uid="{70A3F48A-A2EF-4B29-A106-7C1FED1BCEA1}" name="AGUA 6 L" dataDxfId="4"/>
    <tableColumn id="6" xr3:uid="{C527082C-9AF2-4C72-968B-00DD88FA2466}" name="DOCUMENTO" dataDxfId="3"/>
    <tableColumn id="7" xr3:uid="{51BC46B6-F274-4DF0-B489-2027C88980DC}" name="MODO PAGO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V51"/>
  <sheetViews>
    <sheetView topLeftCell="N14" workbookViewId="0">
      <selection activeCell="U2" sqref="U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</cols>
  <sheetData>
    <row r="1" spans="1:22" ht="30" customHeight="1" x14ac:dyDescent="0.25">
      <c r="A1" s="153" t="s">
        <v>404</v>
      </c>
      <c r="B1" s="153"/>
      <c r="C1" s="153"/>
      <c r="E1" s="153" t="s">
        <v>96</v>
      </c>
      <c r="F1" s="153"/>
      <c r="H1" s="153" t="s">
        <v>406</v>
      </c>
      <c r="I1" s="153"/>
      <c r="J1" s="153"/>
      <c r="L1" s="153" t="s">
        <v>407</v>
      </c>
      <c r="M1" s="153"/>
      <c r="N1" s="153"/>
      <c r="P1" s="153" t="s">
        <v>441</v>
      </c>
      <c r="Q1" s="153"/>
      <c r="R1" s="153"/>
      <c r="S1" s="153"/>
      <c r="T1" s="153"/>
      <c r="U1" s="153"/>
      <c r="V1" s="153"/>
    </row>
    <row r="2" spans="1:22" ht="24" customHeight="1" x14ac:dyDescent="0.25">
      <c r="A2" s="106" t="s">
        <v>16</v>
      </c>
      <c r="B2" s="107" t="s">
        <v>12</v>
      </c>
      <c r="C2" s="108" t="s">
        <v>3</v>
      </c>
      <c r="E2" s="152" t="s">
        <v>41</v>
      </c>
      <c r="F2" s="152"/>
      <c r="H2" s="135" t="s">
        <v>54</v>
      </c>
      <c r="I2" s="135" t="s">
        <v>55</v>
      </c>
      <c r="J2" s="136" t="s">
        <v>56</v>
      </c>
      <c r="L2" s="137" t="s">
        <v>115</v>
      </c>
      <c r="M2" s="137" t="s">
        <v>16</v>
      </c>
      <c r="N2" s="137" t="s">
        <v>116</v>
      </c>
      <c r="P2" s="138" t="s">
        <v>445</v>
      </c>
      <c r="Q2" s="139" t="s">
        <v>444</v>
      </c>
      <c r="R2" s="139" t="s">
        <v>443</v>
      </c>
      <c r="S2" s="141" t="s">
        <v>447</v>
      </c>
      <c r="T2" s="141" t="s">
        <v>446</v>
      </c>
      <c r="U2" s="139" t="s">
        <v>405</v>
      </c>
      <c r="V2" s="140" t="s">
        <v>9</v>
      </c>
    </row>
    <row r="3" spans="1:22" ht="26.25" customHeight="1" x14ac:dyDescent="0.25">
      <c r="A3" s="113">
        <v>28</v>
      </c>
      <c r="B3" s="114" t="s">
        <v>376</v>
      </c>
      <c r="C3" s="115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2" t="s">
        <v>419</v>
      </c>
      <c r="Q3" s="111">
        <v>2900</v>
      </c>
      <c r="R3" s="111">
        <v>6500</v>
      </c>
      <c r="S3" s="111"/>
      <c r="T3" s="131"/>
      <c r="U3" s="111" t="s">
        <v>269</v>
      </c>
      <c r="V3" s="109" t="s">
        <v>10</v>
      </c>
    </row>
    <row r="4" spans="1:22" ht="26.25" customHeight="1" x14ac:dyDescent="0.25">
      <c r="A4" s="113">
        <v>29</v>
      </c>
      <c r="B4" s="114" t="s">
        <v>376</v>
      </c>
      <c r="C4" s="115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2" t="s">
        <v>420</v>
      </c>
      <c r="Q4" s="111">
        <v>2900</v>
      </c>
      <c r="R4" s="111">
        <v>6500</v>
      </c>
      <c r="S4" s="111"/>
      <c r="T4" s="131"/>
      <c r="U4" s="111" t="s">
        <v>269</v>
      </c>
      <c r="V4" s="109" t="s">
        <v>10</v>
      </c>
    </row>
    <row r="5" spans="1:22" ht="26.25" customHeight="1" x14ac:dyDescent="0.25">
      <c r="A5" s="113">
        <v>30</v>
      </c>
      <c r="B5" s="114" t="s">
        <v>376</v>
      </c>
      <c r="C5" s="115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2" t="s">
        <v>421</v>
      </c>
      <c r="Q5" s="111">
        <v>2900</v>
      </c>
      <c r="R5" s="111">
        <v>6500</v>
      </c>
      <c r="S5" s="111"/>
      <c r="T5" s="131"/>
      <c r="U5" s="111" t="s">
        <v>269</v>
      </c>
      <c r="V5" s="109" t="s">
        <v>10</v>
      </c>
    </row>
    <row r="6" spans="1:22" ht="26.25" customHeight="1" x14ac:dyDescent="0.25">
      <c r="A6" s="113">
        <v>31</v>
      </c>
      <c r="B6" s="114" t="s">
        <v>376</v>
      </c>
      <c r="C6" s="115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2" t="s">
        <v>422</v>
      </c>
      <c r="Q6" s="111">
        <v>2900</v>
      </c>
      <c r="R6" s="111">
        <v>6500</v>
      </c>
      <c r="S6" s="111"/>
      <c r="T6" s="131"/>
      <c r="U6" s="111" t="s">
        <v>269</v>
      </c>
      <c r="V6" s="109" t="s">
        <v>10</v>
      </c>
    </row>
    <row r="7" spans="1:22" ht="26.25" customHeight="1" x14ac:dyDescent="0.25">
      <c r="A7" s="113">
        <v>32</v>
      </c>
      <c r="B7" s="114" t="s">
        <v>376</v>
      </c>
      <c r="C7" s="115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2" t="s">
        <v>423</v>
      </c>
      <c r="Q7" s="111">
        <v>2900</v>
      </c>
      <c r="R7" s="111">
        <v>6500</v>
      </c>
      <c r="S7" s="111"/>
      <c r="T7" s="131"/>
      <c r="U7" s="111" t="s">
        <v>269</v>
      </c>
      <c r="V7" s="109" t="s">
        <v>10</v>
      </c>
    </row>
    <row r="8" spans="1:22" ht="26.25" customHeight="1" x14ac:dyDescent="0.25">
      <c r="A8" s="113">
        <v>33</v>
      </c>
      <c r="B8" s="114" t="s">
        <v>376</v>
      </c>
      <c r="C8" s="115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2" t="s">
        <v>424</v>
      </c>
      <c r="Q8" s="111">
        <v>2900</v>
      </c>
      <c r="R8" s="111">
        <v>6500</v>
      </c>
      <c r="S8" s="111"/>
      <c r="T8" s="131"/>
      <c r="U8" s="111" t="s">
        <v>269</v>
      </c>
      <c r="V8" s="109" t="s">
        <v>10</v>
      </c>
    </row>
    <row r="9" spans="1:22" ht="26.25" customHeight="1" x14ac:dyDescent="0.25">
      <c r="A9" s="113">
        <v>34</v>
      </c>
      <c r="B9" s="114" t="s">
        <v>376</v>
      </c>
      <c r="C9" s="115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2" t="s">
        <v>425</v>
      </c>
      <c r="Q9" s="111">
        <v>2900</v>
      </c>
      <c r="R9" s="111">
        <v>6500</v>
      </c>
      <c r="S9" s="111"/>
      <c r="T9" s="131"/>
      <c r="U9" s="111" t="s">
        <v>269</v>
      </c>
      <c r="V9" s="109" t="s">
        <v>10</v>
      </c>
    </row>
    <row r="10" spans="1:22" ht="26.25" customHeight="1" x14ac:dyDescent="0.25">
      <c r="A10" s="113">
        <v>35</v>
      </c>
      <c r="B10" s="114" t="s">
        <v>376</v>
      </c>
      <c r="C10" s="115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2" t="s">
        <v>426</v>
      </c>
      <c r="Q10" s="111">
        <v>2900</v>
      </c>
      <c r="R10" s="111">
        <v>6500</v>
      </c>
      <c r="S10" s="111"/>
      <c r="T10" s="131"/>
      <c r="U10" s="111" t="s">
        <v>269</v>
      </c>
      <c r="V10" s="109" t="s">
        <v>10</v>
      </c>
    </row>
    <row r="11" spans="1:22" ht="26.25" customHeight="1" x14ac:dyDescent="0.25">
      <c r="A11" s="113">
        <v>36</v>
      </c>
      <c r="B11" s="114" t="s">
        <v>376</v>
      </c>
      <c r="C11" s="115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2" t="s">
        <v>427</v>
      </c>
      <c r="Q11" s="111">
        <v>2900</v>
      </c>
      <c r="R11" s="111">
        <v>6500</v>
      </c>
      <c r="S11" s="111"/>
      <c r="T11" s="131"/>
      <c r="U11" s="111" t="s">
        <v>269</v>
      </c>
      <c r="V11" s="109" t="s">
        <v>10</v>
      </c>
    </row>
    <row r="12" spans="1:22" ht="26.25" customHeight="1" x14ac:dyDescent="0.25">
      <c r="A12" s="116">
        <v>37</v>
      </c>
      <c r="B12" s="117" t="s">
        <v>384</v>
      </c>
      <c r="C12" s="118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2" t="s">
        <v>428</v>
      </c>
      <c r="Q12" s="111">
        <v>2900</v>
      </c>
      <c r="R12" s="111">
        <v>6500</v>
      </c>
      <c r="S12" s="111"/>
      <c r="T12" s="131"/>
      <c r="U12" s="111" t="s">
        <v>269</v>
      </c>
      <c r="V12" s="109" t="s">
        <v>10</v>
      </c>
    </row>
    <row r="13" spans="1:22" ht="26.25" customHeight="1" x14ac:dyDescent="0.25">
      <c r="A13" s="116">
        <v>38</v>
      </c>
      <c r="B13" s="117" t="s">
        <v>384</v>
      </c>
      <c r="C13" s="118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2" t="s">
        <v>429</v>
      </c>
      <c r="Q13" s="111">
        <v>2900</v>
      </c>
      <c r="R13" s="111"/>
      <c r="S13" s="111"/>
      <c r="T13" s="111"/>
      <c r="U13" s="111" t="s">
        <v>269</v>
      </c>
      <c r="V13" s="109" t="s">
        <v>10</v>
      </c>
    </row>
    <row r="14" spans="1:22" ht="26.25" customHeight="1" x14ac:dyDescent="0.25">
      <c r="A14" s="116">
        <v>39</v>
      </c>
      <c r="B14" s="117" t="s">
        <v>384</v>
      </c>
      <c r="C14" s="118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2" t="s">
        <v>430</v>
      </c>
      <c r="Q14" s="111">
        <v>2900</v>
      </c>
      <c r="R14" s="111"/>
      <c r="S14" s="111"/>
      <c r="T14" s="111"/>
      <c r="U14" s="111" t="s">
        <v>269</v>
      </c>
      <c r="V14" s="109" t="s">
        <v>10</v>
      </c>
    </row>
    <row r="15" spans="1:22" ht="26.25" customHeight="1" x14ac:dyDescent="0.25">
      <c r="A15" s="116">
        <v>40</v>
      </c>
      <c r="B15" s="117" t="s">
        <v>384</v>
      </c>
      <c r="C15" s="118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2" t="s">
        <v>431</v>
      </c>
      <c r="Q15" s="111">
        <v>2900</v>
      </c>
      <c r="R15" s="111"/>
      <c r="S15" s="111"/>
      <c r="T15" s="111"/>
      <c r="U15" s="111" t="s">
        <v>269</v>
      </c>
      <c r="V15" s="109" t="s">
        <v>10</v>
      </c>
    </row>
    <row r="16" spans="1:22" ht="26.25" customHeight="1" x14ac:dyDescent="0.25">
      <c r="A16" s="116">
        <v>41</v>
      </c>
      <c r="B16" s="117" t="s">
        <v>384</v>
      </c>
      <c r="C16" s="118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2" t="s">
        <v>432</v>
      </c>
      <c r="Q16" s="111">
        <v>2900</v>
      </c>
      <c r="R16" s="111"/>
      <c r="S16" s="111"/>
      <c r="T16" s="111"/>
      <c r="U16" s="111" t="s">
        <v>269</v>
      </c>
      <c r="V16" s="109" t="s">
        <v>10</v>
      </c>
    </row>
    <row r="17" spans="1:22" ht="26.25" customHeight="1" x14ac:dyDescent="0.25">
      <c r="A17" s="116">
        <v>42</v>
      </c>
      <c r="B17" s="117" t="s">
        <v>384</v>
      </c>
      <c r="C17" s="118" t="s">
        <v>372</v>
      </c>
      <c r="L17" s="93" t="s">
        <v>131</v>
      </c>
      <c r="M17" s="94"/>
      <c r="N17" s="95">
        <v>12170925</v>
      </c>
      <c r="P17" s="132" t="s">
        <v>433</v>
      </c>
      <c r="Q17" s="111">
        <v>2900</v>
      </c>
      <c r="R17" s="111"/>
      <c r="S17" s="111"/>
      <c r="T17" s="111"/>
      <c r="U17" s="111" t="s">
        <v>269</v>
      </c>
      <c r="V17" s="109" t="s">
        <v>10</v>
      </c>
    </row>
    <row r="18" spans="1:22" ht="26.25" customHeight="1" x14ac:dyDescent="0.25">
      <c r="A18" s="116">
        <v>44</v>
      </c>
      <c r="B18" s="117" t="s">
        <v>384</v>
      </c>
      <c r="C18" s="118" t="s">
        <v>382</v>
      </c>
      <c r="L18" s="93" t="s">
        <v>132</v>
      </c>
      <c r="M18" s="94"/>
      <c r="N18" s="95">
        <v>12277398</v>
      </c>
      <c r="P18" s="132" t="s">
        <v>434</v>
      </c>
      <c r="Q18" s="111">
        <v>2900</v>
      </c>
      <c r="R18" s="111"/>
      <c r="S18" s="111"/>
      <c r="T18" s="111"/>
      <c r="U18" s="111" t="s">
        <v>269</v>
      </c>
      <c r="V18" s="109" t="s">
        <v>10</v>
      </c>
    </row>
    <row r="19" spans="1:22" ht="26.25" customHeight="1" x14ac:dyDescent="0.25">
      <c r="A19" s="116">
        <v>45</v>
      </c>
      <c r="B19" s="117" t="s">
        <v>384</v>
      </c>
      <c r="C19" s="118" t="s">
        <v>377</v>
      </c>
      <c r="L19" s="93" t="s">
        <v>133</v>
      </c>
      <c r="M19" s="94"/>
      <c r="N19" s="95">
        <v>1075222202</v>
      </c>
      <c r="P19" s="132" t="s">
        <v>435</v>
      </c>
      <c r="Q19" s="111">
        <v>2900</v>
      </c>
      <c r="R19" s="111"/>
      <c r="S19" s="111"/>
      <c r="T19" s="111"/>
      <c r="U19" s="111" t="s">
        <v>269</v>
      </c>
      <c r="V19" s="109" t="s">
        <v>10</v>
      </c>
    </row>
    <row r="20" spans="1:22" ht="26.25" customHeight="1" x14ac:dyDescent="0.25">
      <c r="A20" s="116">
        <v>46</v>
      </c>
      <c r="B20" s="117" t="s">
        <v>384</v>
      </c>
      <c r="C20" s="118" t="s">
        <v>386</v>
      </c>
      <c r="L20" s="93" t="s">
        <v>134</v>
      </c>
      <c r="M20" s="94"/>
      <c r="N20" s="95">
        <v>1007681658</v>
      </c>
      <c r="P20" s="132" t="s">
        <v>436</v>
      </c>
      <c r="Q20" s="111">
        <v>2900</v>
      </c>
      <c r="R20" s="111"/>
      <c r="S20" s="111"/>
      <c r="T20" s="111"/>
      <c r="U20" s="111" t="s">
        <v>269</v>
      </c>
      <c r="V20" s="109" t="s">
        <v>10</v>
      </c>
    </row>
    <row r="21" spans="1:22" ht="26.25" customHeight="1" x14ac:dyDescent="0.25">
      <c r="A21" s="119">
        <v>5</v>
      </c>
      <c r="B21" s="120" t="s">
        <v>15</v>
      </c>
      <c r="C21" s="121" t="s">
        <v>387</v>
      </c>
      <c r="L21" s="93" t="s">
        <v>409</v>
      </c>
      <c r="M21" s="26"/>
      <c r="N21" s="95">
        <v>1075299501</v>
      </c>
      <c r="P21" s="133" t="s">
        <v>437</v>
      </c>
      <c r="Q21" s="112">
        <v>2900</v>
      </c>
      <c r="R21" s="112"/>
      <c r="S21" s="112"/>
      <c r="T21" s="112"/>
      <c r="U21" s="111" t="s">
        <v>269</v>
      </c>
      <c r="V21" s="109" t="s">
        <v>10</v>
      </c>
    </row>
    <row r="22" spans="1:22" ht="26.25" customHeight="1" x14ac:dyDescent="0.25">
      <c r="A22" s="119">
        <v>6</v>
      </c>
      <c r="B22" s="120" t="s">
        <v>15</v>
      </c>
      <c r="C22" s="121" t="s">
        <v>119</v>
      </c>
      <c r="P22" s="132" t="s">
        <v>438</v>
      </c>
      <c r="Q22" s="111">
        <v>3100</v>
      </c>
      <c r="R22" s="111"/>
      <c r="S22" s="111">
        <v>3000</v>
      </c>
      <c r="T22" s="111">
        <v>3900</v>
      </c>
      <c r="U22" s="111" t="s">
        <v>269</v>
      </c>
      <c r="V22" s="109" t="s">
        <v>442</v>
      </c>
    </row>
    <row r="23" spans="1:22" ht="26.25" customHeight="1" x14ac:dyDescent="0.25">
      <c r="A23" s="119">
        <v>7</v>
      </c>
      <c r="B23" s="120" t="s">
        <v>15</v>
      </c>
      <c r="C23" s="121" t="s">
        <v>120</v>
      </c>
      <c r="P23" s="132" t="s">
        <v>439</v>
      </c>
      <c r="Q23" s="111">
        <v>3100</v>
      </c>
      <c r="R23" s="111"/>
      <c r="S23" s="111">
        <v>3000</v>
      </c>
      <c r="T23" s="111">
        <v>3900</v>
      </c>
      <c r="U23" s="111" t="s">
        <v>269</v>
      </c>
      <c r="V23" s="109" t="s">
        <v>442</v>
      </c>
    </row>
    <row r="24" spans="1:22" ht="26.25" customHeight="1" x14ac:dyDescent="0.25">
      <c r="A24" s="119">
        <v>8</v>
      </c>
      <c r="B24" s="120" t="s">
        <v>15</v>
      </c>
      <c r="C24" s="121" t="s">
        <v>388</v>
      </c>
      <c r="P24" s="132" t="s">
        <v>347</v>
      </c>
      <c r="Q24" s="111">
        <v>3100</v>
      </c>
      <c r="R24" s="111"/>
      <c r="S24" s="111">
        <v>3000</v>
      </c>
      <c r="T24" s="111">
        <v>3900</v>
      </c>
      <c r="U24" s="111" t="s">
        <v>269</v>
      </c>
      <c r="V24" s="109" t="s">
        <v>442</v>
      </c>
    </row>
    <row r="25" spans="1:22" ht="26.25" customHeight="1" x14ac:dyDescent="0.25">
      <c r="A25" s="119">
        <v>12</v>
      </c>
      <c r="B25" s="120" t="s">
        <v>15</v>
      </c>
      <c r="C25" s="121" t="s">
        <v>389</v>
      </c>
      <c r="P25" s="133" t="s">
        <v>440</v>
      </c>
      <c r="Q25" s="112">
        <v>3100</v>
      </c>
      <c r="R25" s="112"/>
      <c r="S25" s="112">
        <v>3000</v>
      </c>
      <c r="T25" s="112">
        <v>3900</v>
      </c>
      <c r="U25" s="112" t="s">
        <v>269</v>
      </c>
      <c r="V25" s="134" t="s">
        <v>442</v>
      </c>
    </row>
    <row r="26" spans="1:22" ht="26.25" customHeight="1" x14ac:dyDescent="0.25">
      <c r="A26" s="119">
        <v>13</v>
      </c>
      <c r="B26" s="120" t="s">
        <v>15</v>
      </c>
      <c r="C26" s="121" t="s">
        <v>390</v>
      </c>
    </row>
    <row r="27" spans="1:22" ht="26.25" customHeight="1" x14ac:dyDescent="0.25">
      <c r="A27" s="119">
        <v>15</v>
      </c>
      <c r="B27" s="120" t="s">
        <v>15</v>
      </c>
      <c r="C27" s="121" t="s">
        <v>124</v>
      </c>
    </row>
    <row r="28" spans="1:22" ht="26.25" customHeight="1" x14ac:dyDescent="0.25">
      <c r="A28" s="119">
        <v>16</v>
      </c>
      <c r="B28" s="120" t="s">
        <v>15</v>
      </c>
      <c r="C28" s="121" t="s">
        <v>391</v>
      </c>
    </row>
    <row r="29" spans="1:22" ht="26.25" customHeight="1" x14ac:dyDescent="0.25">
      <c r="A29" s="119">
        <v>19</v>
      </c>
      <c r="B29" s="120" t="s">
        <v>15</v>
      </c>
      <c r="C29" s="121" t="s">
        <v>392</v>
      </c>
    </row>
    <row r="30" spans="1:22" ht="26.25" customHeight="1" x14ac:dyDescent="0.25">
      <c r="A30" s="119">
        <v>23</v>
      </c>
      <c r="B30" s="120" t="s">
        <v>15</v>
      </c>
      <c r="C30" s="121" t="s">
        <v>393</v>
      </c>
    </row>
    <row r="31" spans="1:22" ht="26.25" customHeight="1" x14ac:dyDescent="0.25">
      <c r="A31" s="119">
        <v>24</v>
      </c>
      <c r="B31" s="120" t="s">
        <v>15</v>
      </c>
      <c r="C31" s="121" t="s">
        <v>394</v>
      </c>
    </row>
    <row r="32" spans="1:22" ht="26.25" customHeight="1" x14ac:dyDescent="0.25">
      <c r="A32" s="119">
        <v>26</v>
      </c>
      <c r="B32" s="120" t="s">
        <v>15</v>
      </c>
      <c r="C32" s="121" t="s">
        <v>395</v>
      </c>
    </row>
    <row r="33" spans="1:3" ht="26.25" customHeight="1" x14ac:dyDescent="0.25">
      <c r="A33" s="119">
        <v>51</v>
      </c>
      <c r="B33" s="120" t="s">
        <v>15</v>
      </c>
      <c r="C33" s="121" t="s">
        <v>396</v>
      </c>
    </row>
    <row r="34" spans="1:3" ht="26.25" customHeight="1" x14ac:dyDescent="0.25">
      <c r="A34" s="119">
        <v>52</v>
      </c>
      <c r="B34" s="120" t="s">
        <v>15</v>
      </c>
      <c r="C34" s="121" t="s">
        <v>22</v>
      </c>
    </row>
    <row r="35" spans="1:3" ht="26.25" customHeight="1" x14ac:dyDescent="0.25">
      <c r="A35" s="119">
        <v>53</v>
      </c>
      <c r="B35" s="120" t="s">
        <v>15</v>
      </c>
      <c r="C35" s="121" t="s">
        <v>385</v>
      </c>
    </row>
    <row r="36" spans="1:3" ht="26.25" customHeight="1" x14ac:dyDescent="0.25">
      <c r="A36" s="119">
        <v>54</v>
      </c>
      <c r="B36" s="120" t="s">
        <v>15</v>
      </c>
      <c r="C36" s="121" t="s">
        <v>38</v>
      </c>
    </row>
    <row r="37" spans="1:3" ht="26.25" customHeight="1" x14ac:dyDescent="0.25">
      <c r="A37" s="119">
        <v>55</v>
      </c>
      <c r="B37" s="120" t="s">
        <v>15</v>
      </c>
      <c r="C37" s="121" t="s">
        <v>308</v>
      </c>
    </row>
    <row r="38" spans="1:3" ht="26.25" customHeight="1" x14ac:dyDescent="0.25">
      <c r="A38" s="119">
        <v>56</v>
      </c>
      <c r="B38" s="120" t="s">
        <v>15</v>
      </c>
      <c r="C38" s="121" t="s">
        <v>397</v>
      </c>
    </row>
    <row r="39" spans="1:3" ht="26.25" customHeight="1" x14ac:dyDescent="0.25">
      <c r="A39" s="119">
        <v>57</v>
      </c>
      <c r="B39" s="120" t="s">
        <v>15</v>
      </c>
      <c r="C39" s="121" t="s">
        <v>91</v>
      </c>
    </row>
    <row r="40" spans="1:3" ht="26.25" customHeight="1" x14ac:dyDescent="0.25">
      <c r="A40" s="119">
        <v>58</v>
      </c>
      <c r="B40" s="120" t="s">
        <v>15</v>
      </c>
      <c r="C40" s="121" t="s">
        <v>403</v>
      </c>
    </row>
    <row r="41" spans="1:3" ht="26.25" customHeight="1" x14ac:dyDescent="0.25">
      <c r="A41" s="122">
        <v>61</v>
      </c>
      <c r="B41" s="123" t="s">
        <v>398</v>
      </c>
      <c r="C41" s="124" t="s">
        <v>348</v>
      </c>
    </row>
    <row r="42" spans="1:3" ht="26.25" customHeight="1" x14ac:dyDescent="0.25">
      <c r="A42" s="122">
        <v>62</v>
      </c>
      <c r="B42" s="123" t="s">
        <v>398</v>
      </c>
      <c r="C42" s="124" t="s">
        <v>379</v>
      </c>
    </row>
    <row r="43" spans="1:3" ht="26.25" customHeight="1" x14ac:dyDescent="0.25">
      <c r="A43" s="122">
        <v>63</v>
      </c>
      <c r="B43" s="123" t="s">
        <v>398</v>
      </c>
      <c r="C43" s="124" t="s">
        <v>380</v>
      </c>
    </row>
    <row r="44" spans="1:3" ht="26.25" customHeight="1" x14ac:dyDescent="0.25">
      <c r="A44" s="122">
        <v>64</v>
      </c>
      <c r="B44" s="123" t="s">
        <v>398</v>
      </c>
      <c r="C44" s="124" t="s">
        <v>399</v>
      </c>
    </row>
    <row r="45" spans="1:3" ht="26.25" customHeight="1" x14ac:dyDescent="0.25">
      <c r="A45" s="122">
        <v>65</v>
      </c>
      <c r="B45" s="123" t="s">
        <v>398</v>
      </c>
      <c r="C45" s="124" t="s">
        <v>372</v>
      </c>
    </row>
    <row r="46" spans="1:3" ht="26.25" customHeight="1" x14ac:dyDescent="0.25">
      <c r="A46" s="122">
        <v>66</v>
      </c>
      <c r="B46" s="123" t="s">
        <v>398</v>
      </c>
      <c r="C46" s="124" t="s">
        <v>400</v>
      </c>
    </row>
    <row r="47" spans="1:3" ht="26.25" customHeight="1" x14ac:dyDescent="0.25">
      <c r="A47" s="125">
        <v>71</v>
      </c>
      <c r="B47" s="126" t="s">
        <v>401</v>
      </c>
      <c r="C47" s="127" t="s">
        <v>402</v>
      </c>
    </row>
    <row r="48" spans="1:3" ht="26.25" customHeight="1" x14ac:dyDescent="0.25">
      <c r="A48" s="125">
        <v>72</v>
      </c>
      <c r="B48" s="126" t="s">
        <v>401</v>
      </c>
      <c r="C48" s="127" t="s">
        <v>379</v>
      </c>
    </row>
    <row r="49" spans="1:3" ht="26.25" customHeight="1" x14ac:dyDescent="0.25">
      <c r="A49" s="125">
        <v>73</v>
      </c>
      <c r="B49" s="126" t="s">
        <v>401</v>
      </c>
      <c r="C49" s="127" t="s">
        <v>346</v>
      </c>
    </row>
    <row r="50" spans="1:3" ht="26.25" customHeight="1" x14ac:dyDescent="0.25">
      <c r="A50" s="125">
        <v>74</v>
      </c>
      <c r="B50" s="126" t="s">
        <v>401</v>
      </c>
      <c r="C50" s="127" t="s">
        <v>380</v>
      </c>
    </row>
    <row r="51" spans="1:3" ht="26.25" customHeight="1" x14ac:dyDescent="0.25">
      <c r="A51" s="128">
        <v>75</v>
      </c>
      <c r="B51" s="129" t="s">
        <v>401</v>
      </c>
      <c r="C51" s="130" t="s">
        <v>372</v>
      </c>
    </row>
  </sheetData>
  <mergeCells count="6"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2"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topLeftCell="K1" workbookViewId="0">
      <selection activeCell="P6" sqref="P6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53" t="s">
        <v>404</v>
      </c>
      <c r="B1" s="153"/>
      <c r="C1" s="153"/>
      <c r="E1" s="153" t="s">
        <v>96</v>
      </c>
      <c r="F1" s="153"/>
      <c r="H1" s="153" t="s">
        <v>406</v>
      </c>
      <c r="I1" s="153"/>
      <c r="J1" s="153"/>
      <c r="L1" s="154" t="s">
        <v>407</v>
      </c>
      <c r="M1" s="154"/>
      <c r="N1" s="154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52" t="s">
        <v>41</v>
      </c>
      <c r="F2" s="152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J19"/>
  <sheetViews>
    <sheetView tabSelected="1" topLeftCell="A3" zoomScaleNormal="100" workbookViewId="0">
      <selection activeCell="I13" sqref="I13:J13"/>
    </sheetView>
  </sheetViews>
  <sheetFormatPr baseColWidth="10" defaultRowHeight="15" x14ac:dyDescent="0.25"/>
  <cols>
    <col min="1" max="1" width="10.42578125" style="97" customWidth="1"/>
    <col min="2" max="2" width="29.8554687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2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0" x14ac:dyDescent="0.25">
      <c r="G1" s="97" t="s">
        <v>410</v>
      </c>
    </row>
    <row r="2" spans="2:10" ht="18" customHeight="1" x14ac:dyDescent="0.25">
      <c r="B2" s="144" t="s">
        <v>411</v>
      </c>
      <c r="C2" s="145"/>
      <c r="D2" s="145"/>
      <c r="E2" s="145"/>
      <c r="F2" s="145"/>
      <c r="G2" s="145"/>
      <c r="H2" s="145"/>
      <c r="I2" s="145"/>
      <c r="J2" s="145"/>
    </row>
    <row r="3" spans="2:10" ht="18" customHeight="1" x14ac:dyDescent="0.25">
      <c r="B3" s="145"/>
      <c r="C3" s="145"/>
      <c r="D3" s="145"/>
      <c r="E3" s="145"/>
      <c r="F3" s="145"/>
      <c r="G3" s="145"/>
      <c r="H3" s="145"/>
      <c r="I3" s="145"/>
      <c r="J3" s="145"/>
    </row>
    <row r="4" spans="2:10" ht="18" customHeight="1" x14ac:dyDescent="0.25">
      <c r="B4" s="145"/>
      <c r="C4" s="145"/>
      <c r="D4" s="145"/>
      <c r="E4" s="145"/>
      <c r="F4" s="145"/>
      <c r="G4" s="145"/>
      <c r="H4" s="145"/>
      <c r="I4" s="145"/>
      <c r="J4" s="145"/>
    </row>
    <row r="5" spans="2:10" ht="18" customHeight="1" x14ac:dyDescent="0.25">
      <c r="B5" s="145"/>
      <c r="C5" s="145"/>
      <c r="D5" s="145"/>
      <c r="E5" s="145"/>
      <c r="F5" s="145"/>
      <c r="G5" s="145"/>
      <c r="H5" s="145"/>
      <c r="I5" s="145"/>
      <c r="J5" s="145"/>
    </row>
    <row r="6" spans="2:10" ht="25.5" customHeight="1" x14ac:dyDescent="0.25">
      <c r="B6" s="98" t="s">
        <v>412</v>
      </c>
      <c r="C6" s="96">
        <f ca="1">TODAY()</f>
        <v>46080</v>
      </c>
      <c r="D6" s="147" t="s">
        <v>414</v>
      </c>
      <c r="E6" s="148"/>
      <c r="F6" s="99"/>
      <c r="G6" s="100" t="s">
        <v>416</v>
      </c>
      <c r="H6" s="149"/>
      <c r="I6" s="150"/>
      <c r="J6" s="151"/>
    </row>
    <row r="7" spans="2:10" ht="25.5" customHeight="1" x14ac:dyDescent="0.25">
      <c r="B7" s="100" t="s">
        <v>413</v>
      </c>
      <c r="C7" s="110"/>
      <c r="D7" s="147" t="s">
        <v>415</v>
      </c>
      <c r="E7" s="148"/>
      <c r="F7" s="99"/>
      <c r="G7" s="100" t="s">
        <v>417</v>
      </c>
      <c r="H7" s="101"/>
      <c r="I7" s="100" t="s">
        <v>418</v>
      </c>
      <c r="J7" s="101"/>
    </row>
    <row r="8" spans="2:10" ht="33" customHeight="1" x14ac:dyDescent="0.25">
      <c r="B8" s="146" t="s">
        <v>5</v>
      </c>
      <c r="C8" s="146"/>
      <c r="D8" s="146"/>
      <c r="E8" s="146"/>
      <c r="F8" s="146"/>
      <c r="G8" s="146"/>
      <c r="H8" s="146"/>
      <c r="I8" s="146"/>
      <c r="J8" s="146"/>
    </row>
    <row r="9" spans="2:10" ht="22.5" customHeight="1" x14ac:dyDescent="0.25">
      <c r="B9" s="100" t="s">
        <v>6</v>
      </c>
      <c r="C9" s="146" t="s">
        <v>375</v>
      </c>
      <c r="D9" s="146"/>
      <c r="E9" s="100" t="s">
        <v>152</v>
      </c>
      <c r="F9" s="100" t="s">
        <v>8</v>
      </c>
      <c r="G9" s="100" t="s">
        <v>405</v>
      </c>
      <c r="H9" s="100" t="s">
        <v>408</v>
      </c>
      <c r="I9" s="146" t="s">
        <v>9</v>
      </c>
      <c r="J9" s="146"/>
    </row>
    <row r="10" spans="2:10" ht="48.75" customHeight="1" x14ac:dyDescent="0.25">
      <c r="B10" s="102"/>
      <c r="C10" s="142"/>
      <c r="D10" s="142"/>
      <c r="E10" s="104"/>
      <c r="F10" s="105"/>
      <c r="G10" s="103"/>
      <c r="H10" s="101"/>
      <c r="I10" s="143"/>
      <c r="J10" s="143"/>
    </row>
    <row r="11" spans="2:10" ht="48.75" customHeight="1" x14ac:dyDescent="0.25">
      <c r="B11" s="102"/>
      <c r="C11" s="142"/>
      <c r="D11" s="142"/>
      <c r="E11" s="104"/>
      <c r="F11" s="105"/>
      <c r="G11" s="103"/>
      <c r="H11" s="101"/>
      <c r="I11" s="143"/>
      <c r="J11" s="143"/>
    </row>
    <row r="12" spans="2:10" ht="48.75" customHeight="1" x14ac:dyDescent="0.25">
      <c r="B12" s="102"/>
      <c r="C12" s="142"/>
      <c r="D12" s="142"/>
      <c r="E12" s="104"/>
      <c r="G12" s="103"/>
      <c r="H12" s="101"/>
      <c r="I12" s="143"/>
      <c r="J12" s="143"/>
    </row>
    <row r="13" spans="2:10" ht="48.75" customHeight="1" x14ac:dyDescent="0.25">
      <c r="B13" s="102"/>
      <c r="C13" s="142"/>
      <c r="D13" s="142"/>
      <c r="E13" s="104"/>
      <c r="F13" s="105"/>
      <c r="G13" s="103"/>
      <c r="H13" s="101"/>
      <c r="I13" s="143"/>
      <c r="J13" s="143"/>
    </row>
    <row r="14" spans="2:10" ht="48.75" customHeight="1" x14ac:dyDescent="0.25">
      <c r="B14" s="102"/>
      <c r="C14" s="142"/>
      <c r="D14" s="142"/>
      <c r="E14" s="104"/>
      <c r="F14" s="105"/>
      <c r="G14" s="103"/>
      <c r="H14" s="101"/>
      <c r="I14" s="143"/>
      <c r="J14" s="143"/>
    </row>
    <row r="15" spans="2:10" ht="48.75" customHeight="1" x14ac:dyDescent="0.25">
      <c r="B15" s="102"/>
      <c r="C15" s="246"/>
      <c r="D15" s="247"/>
      <c r="E15" s="104"/>
      <c r="F15" s="105"/>
      <c r="G15" s="103"/>
      <c r="H15" s="101"/>
      <c r="I15" s="143"/>
      <c r="J15" s="143"/>
    </row>
    <row r="16" spans="2:10" ht="48.75" customHeight="1" x14ac:dyDescent="0.25">
      <c r="B16" s="102"/>
      <c r="C16" s="246"/>
      <c r="D16" s="247"/>
      <c r="E16" s="104"/>
      <c r="F16" s="105"/>
      <c r="G16" s="103"/>
      <c r="H16" s="101"/>
      <c r="I16" s="143"/>
      <c r="J16" s="143"/>
    </row>
    <row r="17" spans="2:10" ht="48.75" customHeight="1" x14ac:dyDescent="0.25">
      <c r="B17" s="102"/>
      <c r="C17" s="246"/>
      <c r="D17" s="247"/>
      <c r="E17" s="104"/>
      <c r="F17" s="105"/>
      <c r="G17" s="103"/>
      <c r="H17" s="101"/>
      <c r="I17" s="143"/>
      <c r="J17" s="143"/>
    </row>
    <row r="18" spans="2:10" ht="48.75" customHeight="1" x14ac:dyDescent="0.25">
      <c r="B18" s="248"/>
      <c r="C18" s="246"/>
      <c r="D18" s="247"/>
      <c r="E18" s="104"/>
      <c r="F18" s="105"/>
      <c r="G18" s="103"/>
      <c r="H18" s="101"/>
      <c r="I18" s="143"/>
      <c r="J18" s="143"/>
    </row>
    <row r="19" spans="2:10" ht="48.75" customHeight="1" x14ac:dyDescent="0.25">
      <c r="B19" s="102"/>
      <c r="C19" s="246"/>
      <c r="D19" s="247"/>
      <c r="E19" s="104"/>
      <c r="F19" s="105"/>
      <c r="G19" s="103"/>
      <c r="H19" s="101"/>
      <c r="I19" s="143"/>
      <c r="J19" s="143"/>
    </row>
  </sheetData>
  <sheetProtection formatCells="0" formatColumns="0" formatRows="0" insertColumns="0" insertRows="0" insertHyperlinks="0" deleteColumns="0" deleteRows="0" sort="0" autoFilter="0" pivotTables="0"/>
  <mergeCells count="27">
    <mergeCell ref="C19:D19"/>
    <mergeCell ref="I19:J19"/>
    <mergeCell ref="C16:D16"/>
    <mergeCell ref="I16:J16"/>
    <mergeCell ref="C17:D17"/>
    <mergeCell ref="I17:J17"/>
    <mergeCell ref="C18:D18"/>
    <mergeCell ref="I18:J18"/>
    <mergeCell ref="C11:D11"/>
    <mergeCell ref="I11:J11"/>
    <mergeCell ref="B2:J5"/>
    <mergeCell ref="B8:J8"/>
    <mergeCell ref="C9:D9"/>
    <mergeCell ref="I9:J9"/>
    <mergeCell ref="C10:D10"/>
    <mergeCell ref="I10:J10"/>
    <mergeCell ref="D6:E6"/>
    <mergeCell ref="D7:E7"/>
    <mergeCell ref="H6:J6"/>
    <mergeCell ref="C15:D15"/>
    <mergeCell ref="I15:J15"/>
    <mergeCell ref="C12:D12"/>
    <mergeCell ref="I12:J12"/>
    <mergeCell ref="C13:D13"/>
    <mergeCell ref="I13:J13"/>
    <mergeCell ref="C14:D14"/>
    <mergeCell ref="I14:J14"/>
  </mergeCells>
  <conditionalFormatting sqref="C7">
    <cfRule type="expression" dxfId="1" priority="2">
      <formula>TRUE</formula>
    </cfRule>
  </conditionalFormatting>
  <conditionalFormatting sqref="F7">
    <cfRule type="expression" dxfId="0" priority="1">
      <formula>TRUE</formula>
    </cfRule>
  </conditionalFormatting>
  <dataValidations count="6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C10:D19" xr:uid="{9C6F997D-97CE-4132-8530-CAF4C9845CE5}">
      <formula1>"TUB 3 KG,TUB 7 KG, GARRAFA 5 L, AGUA 6 L"</formula1>
    </dataValidation>
    <dataValidation type="list" allowBlank="1" showInputMessage="1" showErrorMessage="1" sqref="B19 B10:B17" xr:uid="{29AB9CC8-2ECA-4BE0-AF3A-2B1AFD8FCB10}">
      <formula1>INDIRECT("Tabla_Supermercados[EMPRESA]")</formula1>
    </dataValidation>
  </dataValidations>
  <pageMargins left="0.7" right="0.7" top="0.75" bottom="0.75" header="0.3" footer="0.3"/>
  <pageSetup paperSize="9" orientation="portrait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55" t="s">
        <v>146</v>
      </c>
      <c r="C3" s="155"/>
      <c r="D3" s="155"/>
      <c r="E3" s="155"/>
      <c r="F3" s="155"/>
      <c r="G3" s="155"/>
      <c r="H3" s="155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61">
        <v>0.25</v>
      </c>
      <c r="F2" s="162"/>
      <c r="G2" s="163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72" t="s">
        <v>5</v>
      </c>
      <c r="C4" s="173"/>
      <c r="D4" s="173"/>
      <c r="E4" s="173"/>
      <c r="F4" s="173"/>
      <c r="G4" s="174"/>
    </row>
    <row r="5" spans="2:7" x14ac:dyDescent="0.25">
      <c r="B5" s="31" t="s">
        <v>6</v>
      </c>
      <c r="C5" s="172" t="s">
        <v>7</v>
      </c>
      <c r="D5" s="174"/>
      <c r="E5" s="172" t="s">
        <v>0</v>
      </c>
      <c r="F5" s="173"/>
      <c r="G5" s="174"/>
    </row>
    <row r="6" spans="2:7" s="1" customFormat="1" ht="38.25" x14ac:dyDescent="0.25">
      <c r="B6" s="19" t="s">
        <v>334</v>
      </c>
      <c r="C6" s="156" t="s">
        <v>358</v>
      </c>
      <c r="D6" s="157"/>
      <c r="E6" s="164" t="s">
        <v>334</v>
      </c>
      <c r="F6" s="165"/>
      <c r="G6" s="166"/>
    </row>
    <row r="7" spans="2:7" s="1" customFormat="1" ht="21" customHeight="1" x14ac:dyDescent="0.25">
      <c r="B7" s="10" t="s">
        <v>240</v>
      </c>
      <c r="C7" s="175" t="s">
        <v>359</v>
      </c>
      <c r="D7" s="176"/>
      <c r="E7" s="158" t="s">
        <v>241</v>
      </c>
      <c r="F7" s="159"/>
      <c r="G7" s="160"/>
    </row>
    <row r="8" spans="2:7" s="1" customFormat="1" ht="24" customHeight="1" x14ac:dyDescent="0.25">
      <c r="B8" s="10" t="s">
        <v>240</v>
      </c>
      <c r="C8" s="175" t="s">
        <v>360</v>
      </c>
      <c r="D8" s="176"/>
      <c r="E8" s="158" t="s">
        <v>242</v>
      </c>
      <c r="F8" s="159"/>
      <c r="G8" s="160"/>
    </row>
    <row r="9" spans="2:7" s="1" customFormat="1" ht="24" customHeight="1" x14ac:dyDescent="0.25">
      <c r="B9" s="10" t="s">
        <v>251</v>
      </c>
      <c r="C9" s="156" t="s">
        <v>361</v>
      </c>
      <c r="D9" s="157"/>
      <c r="E9" s="158" t="s">
        <v>367</v>
      </c>
      <c r="F9" s="159"/>
      <c r="G9" s="160"/>
    </row>
    <row r="10" spans="2:7" s="1" customFormat="1" ht="24" hidden="1" customHeight="1" x14ac:dyDescent="0.25">
      <c r="B10" s="10" t="s">
        <v>251</v>
      </c>
      <c r="C10" s="156" t="s">
        <v>335</v>
      </c>
      <c r="D10" s="157"/>
      <c r="E10" s="158" t="s">
        <v>251</v>
      </c>
      <c r="F10" s="159"/>
      <c r="G10" s="160"/>
    </row>
    <row r="11" spans="2:7" s="1" customFormat="1" ht="24" customHeight="1" x14ac:dyDescent="0.25">
      <c r="B11" s="10" t="s">
        <v>251</v>
      </c>
      <c r="C11" s="156" t="s">
        <v>354</v>
      </c>
      <c r="D11" s="157"/>
      <c r="E11" s="158" t="s">
        <v>368</v>
      </c>
      <c r="F11" s="159"/>
      <c r="G11" s="160"/>
    </row>
    <row r="12" spans="2:7" s="1" customFormat="1" ht="24" customHeight="1" x14ac:dyDescent="0.25">
      <c r="B12" s="10" t="s">
        <v>252</v>
      </c>
      <c r="C12" s="156" t="s">
        <v>362</v>
      </c>
      <c r="D12" s="157"/>
      <c r="E12" s="158" t="s">
        <v>369</v>
      </c>
      <c r="F12" s="159"/>
      <c r="G12" s="160"/>
    </row>
    <row r="13" spans="2:7" s="1" customFormat="1" ht="21.75" hidden="1" customHeight="1" x14ac:dyDescent="0.25">
      <c r="B13" s="19" t="s">
        <v>312</v>
      </c>
      <c r="C13" s="156" t="s">
        <v>333</v>
      </c>
      <c r="D13" s="157"/>
      <c r="E13" s="164" t="s">
        <v>313</v>
      </c>
      <c r="F13" s="165"/>
      <c r="G13" s="166"/>
    </row>
    <row r="14" spans="2:7" s="1" customFormat="1" ht="53.25" customHeight="1" x14ac:dyDescent="0.25">
      <c r="B14" s="10" t="s">
        <v>230</v>
      </c>
      <c r="C14" s="156" t="s">
        <v>33</v>
      </c>
      <c r="D14" s="157"/>
      <c r="E14" s="158" t="s">
        <v>319</v>
      </c>
      <c r="F14" s="159"/>
      <c r="G14" s="160"/>
    </row>
    <row r="15" spans="2:7" s="1" customFormat="1" ht="48.75" customHeight="1" x14ac:dyDescent="0.25">
      <c r="B15" s="10" t="s">
        <v>230</v>
      </c>
      <c r="C15" s="156" t="s">
        <v>359</v>
      </c>
      <c r="D15" s="157"/>
      <c r="E15" s="158" t="s">
        <v>233</v>
      </c>
      <c r="F15" s="159"/>
      <c r="G15" s="160"/>
    </row>
    <row r="16" spans="2:7" s="1" customFormat="1" ht="48.75" customHeight="1" x14ac:dyDescent="0.25">
      <c r="B16" s="10" t="s">
        <v>230</v>
      </c>
      <c r="C16" s="156" t="s">
        <v>364</v>
      </c>
      <c r="D16" s="157"/>
      <c r="E16" s="158" t="s">
        <v>365</v>
      </c>
      <c r="F16" s="159"/>
      <c r="G16" s="160"/>
    </row>
    <row r="17" spans="1:7" s="1" customFormat="1" ht="36.75" hidden="1" customHeight="1" x14ac:dyDescent="0.25">
      <c r="B17" s="10" t="s">
        <v>230</v>
      </c>
      <c r="C17" s="156" t="s">
        <v>336</v>
      </c>
      <c r="D17" s="157"/>
      <c r="E17" s="158" t="s">
        <v>234</v>
      </c>
      <c r="F17" s="159"/>
      <c r="G17" s="160"/>
    </row>
    <row r="18" spans="1:7" s="1" customFormat="1" ht="40.5" customHeight="1" x14ac:dyDescent="0.25">
      <c r="B18" s="10" t="s">
        <v>230</v>
      </c>
      <c r="C18" s="156" t="s">
        <v>267</v>
      </c>
      <c r="D18" s="157"/>
      <c r="E18" s="158" t="s">
        <v>231</v>
      </c>
      <c r="F18" s="159"/>
      <c r="G18" s="160"/>
    </row>
    <row r="19" spans="1:7" s="1" customFormat="1" ht="40.5" customHeight="1" x14ac:dyDescent="0.25">
      <c r="B19" s="10" t="s">
        <v>366</v>
      </c>
      <c r="C19" s="182" t="s">
        <v>33</v>
      </c>
      <c r="D19" s="183"/>
      <c r="E19" s="158" t="s">
        <v>370</v>
      </c>
      <c r="F19" s="159"/>
      <c r="G19" s="160"/>
    </row>
    <row r="20" spans="1:7" ht="50.25" customHeight="1" x14ac:dyDescent="0.25">
      <c r="A20" s="57"/>
      <c r="B20" s="177" t="s">
        <v>363</v>
      </c>
      <c r="C20" s="178"/>
      <c r="D20" s="178"/>
      <c r="E20" s="178"/>
      <c r="F20" s="178"/>
      <c r="G20" s="179"/>
    </row>
    <row r="21" spans="1:7" ht="43.5" customHeight="1" x14ac:dyDescent="0.3">
      <c r="B21" s="180" t="s">
        <v>371</v>
      </c>
      <c r="C21" s="181"/>
      <c r="D21" s="181"/>
      <c r="E21" s="181"/>
      <c r="F21" s="181"/>
      <c r="G21" s="181"/>
    </row>
    <row r="22" spans="1:7" ht="25.5" customHeight="1" x14ac:dyDescent="0.25"/>
    <row r="23" spans="1:7" ht="25.5" customHeight="1" x14ac:dyDescent="0.25">
      <c r="B23" s="19" t="s">
        <v>24</v>
      </c>
      <c r="C23" s="167" t="s">
        <v>201</v>
      </c>
      <c r="D23" s="168"/>
      <c r="E23" s="169" t="s">
        <v>24</v>
      </c>
      <c r="F23" s="170"/>
      <c r="G23" s="171"/>
    </row>
    <row r="24" spans="1:7" ht="25.5" x14ac:dyDescent="0.25">
      <c r="B24" s="19" t="s">
        <v>312</v>
      </c>
      <c r="C24" s="156" t="s">
        <v>314</v>
      </c>
      <c r="D24" s="157"/>
      <c r="E24" s="169" t="s">
        <v>315</v>
      </c>
      <c r="F24" s="170"/>
      <c r="G24" s="171"/>
    </row>
    <row r="28" spans="1:7" ht="51" customHeight="1" x14ac:dyDescent="0.25">
      <c r="B28" s="10" t="s">
        <v>230</v>
      </c>
      <c r="C28" s="156" t="s">
        <v>232</v>
      </c>
      <c r="D28" s="157"/>
      <c r="E28" s="158" t="s">
        <v>231</v>
      </c>
      <c r="F28" s="159"/>
      <c r="G28" s="160"/>
    </row>
    <row r="29" spans="1:7" ht="51" customHeight="1" x14ac:dyDescent="0.25">
      <c r="B29" s="10" t="s">
        <v>230</v>
      </c>
      <c r="C29" s="156" t="s">
        <v>232</v>
      </c>
      <c r="D29" s="157"/>
      <c r="E29" s="158" t="s">
        <v>233</v>
      </c>
      <c r="F29" s="159"/>
      <c r="G29" s="160"/>
    </row>
    <row r="30" spans="1:7" ht="51" customHeight="1" x14ac:dyDescent="0.25">
      <c r="B30" s="10" t="s">
        <v>230</v>
      </c>
      <c r="C30" s="156" t="s">
        <v>207</v>
      </c>
      <c r="D30" s="157"/>
      <c r="E30" s="158" t="s">
        <v>234</v>
      </c>
      <c r="F30" s="159"/>
      <c r="G30" s="160"/>
    </row>
    <row r="31" spans="1:7" ht="51" customHeight="1" x14ac:dyDescent="0.25">
      <c r="B31" s="10" t="s">
        <v>230</v>
      </c>
      <c r="C31" s="156" t="s">
        <v>232</v>
      </c>
      <c r="D31" s="157"/>
      <c r="E31" s="158" t="s">
        <v>235</v>
      </c>
      <c r="F31" s="159"/>
      <c r="G31" s="160"/>
    </row>
    <row r="32" spans="1:7" ht="51" customHeight="1" x14ac:dyDescent="0.25">
      <c r="B32" s="10" t="s">
        <v>230</v>
      </c>
      <c r="C32" s="156" t="s">
        <v>232</v>
      </c>
      <c r="D32" s="157"/>
      <c r="E32" s="158" t="s">
        <v>245</v>
      </c>
      <c r="F32" s="159"/>
      <c r="G32" s="160"/>
    </row>
    <row r="33" spans="2:7" ht="51" customHeight="1" x14ac:dyDescent="0.25">
      <c r="B33" s="10" t="s">
        <v>230</v>
      </c>
      <c r="C33" s="156" t="s">
        <v>232</v>
      </c>
      <c r="D33" s="157"/>
      <c r="E33" s="158" t="s">
        <v>236</v>
      </c>
      <c r="F33" s="159"/>
      <c r="G33" s="160"/>
    </row>
    <row r="34" spans="2:7" ht="25.5" x14ac:dyDescent="0.25">
      <c r="B34" s="19" t="s">
        <v>24</v>
      </c>
      <c r="C34" s="156" t="s">
        <v>191</v>
      </c>
      <c r="D34" s="157"/>
      <c r="E34" s="164" t="s">
        <v>24</v>
      </c>
      <c r="F34" s="165"/>
      <c r="G34" s="166"/>
    </row>
    <row r="40" spans="2:7" x14ac:dyDescent="0.25">
      <c r="B40" s="33" t="s">
        <v>11</v>
      </c>
      <c r="C40" s="16"/>
      <c r="D40" s="27" t="s">
        <v>2</v>
      </c>
      <c r="E40" s="161"/>
      <c r="F40" s="162"/>
      <c r="G40" s="163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72" t="s">
        <v>5</v>
      </c>
      <c r="C42" s="173"/>
      <c r="D42" s="173"/>
      <c r="E42" s="173"/>
      <c r="F42" s="173"/>
      <c r="G42" s="174"/>
    </row>
    <row r="43" spans="2:7" x14ac:dyDescent="0.25">
      <c r="B43" s="31" t="s">
        <v>6</v>
      </c>
      <c r="C43" s="172" t="s">
        <v>7</v>
      </c>
      <c r="D43" s="174"/>
      <c r="E43" s="172" t="s">
        <v>0</v>
      </c>
      <c r="F43" s="173"/>
      <c r="G43" s="174"/>
    </row>
    <row r="44" spans="2:7" ht="27" customHeight="1" x14ac:dyDescent="0.25">
      <c r="B44" s="10"/>
      <c r="C44" s="156"/>
      <c r="D44" s="157"/>
      <c r="E44" s="158"/>
      <c r="F44" s="159"/>
      <c r="G44" s="160"/>
    </row>
    <row r="45" spans="2:7" x14ac:dyDescent="0.25">
      <c r="B45" s="19"/>
      <c r="C45" s="167"/>
      <c r="D45" s="168"/>
      <c r="E45" s="169"/>
      <c r="F45" s="170"/>
      <c r="G45" s="171"/>
    </row>
    <row r="49" spans="2:7" x14ac:dyDescent="0.25">
      <c r="B49" s="33" t="s">
        <v>11</v>
      </c>
      <c r="C49" s="16"/>
      <c r="D49" s="27" t="s">
        <v>2</v>
      </c>
      <c r="E49" s="161"/>
      <c r="F49" s="162"/>
      <c r="G49" s="163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72" t="s">
        <v>5</v>
      </c>
      <c r="C51" s="173"/>
      <c r="D51" s="173"/>
      <c r="E51" s="173"/>
      <c r="F51" s="173"/>
      <c r="G51" s="174"/>
    </row>
    <row r="52" spans="2:7" x14ac:dyDescent="0.25">
      <c r="B52" s="31" t="s">
        <v>6</v>
      </c>
      <c r="C52" s="172" t="s">
        <v>7</v>
      </c>
      <c r="D52" s="174"/>
      <c r="E52" s="172" t="s">
        <v>0</v>
      </c>
      <c r="F52" s="173"/>
      <c r="G52" s="174"/>
    </row>
    <row r="53" spans="2:7" x14ac:dyDescent="0.25">
      <c r="B53" s="19"/>
      <c r="C53" s="167"/>
      <c r="D53" s="168"/>
      <c r="E53" s="169"/>
      <c r="F53" s="170"/>
      <c r="G53" s="171"/>
    </row>
    <row r="54" spans="2:7" x14ac:dyDescent="0.25">
      <c r="B54" s="19"/>
      <c r="C54" s="167"/>
      <c r="D54" s="168"/>
      <c r="E54" s="169"/>
      <c r="F54" s="170"/>
      <c r="G54" s="171"/>
    </row>
  </sheetData>
  <mergeCells count="68">
    <mergeCell ref="C11:D11"/>
    <mergeCell ref="E11:G11"/>
    <mergeCell ref="C19:D19"/>
    <mergeCell ref="E19:G19"/>
    <mergeCell ref="C18:D18"/>
    <mergeCell ref="E18:G18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B51:G51"/>
    <mergeCell ref="C43:D43"/>
    <mergeCell ref="E43:G43"/>
    <mergeCell ref="B42:G42"/>
    <mergeCell ref="E40:G40"/>
    <mergeCell ref="C44:D44"/>
    <mergeCell ref="E44:G44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</mergeCells>
  <pageMargins left="0.7" right="0.7" top="0.75" bottom="0.75" header="0.3" footer="0.3"/>
  <pageSetup paperSize="9" orientation="portrait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206" t="s">
        <v>2</v>
      </c>
      <c r="E3" s="206"/>
      <c r="F3" s="194">
        <v>0.125</v>
      </c>
      <c r="G3" s="194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205" t="s">
        <v>5</v>
      </c>
      <c r="C5" s="205"/>
      <c r="D5" s="205"/>
      <c r="E5" s="205"/>
      <c r="F5" s="205"/>
      <c r="G5" s="205"/>
    </row>
    <row r="6" spans="2:7" x14ac:dyDescent="0.25">
      <c r="B6" s="29" t="s">
        <v>6</v>
      </c>
      <c r="C6" s="205" t="s">
        <v>7</v>
      </c>
      <c r="D6" s="205"/>
      <c r="E6" s="29" t="s">
        <v>8</v>
      </c>
      <c r="F6" s="205" t="s">
        <v>9</v>
      </c>
      <c r="G6" s="205"/>
    </row>
    <row r="7" spans="2:7" ht="27.75" customHeight="1" x14ac:dyDescent="0.25">
      <c r="B7" s="10" t="s">
        <v>225</v>
      </c>
      <c r="C7" s="184" t="s">
        <v>229</v>
      </c>
      <c r="D7" s="184"/>
      <c r="E7" s="25" t="s">
        <v>0</v>
      </c>
      <c r="F7" s="185" t="s">
        <v>225</v>
      </c>
      <c r="G7" s="186"/>
    </row>
    <row r="8" spans="2:7" ht="27.75" customHeight="1" x14ac:dyDescent="0.25">
      <c r="B8" s="10" t="s">
        <v>228</v>
      </c>
      <c r="C8" s="184" t="s">
        <v>205</v>
      </c>
      <c r="D8" s="184"/>
      <c r="E8" s="25" t="s">
        <v>0</v>
      </c>
      <c r="F8" s="185" t="s">
        <v>228</v>
      </c>
      <c r="G8" s="186"/>
    </row>
    <row r="9" spans="2:7" ht="32.25" customHeight="1" x14ac:dyDescent="0.25">
      <c r="B9" s="10" t="s">
        <v>224</v>
      </c>
      <c r="C9" s="184" t="s">
        <v>178</v>
      </c>
      <c r="D9" s="184"/>
      <c r="E9" s="25" t="s">
        <v>0</v>
      </c>
      <c r="F9" s="185" t="s">
        <v>224</v>
      </c>
      <c r="G9" s="186"/>
    </row>
    <row r="10" spans="2:7" ht="32.25" customHeight="1" x14ac:dyDescent="0.25">
      <c r="B10" s="10" t="s">
        <v>227</v>
      </c>
      <c r="C10" s="184" t="s">
        <v>178</v>
      </c>
      <c r="D10" s="184"/>
      <c r="E10" s="25" t="s">
        <v>0</v>
      </c>
      <c r="F10" s="185" t="s">
        <v>227</v>
      </c>
      <c r="G10" s="186"/>
    </row>
    <row r="11" spans="2:7" ht="32.25" customHeight="1" x14ac:dyDescent="0.25">
      <c r="B11" s="5" t="s">
        <v>286</v>
      </c>
      <c r="C11" s="190" t="s">
        <v>201</v>
      </c>
      <c r="D11" s="191"/>
      <c r="E11" s="48" t="s">
        <v>109</v>
      </c>
      <c r="F11" s="189" t="s">
        <v>287</v>
      </c>
      <c r="G11" s="189"/>
    </row>
    <row r="12" spans="2:7" ht="38.25" customHeight="1" x14ac:dyDescent="0.25">
      <c r="B12" s="5" t="s">
        <v>323</v>
      </c>
      <c r="C12" s="187" t="s">
        <v>324</v>
      </c>
      <c r="D12" s="188"/>
      <c r="E12" s="48">
        <v>6000</v>
      </c>
      <c r="F12" s="189" t="s">
        <v>114</v>
      </c>
      <c r="G12" s="189"/>
    </row>
    <row r="13" spans="2:7" ht="38.25" customHeight="1" x14ac:dyDescent="0.25">
      <c r="B13" s="5" t="s">
        <v>297</v>
      </c>
      <c r="C13" s="187" t="s">
        <v>322</v>
      </c>
      <c r="D13" s="188"/>
      <c r="E13" s="48">
        <v>6300</v>
      </c>
      <c r="F13" s="189" t="s">
        <v>114</v>
      </c>
      <c r="G13" s="189"/>
    </row>
    <row r="14" spans="2:7" ht="38.25" customHeight="1" x14ac:dyDescent="0.25">
      <c r="B14" s="5" t="s">
        <v>325</v>
      </c>
      <c r="C14" s="207" t="s">
        <v>326</v>
      </c>
      <c r="D14" s="208"/>
      <c r="E14" s="6">
        <v>11000</v>
      </c>
      <c r="F14" s="210" t="s">
        <v>10</v>
      </c>
      <c r="G14" s="211"/>
    </row>
    <row r="15" spans="2:7" ht="38.25" customHeight="1" x14ac:dyDescent="0.25">
      <c r="B15" s="5" t="s">
        <v>325</v>
      </c>
      <c r="C15" s="209" t="s">
        <v>327</v>
      </c>
      <c r="D15" s="209"/>
      <c r="E15" s="6">
        <v>6300</v>
      </c>
      <c r="F15" s="210" t="s">
        <v>10</v>
      </c>
      <c r="G15" s="211"/>
    </row>
    <row r="16" spans="2:7" ht="38.25" customHeight="1" x14ac:dyDescent="0.25">
      <c r="B16" s="5" t="s">
        <v>325</v>
      </c>
      <c r="C16" s="207" t="s">
        <v>191</v>
      </c>
      <c r="D16" s="208"/>
      <c r="E16" s="6">
        <v>7000</v>
      </c>
      <c r="F16" s="210" t="s">
        <v>10</v>
      </c>
      <c r="G16" s="211"/>
    </row>
    <row r="17" spans="2:7" ht="38.25" customHeight="1" x14ac:dyDescent="0.25">
      <c r="B17" s="5" t="s">
        <v>325</v>
      </c>
      <c r="C17" s="207" t="s">
        <v>306</v>
      </c>
      <c r="D17" s="208"/>
      <c r="E17" s="6">
        <v>6300</v>
      </c>
      <c r="F17" s="210" t="s">
        <v>10</v>
      </c>
      <c r="G17" s="211"/>
    </row>
    <row r="18" spans="2:7" ht="38.25" customHeight="1" x14ac:dyDescent="0.25">
      <c r="B18" s="5" t="s">
        <v>325</v>
      </c>
      <c r="C18" s="190" t="s">
        <v>328</v>
      </c>
      <c r="D18" s="191"/>
      <c r="E18" s="6">
        <v>2600</v>
      </c>
      <c r="F18" s="210" t="s">
        <v>10</v>
      </c>
      <c r="G18" s="211"/>
    </row>
    <row r="21" spans="2:7" x14ac:dyDescent="0.25">
      <c r="B21" s="42" t="s">
        <v>1</v>
      </c>
      <c r="C21" s="20">
        <v>45882</v>
      </c>
      <c r="D21" s="206" t="s">
        <v>2</v>
      </c>
      <c r="E21" s="206"/>
      <c r="F21" s="204">
        <v>0.29166666666666669</v>
      </c>
      <c r="G21" s="204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205" t="s">
        <v>5</v>
      </c>
      <c r="C23" s="205"/>
      <c r="D23" s="205"/>
      <c r="E23" s="205"/>
      <c r="F23" s="205"/>
      <c r="G23" s="205"/>
    </row>
    <row r="24" spans="2:7" x14ac:dyDescent="0.25">
      <c r="B24" s="29" t="s">
        <v>6</v>
      </c>
      <c r="C24" s="205" t="s">
        <v>7</v>
      </c>
      <c r="D24" s="205"/>
      <c r="E24" s="29" t="s">
        <v>8</v>
      </c>
      <c r="F24" s="205" t="s">
        <v>9</v>
      </c>
      <c r="G24" s="205"/>
    </row>
    <row r="25" spans="2:7" ht="36" customHeight="1" x14ac:dyDescent="0.25">
      <c r="B25" s="7" t="s">
        <v>179</v>
      </c>
      <c r="C25" s="184" t="s">
        <v>178</v>
      </c>
      <c r="D25" s="184"/>
      <c r="E25" s="25" t="s">
        <v>0</v>
      </c>
      <c r="F25" s="185" t="s">
        <v>181</v>
      </c>
      <c r="G25" s="186"/>
    </row>
    <row r="26" spans="2:7" ht="36.75" customHeight="1" x14ac:dyDescent="0.25">
      <c r="B26" s="7" t="s">
        <v>180</v>
      </c>
      <c r="C26" s="184" t="s">
        <v>178</v>
      </c>
      <c r="D26" s="184"/>
      <c r="E26" s="25" t="s">
        <v>0</v>
      </c>
      <c r="F26" s="185" t="s">
        <v>181</v>
      </c>
      <c r="G26" s="186"/>
    </row>
    <row r="27" spans="2:7" x14ac:dyDescent="0.25">
      <c r="B27" s="7"/>
      <c r="C27" s="184"/>
      <c r="D27" s="184"/>
      <c r="E27" s="25"/>
      <c r="F27" s="185"/>
      <c r="G27" s="186"/>
    </row>
    <row r="28" spans="2:7" x14ac:dyDescent="0.25">
      <c r="B28" s="7"/>
      <c r="C28" s="192"/>
      <c r="D28" s="193"/>
      <c r="E28" s="25"/>
      <c r="F28" s="185"/>
      <c r="G28" s="186"/>
    </row>
    <row r="29" spans="2:7" x14ac:dyDescent="0.25">
      <c r="B29" s="7"/>
      <c r="C29" s="192"/>
      <c r="D29" s="193"/>
      <c r="E29" s="25"/>
      <c r="F29" s="185"/>
      <c r="G29" s="186"/>
    </row>
    <row r="32" spans="2:7" x14ac:dyDescent="0.25">
      <c r="B32" s="42" t="s">
        <v>1</v>
      </c>
      <c r="C32" s="20">
        <v>45884</v>
      </c>
      <c r="D32" s="206" t="s">
        <v>2</v>
      </c>
      <c r="E32" s="206"/>
      <c r="F32" s="204">
        <v>0.27083333333333331</v>
      </c>
      <c r="G32" s="204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205" t="s">
        <v>5</v>
      </c>
      <c r="C34" s="205"/>
      <c r="D34" s="205"/>
      <c r="E34" s="205"/>
      <c r="F34" s="205"/>
      <c r="G34" s="205"/>
    </row>
    <row r="35" spans="2:7" x14ac:dyDescent="0.25">
      <c r="B35" s="29" t="s">
        <v>6</v>
      </c>
      <c r="C35" s="205" t="s">
        <v>7</v>
      </c>
      <c r="D35" s="205"/>
      <c r="E35" s="29" t="s">
        <v>8</v>
      </c>
      <c r="F35" s="205" t="s">
        <v>9</v>
      </c>
      <c r="G35" s="205"/>
    </row>
    <row r="36" spans="2:7" ht="25.5" x14ac:dyDescent="0.25">
      <c r="B36" s="7" t="s">
        <v>349</v>
      </c>
      <c r="C36" s="184" t="s">
        <v>263</v>
      </c>
      <c r="D36" s="184"/>
      <c r="E36" s="25" t="s">
        <v>0</v>
      </c>
      <c r="F36" s="185" t="s">
        <v>181</v>
      </c>
      <c r="G36" s="186"/>
    </row>
    <row r="37" spans="2:7" ht="25.5" x14ac:dyDescent="0.25">
      <c r="B37" s="7" t="s">
        <v>350</v>
      </c>
      <c r="C37" s="184" t="s">
        <v>178</v>
      </c>
      <c r="D37" s="184"/>
      <c r="E37" s="25" t="s">
        <v>0</v>
      </c>
      <c r="F37" s="185" t="s">
        <v>181</v>
      </c>
      <c r="G37" s="186"/>
    </row>
    <row r="38" spans="2:7" x14ac:dyDescent="0.25">
      <c r="B38" s="7" t="s">
        <v>351</v>
      </c>
      <c r="C38" s="184" t="s">
        <v>352</v>
      </c>
      <c r="D38" s="184"/>
      <c r="E38" s="25">
        <v>3500</v>
      </c>
      <c r="F38" s="185" t="s">
        <v>10</v>
      </c>
      <c r="G38" s="186"/>
    </row>
    <row r="39" spans="2:7" hidden="1" x14ac:dyDescent="0.25">
      <c r="B39" s="7"/>
      <c r="C39" s="192"/>
      <c r="D39" s="193"/>
      <c r="E39" s="25"/>
      <c r="F39" s="185"/>
      <c r="G39" s="186"/>
    </row>
    <row r="40" spans="2:7" hidden="1" x14ac:dyDescent="0.25">
      <c r="B40" s="7"/>
      <c r="C40" s="192"/>
      <c r="D40" s="193"/>
      <c r="E40" s="25"/>
      <c r="F40" s="185"/>
      <c r="G40" s="186"/>
    </row>
    <row r="48" spans="2:7" x14ac:dyDescent="0.25">
      <c r="B48" s="42" t="s">
        <v>1</v>
      </c>
      <c r="C48" s="20">
        <v>45904</v>
      </c>
      <c r="D48" s="206" t="s">
        <v>2</v>
      </c>
      <c r="E48" s="206"/>
      <c r="F48" s="194">
        <v>0.58333333333333337</v>
      </c>
      <c r="G48" s="194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205" t="s">
        <v>5</v>
      </c>
      <c r="C50" s="205"/>
      <c r="D50" s="205"/>
      <c r="E50" s="205"/>
      <c r="F50" s="205"/>
      <c r="G50" s="205"/>
    </row>
    <row r="51" spans="2:7" x14ac:dyDescent="0.25">
      <c r="B51" s="29" t="s">
        <v>6</v>
      </c>
      <c r="C51" s="205" t="s">
        <v>7</v>
      </c>
      <c r="D51" s="205"/>
      <c r="E51" s="29" t="s">
        <v>8</v>
      </c>
      <c r="F51" s="205" t="s">
        <v>9</v>
      </c>
      <c r="G51" s="205"/>
    </row>
    <row r="52" spans="2:7" ht="39" customHeight="1" x14ac:dyDescent="0.25">
      <c r="B52" s="7" t="s">
        <v>193</v>
      </c>
      <c r="C52" s="184" t="s">
        <v>356</v>
      </c>
      <c r="D52" s="184"/>
      <c r="E52" s="25" t="s">
        <v>0</v>
      </c>
      <c r="F52" s="185" t="s">
        <v>193</v>
      </c>
      <c r="G52" s="186"/>
    </row>
    <row r="53" spans="2:7" ht="25.5" x14ac:dyDescent="0.25">
      <c r="B53" s="7" t="s">
        <v>194</v>
      </c>
      <c r="C53" s="184" t="s">
        <v>355</v>
      </c>
      <c r="D53" s="184"/>
      <c r="E53" s="25" t="s">
        <v>0</v>
      </c>
      <c r="F53" s="185" t="s">
        <v>181</v>
      </c>
      <c r="G53" s="186"/>
    </row>
    <row r="56" spans="2:7" x14ac:dyDescent="0.25">
      <c r="B56" s="203" t="s">
        <v>193</v>
      </c>
      <c r="C56" s="195" t="s">
        <v>182</v>
      </c>
      <c r="D56" s="196"/>
      <c r="E56" s="197"/>
    </row>
    <row r="57" spans="2:7" ht="30" x14ac:dyDescent="0.25">
      <c r="B57" s="203"/>
      <c r="C57" s="38" t="s">
        <v>183</v>
      </c>
      <c r="D57" s="53" t="s">
        <v>185</v>
      </c>
      <c r="E57" s="53" t="s">
        <v>186</v>
      </c>
    </row>
    <row r="58" spans="2:7" x14ac:dyDescent="0.25">
      <c r="B58" s="203"/>
      <c r="C58" s="38" t="s">
        <v>183</v>
      </c>
      <c r="D58" s="40">
        <v>2</v>
      </c>
      <c r="E58" s="40">
        <v>5</v>
      </c>
    </row>
    <row r="59" spans="2:7" x14ac:dyDescent="0.25">
      <c r="B59" s="203"/>
      <c r="C59" s="38" t="s">
        <v>183</v>
      </c>
      <c r="D59" s="40">
        <v>3</v>
      </c>
      <c r="E59" s="40">
        <v>5</v>
      </c>
    </row>
    <row r="60" spans="2:7" x14ac:dyDescent="0.25">
      <c r="B60" s="203"/>
      <c r="C60" s="38" t="s">
        <v>183</v>
      </c>
      <c r="D60" s="40">
        <v>4</v>
      </c>
      <c r="E60" s="40">
        <v>6</v>
      </c>
    </row>
    <row r="61" spans="2:7" x14ac:dyDescent="0.25">
      <c r="B61" s="203"/>
      <c r="C61" s="38" t="s">
        <v>183</v>
      </c>
      <c r="D61" s="40">
        <v>16</v>
      </c>
      <c r="E61" s="40">
        <v>6</v>
      </c>
    </row>
    <row r="62" spans="2:7" ht="30" x14ac:dyDescent="0.25">
      <c r="B62" s="203"/>
      <c r="C62" s="53" t="s">
        <v>199</v>
      </c>
      <c r="D62" s="198">
        <v>4</v>
      </c>
      <c r="E62" s="199"/>
    </row>
    <row r="63" spans="2:7" ht="25.5" x14ac:dyDescent="0.25">
      <c r="B63" s="55" t="s">
        <v>194</v>
      </c>
      <c r="C63" s="38" t="s">
        <v>195</v>
      </c>
      <c r="D63" s="198">
        <v>5</v>
      </c>
      <c r="E63" s="199"/>
    </row>
    <row r="68" spans="2:7" x14ac:dyDescent="0.25">
      <c r="B68" s="200" t="s">
        <v>182</v>
      </c>
      <c r="C68" s="200"/>
      <c r="D68" s="200"/>
      <c r="E68" s="200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01" t="s">
        <v>193</v>
      </c>
      <c r="C95" s="202" t="s">
        <v>182</v>
      </c>
      <c r="D95" s="202"/>
      <c r="E95" s="202"/>
      <c r="F95" s="202"/>
    </row>
    <row r="96" spans="2:7" ht="30" x14ac:dyDescent="0.25">
      <c r="B96" s="201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01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01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01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01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01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84" t="s">
        <v>191</v>
      </c>
      <c r="D106" s="184"/>
      <c r="E106" s="25" t="s">
        <v>0</v>
      </c>
      <c r="F106" s="185" t="s">
        <v>0</v>
      </c>
      <c r="G106" s="186"/>
    </row>
    <row r="107" spans="2:7" ht="25.5" x14ac:dyDescent="0.25">
      <c r="B107" s="10" t="s">
        <v>224</v>
      </c>
      <c r="C107" s="184" t="s">
        <v>178</v>
      </c>
      <c r="D107" s="184"/>
      <c r="E107" s="25" t="s">
        <v>0</v>
      </c>
      <c r="F107" s="185" t="s">
        <v>0</v>
      </c>
      <c r="G107" s="186"/>
    </row>
    <row r="108" spans="2:7" ht="25.5" x14ac:dyDescent="0.25">
      <c r="B108" s="10" t="s">
        <v>225</v>
      </c>
      <c r="C108" s="184" t="s">
        <v>229</v>
      </c>
      <c r="D108" s="184"/>
      <c r="E108" s="25" t="s">
        <v>0</v>
      </c>
      <c r="F108" s="185" t="s">
        <v>0</v>
      </c>
      <c r="G108" s="186"/>
    </row>
    <row r="109" spans="2:7" ht="25.5" x14ac:dyDescent="0.25">
      <c r="B109" s="10" t="s">
        <v>226</v>
      </c>
      <c r="C109" s="184" t="s">
        <v>144</v>
      </c>
      <c r="D109" s="184"/>
      <c r="E109" s="25" t="s">
        <v>0</v>
      </c>
      <c r="F109" s="185" t="s">
        <v>0</v>
      </c>
      <c r="G109" s="186"/>
    </row>
    <row r="110" spans="2:7" ht="25.5" x14ac:dyDescent="0.25">
      <c r="B110" s="10" t="s">
        <v>227</v>
      </c>
      <c r="C110" s="184" t="s">
        <v>178</v>
      </c>
      <c r="D110" s="184"/>
      <c r="E110" s="25" t="s">
        <v>0</v>
      </c>
      <c r="F110" s="185" t="s">
        <v>0</v>
      </c>
      <c r="G110" s="186"/>
    </row>
    <row r="111" spans="2:7" ht="25.5" x14ac:dyDescent="0.25">
      <c r="B111" s="10" t="s">
        <v>228</v>
      </c>
      <c r="C111" s="184" t="s">
        <v>205</v>
      </c>
      <c r="D111" s="184"/>
      <c r="E111" s="25" t="s">
        <v>0</v>
      </c>
      <c r="F111" s="185" t="s">
        <v>0</v>
      </c>
      <c r="G111" s="186"/>
    </row>
  </sheetData>
  <mergeCells count="87"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  <mergeCell ref="D32:E32"/>
    <mergeCell ref="F32:G32"/>
    <mergeCell ref="B34:G34"/>
    <mergeCell ref="C35:D35"/>
    <mergeCell ref="F35:G35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</mergeCells>
  <pageMargins left="0.7" right="0.7" top="0.75" bottom="0.75" header="0.3" footer="0.3"/>
  <pageSetup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206" t="s">
        <v>2</v>
      </c>
      <c r="E3" s="206"/>
      <c r="F3" s="194"/>
      <c r="G3" s="194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205" t="s">
        <v>5</v>
      </c>
      <c r="C5" s="205"/>
      <c r="D5" s="205"/>
      <c r="E5" s="205"/>
      <c r="F5" s="205"/>
      <c r="G5" s="205"/>
    </row>
    <row r="6" spans="2:7" x14ac:dyDescent="0.25">
      <c r="B6" s="29" t="s">
        <v>6</v>
      </c>
      <c r="C6" s="205" t="s">
        <v>7</v>
      </c>
      <c r="D6" s="205"/>
      <c r="E6" s="29" t="s">
        <v>8</v>
      </c>
      <c r="F6" s="205" t="s">
        <v>9</v>
      </c>
      <c r="G6" s="205"/>
    </row>
    <row r="7" spans="2:7" ht="44.25" customHeight="1" x14ac:dyDescent="0.25">
      <c r="B7" s="5" t="s">
        <v>273</v>
      </c>
      <c r="C7" s="190" t="s">
        <v>250</v>
      </c>
      <c r="D7" s="191"/>
      <c r="E7" s="48" t="s">
        <v>109</v>
      </c>
      <c r="F7" s="212" t="s">
        <v>278</v>
      </c>
      <c r="G7" s="212"/>
    </row>
    <row r="8" spans="2:7" ht="39.75" customHeight="1" x14ac:dyDescent="0.25">
      <c r="B8" s="5" t="s">
        <v>273</v>
      </c>
      <c r="C8" s="190" t="s">
        <v>250</v>
      </c>
      <c r="D8" s="191"/>
      <c r="E8" s="48" t="s">
        <v>109</v>
      </c>
      <c r="F8" s="212" t="s">
        <v>277</v>
      </c>
      <c r="G8" s="212"/>
    </row>
    <row r="9" spans="2:7" ht="44.25" customHeight="1" x14ac:dyDescent="0.25">
      <c r="B9" s="5" t="s">
        <v>273</v>
      </c>
      <c r="C9" s="190" t="s">
        <v>280</v>
      </c>
      <c r="D9" s="191"/>
      <c r="E9" s="48" t="s">
        <v>109</v>
      </c>
      <c r="F9" s="212" t="s">
        <v>279</v>
      </c>
      <c r="G9" s="212"/>
    </row>
    <row r="10" spans="2:7" ht="50.25" customHeight="1" x14ac:dyDescent="0.25">
      <c r="B10" s="5" t="s">
        <v>273</v>
      </c>
      <c r="C10" s="190" t="s">
        <v>201</v>
      </c>
      <c r="D10" s="191"/>
      <c r="E10" s="48" t="s">
        <v>109</v>
      </c>
      <c r="F10" s="189" t="s">
        <v>206</v>
      </c>
      <c r="G10" s="189"/>
    </row>
    <row r="15" spans="2:7" x14ac:dyDescent="0.25">
      <c r="B15" s="200" t="s">
        <v>217</v>
      </c>
      <c r="C15" s="200"/>
      <c r="D15" s="200"/>
      <c r="E15" s="200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206" t="s">
        <v>2</v>
      </c>
      <c r="E44" s="206"/>
      <c r="F44" s="194"/>
      <c r="G44" s="194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205" t="s">
        <v>5</v>
      </c>
      <c r="C46" s="205"/>
      <c r="D46" s="205"/>
      <c r="E46" s="205"/>
      <c r="F46" s="205"/>
      <c r="G46" s="205"/>
    </row>
    <row r="47" spans="2:7" x14ac:dyDescent="0.25">
      <c r="B47" s="29" t="s">
        <v>6</v>
      </c>
      <c r="C47" s="205" t="s">
        <v>7</v>
      </c>
      <c r="D47" s="205"/>
      <c r="E47" s="29" t="s">
        <v>8</v>
      </c>
      <c r="F47" s="205" t="s">
        <v>9</v>
      </c>
      <c r="G47" s="205"/>
    </row>
    <row r="48" spans="2:7" ht="23.25" customHeight="1" x14ac:dyDescent="0.25">
      <c r="B48" s="5" t="s">
        <v>273</v>
      </c>
      <c r="C48" s="190" t="s">
        <v>250</v>
      </c>
      <c r="D48" s="191"/>
      <c r="E48" s="48" t="s">
        <v>109</v>
      </c>
      <c r="F48" s="212" t="s">
        <v>248</v>
      </c>
      <c r="G48" s="212"/>
    </row>
    <row r="49" spans="2:7" ht="26.25" customHeight="1" x14ac:dyDescent="0.25">
      <c r="B49" s="5" t="s">
        <v>273</v>
      </c>
      <c r="C49" s="190" t="s">
        <v>250</v>
      </c>
      <c r="D49" s="191"/>
      <c r="E49" s="48" t="s">
        <v>109</v>
      </c>
      <c r="F49" s="212" t="s">
        <v>249</v>
      </c>
      <c r="G49" s="212"/>
    </row>
    <row r="50" spans="2:7" x14ac:dyDescent="0.25">
      <c r="B50" s="5" t="s">
        <v>273</v>
      </c>
      <c r="C50" s="190" t="s">
        <v>20</v>
      </c>
      <c r="D50" s="191"/>
      <c r="E50" s="48" t="s">
        <v>109</v>
      </c>
      <c r="F50" s="189"/>
      <c r="G50" s="189"/>
    </row>
    <row r="51" spans="2:7" x14ac:dyDescent="0.25">
      <c r="B51" s="5" t="s">
        <v>273</v>
      </c>
      <c r="C51" s="190" t="s">
        <v>20</v>
      </c>
      <c r="D51" s="191"/>
      <c r="E51" s="48" t="s">
        <v>109</v>
      </c>
      <c r="F51" s="189"/>
      <c r="G51" s="189"/>
    </row>
    <row r="61" spans="2:7" ht="37.5" customHeight="1" x14ac:dyDescent="0.25">
      <c r="B61" s="5" t="s">
        <v>273</v>
      </c>
      <c r="C61" s="190" t="s">
        <v>250</v>
      </c>
      <c r="D61" s="191"/>
      <c r="E61" s="48" t="s">
        <v>109</v>
      </c>
      <c r="F61" s="212" t="s">
        <v>278</v>
      </c>
      <c r="G61" s="212"/>
    </row>
    <row r="62" spans="2:7" ht="37.5" customHeight="1" x14ac:dyDescent="0.25">
      <c r="B62" s="5" t="s">
        <v>273</v>
      </c>
      <c r="C62" s="190" t="s">
        <v>250</v>
      </c>
      <c r="D62" s="191"/>
      <c r="E62" s="48" t="s">
        <v>109</v>
      </c>
      <c r="F62" s="212" t="s">
        <v>277</v>
      </c>
      <c r="G62" s="212"/>
    </row>
    <row r="63" spans="2:7" ht="37.5" customHeight="1" x14ac:dyDescent="0.25">
      <c r="B63" s="5" t="s">
        <v>273</v>
      </c>
      <c r="C63" s="190" t="s">
        <v>280</v>
      </c>
      <c r="D63" s="191"/>
      <c r="E63" s="48" t="s">
        <v>109</v>
      </c>
      <c r="F63" s="212" t="s">
        <v>279</v>
      </c>
      <c r="G63" s="212"/>
    </row>
    <row r="64" spans="2:7" ht="45" customHeight="1" x14ac:dyDescent="0.25">
      <c r="B64" s="5" t="s">
        <v>276</v>
      </c>
      <c r="C64" s="190" t="s">
        <v>201</v>
      </c>
      <c r="D64" s="191"/>
      <c r="E64" s="48" t="s">
        <v>109</v>
      </c>
      <c r="F64" s="189" t="s">
        <v>281</v>
      </c>
      <c r="G64" s="189"/>
    </row>
    <row r="65" spans="2:7" ht="44.25" customHeight="1" x14ac:dyDescent="0.25">
      <c r="B65" s="5" t="s">
        <v>274</v>
      </c>
      <c r="C65" s="190" t="s">
        <v>201</v>
      </c>
      <c r="D65" s="191"/>
      <c r="E65" s="48" t="s">
        <v>109</v>
      </c>
      <c r="F65" s="189" t="s">
        <v>282</v>
      </c>
      <c r="G65" s="189"/>
    </row>
    <row r="66" spans="2:7" ht="44.25" customHeight="1" x14ac:dyDescent="0.25">
      <c r="B66" s="5" t="s">
        <v>275</v>
      </c>
      <c r="C66" s="190" t="s">
        <v>201</v>
      </c>
      <c r="D66" s="191"/>
      <c r="E66" s="48" t="s">
        <v>109</v>
      </c>
      <c r="F66" s="189" t="s">
        <v>283</v>
      </c>
      <c r="G66" s="189"/>
    </row>
    <row r="67" spans="2:7" ht="24.75" customHeight="1" x14ac:dyDescent="0.25">
      <c r="B67" s="5" t="s">
        <v>284</v>
      </c>
      <c r="C67" s="190" t="s">
        <v>229</v>
      </c>
      <c r="D67" s="191"/>
      <c r="E67" s="48" t="s">
        <v>109</v>
      </c>
      <c r="F67" s="189" t="s">
        <v>285</v>
      </c>
      <c r="G67" s="189"/>
    </row>
    <row r="68" spans="2:7" ht="25.5" x14ac:dyDescent="0.25">
      <c r="B68" s="5" t="s">
        <v>286</v>
      </c>
      <c r="C68" s="190" t="s">
        <v>201</v>
      </c>
      <c r="D68" s="191"/>
      <c r="E68" s="48" t="s">
        <v>109</v>
      </c>
      <c r="F68" s="189" t="s">
        <v>287</v>
      </c>
      <c r="G68" s="189"/>
    </row>
  </sheetData>
  <mergeCells count="43"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  <mergeCell ref="D44:E44"/>
    <mergeCell ref="F44:G44"/>
    <mergeCell ref="B46:G46"/>
    <mergeCell ref="C47:D47"/>
    <mergeCell ref="F47:G47"/>
    <mergeCell ref="C50:D50"/>
    <mergeCell ref="F50:G50"/>
    <mergeCell ref="C51:D51"/>
    <mergeCell ref="F51:G51"/>
    <mergeCell ref="C48:D48"/>
    <mergeCell ref="F48:G48"/>
    <mergeCell ref="C49:D49"/>
    <mergeCell ref="F49:G49"/>
    <mergeCell ref="C61:D61"/>
    <mergeCell ref="F61:G61"/>
    <mergeCell ref="C62:D62"/>
    <mergeCell ref="F62:G62"/>
    <mergeCell ref="C63:D63"/>
    <mergeCell ref="F63:G63"/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</mergeCells>
  <pageMargins left="0.7" right="0.7" top="0.75" bottom="0.75" header="0.3" footer="0.3"/>
  <pageSetup paperSize="9"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206" t="s">
        <v>2</v>
      </c>
      <c r="E3" s="206"/>
      <c r="F3" s="194">
        <v>0.33333333333333331</v>
      </c>
      <c r="G3" s="194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0" t="s">
        <v>5</v>
      </c>
      <c r="C5" s="221"/>
      <c r="D5" s="221"/>
      <c r="E5" s="221"/>
      <c r="F5" s="221"/>
      <c r="G5" s="222"/>
    </row>
    <row r="6" spans="2:7" x14ac:dyDescent="0.25">
      <c r="B6" s="29" t="s">
        <v>6</v>
      </c>
      <c r="C6" s="205" t="s">
        <v>7</v>
      </c>
      <c r="D6" s="205"/>
      <c r="E6" s="29" t="s">
        <v>8</v>
      </c>
      <c r="F6" s="205" t="s">
        <v>9</v>
      </c>
      <c r="G6" s="205"/>
    </row>
    <row r="7" spans="2:7" ht="26.25" x14ac:dyDescent="0.25">
      <c r="B7" s="24" t="s">
        <v>39</v>
      </c>
      <c r="C7" s="209" t="s">
        <v>137</v>
      </c>
      <c r="D7" s="209"/>
      <c r="E7" s="25">
        <v>8500</v>
      </c>
      <c r="F7" s="212" t="s">
        <v>40</v>
      </c>
      <c r="G7" s="212"/>
    </row>
    <row r="8" spans="2:7" ht="15" customHeight="1" x14ac:dyDescent="0.25">
      <c r="B8" s="7" t="s">
        <v>200</v>
      </c>
      <c r="C8" s="184" t="s">
        <v>266</v>
      </c>
      <c r="D8" s="184"/>
      <c r="E8" s="25">
        <v>6500</v>
      </c>
      <c r="F8" s="185" t="s">
        <v>10</v>
      </c>
      <c r="G8" s="186"/>
    </row>
    <row r="11" spans="2:7" x14ac:dyDescent="0.25">
      <c r="B11" s="28" t="s">
        <v>1</v>
      </c>
      <c r="C11" s="3"/>
      <c r="D11" s="224" t="s">
        <v>2</v>
      </c>
      <c r="E11" s="224"/>
      <c r="F11" s="223"/>
      <c r="G11" s="223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13" t="s">
        <v>5</v>
      </c>
      <c r="C13" s="213"/>
      <c r="D13" s="213"/>
      <c r="E13" s="213"/>
      <c r="F13" s="213"/>
      <c r="G13" s="213"/>
    </row>
    <row r="14" spans="2:7" x14ac:dyDescent="0.25">
      <c r="B14" s="18" t="s">
        <v>6</v>
      </c>
      <c r="C14" s="213" t="s">
        <v>7</v>
      </c>
      <c r="D14" s="213"/>
      <c r="E14" s="28" t="s">
        <v>8</v>
      </c>
      <c r="F14" s="213" t="s">
        <v>9</v>
      </c>
      <c r="G14" s="213"/>
    </row>
    <row r="15" spans="2:7" ht="25.5" x14ac:dyDescent="0.25">
      <c r="B15" s="5" t="s">
        <v>84</v>
      </c>
      <c r="C15" s="216" t="s">
        <v>85</v>
      </c>
      <c r="D15" s="216"/>
      <c r="E15" s="6">
        <v>17000</v>
      </c>
      <c r="F15" s="216" t="s">
        <v>10</v>
      </c>
      <c r="G15" s="216"/>
    </row>
    <row r="19" spans="2:7" x14ac:dyDescent="0.25">
      <c r="B19" s="33" t="s">
        <v>11</v>
      </c>
      <c r="C19" s="16">
        <v>45525</v>
      </c>
      <c r="D19" s="27" t="s">
        <v>2</v>
      </c>
      <c r="E19" s="219">
        <v>0.72916666666666663</v>
      </c>
      <c r="F19" s="219"/>
      <c r="G19" s="219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17" t="s">
        <v>5</v>
      </c>
      <c r="C21" s="217"/>
      <c r="D21" s="217"/>
      <c r="E21" s="217"/>
      <c r="F21" s="217"/>
      <c r="G21" s="217"/>
    </row>
    <row r="22" spans="2:7" x14ac:dyDescent="0.25">
      <c r="B22" s="31" t="s">
        <v>6</v>
      </c>
      <c r="C22" s="217" t="s">
        <v>7</v>
      </c>
      <c r="D22" s="217"/>
      <c r="E22" s="31" t="s">
        <v>21</v>
      </c>
      <c r="F22" s="213" t="s">
        <v>9</v>
      </c>
      <c r="G22" s="213"/>
    </row>
    <row r="23" spans="2:7" ht="25.5" x14ac:dyDescent="0.25">
      <c r="B23" s="7" t="s">
        <v>31</v>
      </c>
      <c r="C23" s="218" t="s">
        <v>104</v>
      </c>
      <c r="D23" s="218"/>
      <c r="E23" s="44" t="s">
        <v>106</v>
      </c>
      <c r="F23" s="214" t="s">
        <v>105</v>
      </c>
      <c r="G23" s="215"/>
    </row>
    <row r="24" spans="2:7" ht="25.5" x14ac:dyDescent="0.25">
      <c r="B24" s="7" t="s">
        <v>32</v>
      </c>
      <c r="C24" s="200" t="s">
        <v>33</v>
      </c>
      <c r="D24" s="200"/>
      <c r="E24" s="35"/>
      <c r="F24" s="214" t="s">
        <v>34</v>
      </c>
      <c r="G24" s="215"/>
    </row>
  </sheetData>
  <mergeCells count="24"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</mergeCells>
  <pageMargins left="0.7" right="0.7" top="0.75" bottom="0.75" header="0.3" footer="0.3"/>
  <pageSetup orientation="portrait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24" t="s">
        <v>2</v>
      </c>
      <c r="D1" s="224"/>
      <c r="E1" s="227">
        <v>0.16666666666666666</v>
      </c>
      <c r="F1" s="227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13" t="s">
        <v>5</v>
      </c>
      <c r="B3" s="213"/>
      <c r="C3" s="213"/>
      <c r="D3" s="213"/>
      <c r="E3" s="213"/>
      <c r="F3" s="213"/>
    </row>
    <row r="4" spans="1:9" x14ac:dyDescent="0.25">
      <c r="A4" s="18" t="s">
        <v>6</v>
      </c>
      <c r="B4" s="213" t="s">
        <v>7</v>
      </c>
      <c r="C4" s="213"/>
      <c r="D4" s="28" t="s">
        <v>8</v>
      </c>
      <c r="E4" s="213" t="s">
        <v>9</v>
      </c>
      <c r="F4" s="213"/>
    </row>
    <row r="5" spans="1:9" ht="38.25" x14ac:dyDescent="0.25">
      <c r="A5" s="5" t="s">
        <v>138</v>
      </c>
      <c r="B5" s="190" t="s">
        <v>373</v>
      </c>
      <c r="C5" s="191"/>
      <c r="D5" s="48">
        <v>8300</v>
      </c>
      <c r="E5" s="189" t="s">
        <v>10</v>
      </c>
      <c r="F5" s="189"/>
    </row>
    <row r="6" spans="1:9" ht="38.25" x14ac:dyDescent="0.25">
      <c r="A6" s="5" t="s">
        <v>138</v>
      </c>
      <c r="B6" s="190" t="s">
        <v>374</v>
      </c>
      <c r="C6" s="191"/>
      <c r="D6" s="48">
        <v>6300</v>
      </c>
      <c r="E6" s="189" t="s">
        <v>10</v>
      </c>
      <c r="F6" s="189"/>
    </row>
    <row r="7" spans="1:9" x14ac:dyDescent="0.25">
      <c r="A7" s="7" t="s">
        <v>270</v>
      </c>
      <c r="B7" s="190" t="s">
        <v>103</v>
      </c>
      <c r="C7" s="191"/>
      <c r="D7" s="6" t="s">
        <v>19</v>
      </c>
      <c r="E7" s="167" t="s">
        <v>10</v>
      </c>
      <c r="F7" s="168"/>
    </row>
    <row r="8" spans="1:9" x14ac:dyDescent="0.25">
      <c r="A8" s="5" t="s">
        <v>254</v>
      </c>
      <c r="B8" s="190" t="s">
        <v>342</v>
      </c>
      <c r="C8" s="191"/>
      <c r="D8" s="6" t="s">
        <v>19</v>
      </c>
      <c r="E8" s="190" t="s">
        <v>10</v>
      </c>
      <c r="F8" s="191"/>
    </row>
    <row r="9" spans="1:9" ht="28.5" customHeight="1" x14ac:dyDescent="0.25">
      <c r="A9" s="10" t="s">
        <v>321</v>
      </c>
      <c r="B9" s="184" t="s">
        <v>239</v>
      </c>
      <c r="C9" s="184"/>
      <c r="D9" s="25" t="s">
        <v>0</v>
      </c>
      <c r="E9" s="185" t="s">
        <v>237</v>
      </c>
      <c r="F9" s="186"/>
      <c r="I9" s="39"/>
    </row>
    <row r="10" spans="1:9" ht="30" customHeight="1" x14ac:dyDescent="0.25">
      <c r="A10" s="10" t="s">
        <v>343</v>
      </c>
      <c r="B10" s="184" t="s">
        <v>178</v>
      </c>
      <c r="C10" s="184"/>
      <c r="D10" s="25" t="s">
        <v>0</v>
      </c>
      <c r="E10" s="185" t="s">
        <v>262</v>
      </c>
      <c r="F10" s="186"/>
      <c r="I10" s="39"/>
    </row>
    <row r="11" spans="1:9" ht="33" customHeight="1" x14ac:dyDescent="0.25">
      <c r="A11" s="10" t="s">
        <v>344</v>
      </c>
      <c r="B11" s="184" t="s">
        <v>205</v>
      </c>
      <c r="C11" s="184"/>
      <c r="D11" s="25" t="s">
        <v>0</v>
      </c>
      <c r="E11" s="185" t="s">
        <v>262</v>
      </c>
      <c r="F11" s="186"/>
      <c r="I11" s="39"/>
    </row>
    <row r="12" spans="1:9" ht="32.25" customHeight="1" x14ac:dyDescent="0.25">
      <c r="A12" s="225" t="s">
        <v>345</v>
      </c>
      <c r="B12" s="226"/>
      <c r="C12" s="226"/>
      <c r="D12" s="226"/>
      <c r="E12" s="226"/>
      <c r="F12" s="226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16" t="s">
        <v>90</v>
      </c>
      <c r="C16" s="216"/>
      <c r="D16" s="6">
        <v>11000</v>
      </c>
      <c r="E16" s="189" t="s">
        <v>28</v>
      </c>
      <c r="F16" s="189"/>
    </row>
    <row r="17" spans="1:9" ht="38.25" x14ac:dyDescent="0.25">
      <c r="A17" s="5" t="s">
        <v>35</v>
      </c>
      <c r="B17" s="216" t="s">
        <v>36</v>
      </c>
      <c r="C17" s="216"/>
      <c r="D17" s="6">
        <v>6000</v>
      </c>
      <c r="E17" s="216" t="s">
        <v>10</v>
      </c>
      <c r="F17" s="216"/>
    </row>
    <row r="18" spans="1:9" ht="38.25" x14ac:dyDescent="0.25">
      <c r="A18" s="5" t="s">
        <v>35</v>
      </c>
      <c r="B18" s="216" t="s">
        <v>37</v>
      </c>
      <c r="C18" s="216"/>
      <c r="D18" s="6">
        <v>3000</v>
      </c>
      <c r="E18" s="216" t="s">
        <v>10</v>
      </c>
      <c r="F18" s="216"/>
    </row>
    <row r="19" spans="1:9" ht="38.25" x14ac:dyDescent="0.25">
      <c r="A19" s="5" t="s">
        <v>35</v>
      </c>
      <c r="B19" s="216" t="s">
        <v>97</v>
      </c>
      <c r="C19" s="216"/>
      <c r="D19" s="6">
        <v>2500</v>
      </c>
      <c r="E19" s="216" t="s">
        <v>10</v>
      </c>
      <c r="F19" s="216"/>
    </row>
    <row r="20" spans="1:9" ht="38.25" x14ac:dyDescent="0.25">
      <c r="A20" s="5" t="s">
        <v>35</v>
      </c>
      <c r="B20" s="216" t="s">
        <v>316</v>
      </c>
      <c r="C20" s="216"/>
      <c r="D20" s="6">
        <v>11000</v>
      </c>
      <c r="E20" s="189" t="s">
        <v>28</v>
      </c>
      <c r="F20" s="189"/>
    </row>
    <row r="21" spans="1:9" x14ac:dyDescent="0.25">
      <c r="A21" s="7" t="s">
        <v>99</v>
      </c>
      <c r="B21" s="190" t="s">
        <v>101</v>
      </c>
      <c r="C21" s="191"/>
      <c r="D21" s="6">
        <v>3000</v>
      </c>
      <c r="E21" s="167" t="s">
        <v>100</v>
      </c>
      <c r="F21" s="168"/>
    </row>
    <row r="22" spans="1:9" x14ac:dyDescent="0.25">
      <c r="A22" s="7" t="s">
        <v>107</v>
      </c>
      <c r="B22" s="216" t="s">
        <v>108</v>
      </c>
      <c r="C22" s="216"/>
      <c r="D22" s="6">
        <v>2300</v>
      </c>
      <c r="E22" s="216" t="s">
        <v>92</v>
      </c>
      <c r="F22" s="216"/>
    </row>
    <row r="23" spans="1:9" x14ac:dyDescent="0.25">
      <c r="A23" s="7" t="s">
        <v>113</v>
      </c>
      <c r="B23" s="190" t="s">
        <v>142</v>
      </c>
      <c r="C23" s="191"/>
      <c r="D23" s="6">
        <v>2300</v>
      </c>
      <c r="E23" s="167" t="s">
        <v>114</v>
      </c>
      <c r="F23" s="168"/>
    </row>
    <row r="24" spans="1:9" ht="28.5" customHeight="1" x14ac:dyDescent="0.25">
      <c r="A24" s="5" t="s">
        <v>27</v>
      </c>
      <c r="B24" s="190" t="s">
        <v>103</v>
      </c>
      <c r="C24" s="191"/>
      <c r="D24" s="6" t="s">
        <v>19</v>
      </c>
      <c r="E24" s="190" t="s">
        <v>28</v>
      </c>
      <c r="F24" s="191"/>
      <c r="I24" s="39"/>
    </row>
    <row r="25" spans="1:9" x14ac:dyDescent="0.25">
      <c r="A25" s="5" t="s">
        <v>139</v>
      </c>
      <c r="B25" s="190" t="s">
        <v>244</v>
      </c>
      <c r="C25" s="191"/>
      <c r="D25" s="6" t="s">
        <v>19</v>
      </c>
      <c r="E25" s="190" t="s">
        <v>28</v>
      </c>
      <c r="F25" s="191"/>
    </row>
    <row r="26" spans="1:9" x14ac:dyDescent="0.25">
      <c r="A26" s="5" t="s">
        <v>139</v>
      </c>
      <c r="B26" s="190" t="s">
        <v>247</v>
      </c>
      <c r="C26" s="191"/>
      <c r="D26" s="6" t="s">
        <v>19</v>
      </c>
      <c r="E26" s="190" t="s">
        <v>28</v>
      </c>
      <c r="F26" s="191"/>
    </row>
    <row r="27" spans="1:9" ht="15" customHeight="1" x14ac:dyDescent="0.25">
      <c r="A27" s="5" t="s">
        <v>254</v>
      </c>
      <c r="B27" s="190" t="s">
        <v>253</v>
      </c>
      <c r="C27" s="191"/>
      <c r="D27" s="6" t="s">
        <v>19</v>
      </c>
      <c r="E27" s="190" t="s">
        <v>10</v>
      </c>
      <c r="F27" s="191"/>
      <c r="I27" s="39"/>
    </row>
    <row r="28" spans="1:9" ht="19.5" customHeight="1" x14ac:dyDescent="0.25">
      <c r="A28" s="5" t="s">
        <v>136</v>
      </c>
      <c r="B28" s="190" t="s">
        <v>103</v>
      </c>
      <c r="C28" s="191"/>
      <c r="D28" s="6" t="s">
        <v>19</v>
      </c>
      <c r="E28" s="190" t="s">
        <v>28</v>
      </c>
      <c r="F28" s="191"/>
      <c r="I28" s="39"/>
    </row>
    <row r="29" spans="1:9" ht="38.25" x14ac:dyDescent="0.25">
      <c r="A29" s="5" t="s">
        <v>257</v>
      </c>
      <c r="B29" s="190" t="s">
        <v>253</v>
      </c>
      <c r="C29" s="191"/>
      <c r="D29" s="48">
        <v>3000</v>
      </c>
      <c r="E29" s="189" t="s">
        <v>10</v>
      </c>
      <c r="F29" s="189"/>
    </row>
    <row r="30" spans="1:9" ht="38.25" x14ac:dyDescent="0.25">
      <c r="A30" s="5" t="s">
        <v>257</v>
      </c>
      <c r="B30" s="190" t="s">
        <v>256</v>
      </c>
      <c r="C30" s="191"/>
      <c r="D30" s="48" t="s">
        <v>0</v>
      </c>
      <c r="E30" s="189" t="s">
        <v>0</v>
      </c>
      <c r="F30" s="189"/>
    </row>
    <row r="31" spans="1:9" x14ac:dyDescent="0.25">
      <c r="A31" s="5" t="s">
        <v>136</v>
      </c>
      <c r="B31" s="190" t="s">
        <v>202</v>
      </c>
      <c r="C31" s="191"/>
      <c r="D31" s="6" t="s">
        <v>19</v>
      </c>
      <c r="E31" s="190" t="s">
        <v>28</v>
      </c>
      <c r="F31" s="191"/>
    </row>
    <row r="32" spans="1:9" x14ac:dyDescent="0.25">
      <c r="A32" s="5" t="s">
        <v>254</v>
      </c>
      <c r="B32" s="190" t="s">
        <v>253</v>
      </c>
      <c r="C32" s="191"/>
      <c r="D32" s="6" t="s">
        <v>19</v>
      </c>
      <c r="E32" s="190" t="s">
        <v>28</v>
      </c>
      <c r="F32" s="191"/>
    </row>
    <row r="33" spans="1:9" ht="48.75" customHeight="1" x14ac:dyDescent="0.25">
      <c r="A33" s="5" t="s">
        <v>275</v>
      </c>
      <c r="B33" s="190" t="s">
        <v>201</v>
      </c>
      <c r="C33" s="191"/>
      <c r="D33" s="48" t="s">
        <v>109</v>
      </c>
      <c r="E33" s="210" t="s">
        <v>283</v>
      </c>
      <c r="F33" s="211"/>
      <c r="I33" s="39"/>
    </row>
    <row r="36" spans="1:9" x14ac:dyDescent="0.25">
      <c r="A36" s="28" t="s">
        <v>1</v>
      </c>
      <c r="B36" s="3">
        <v>45867</v>
      </c>
      <c r="C36" s="224" t="s">
        <v>2</v>
      </c>
      <c r="D36" s="224"/>
      <c r="E36" s="227">
        <v>0.16666666666666666</v>
      </c>
      <c r="F36" s="227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13" t="s">
        <v>5</v>
      </c>
      <c r="B38" s="213"/>
      <c r="C38" s="213"/>
      <c r="D38" s="213"/>
      <c r="E38" s="213"/>
      <c r="F38" s="213"/>
    </row>
    <row r="39" spans="1:9" x14ac:dyDescent="0.25">
      <c r="A39" s="18" t="s">
        <v>6</v>
      </c>
      <c r="B39" s="213" t="s">
        <v>7</v>
      </c>
      <c r="C39" s="213"/>
      <c r="D39" s="28" t="s">
        <v>8</v>
      </c>
      <c r="E39" s="213" t="s">
        <v>9</v>
      </c>
      <c r="F39" s="213"/>
    </row>
    <row r="40" spans="1:9" x14ac:dyDescent="0.25">
      <c r="A40" s="5" t="s">
        <v>27</v>
      </c>
      <c r="B40" s="190" t="s">
        <v>103</v>
      </c>
      <c r="C40" s="191"/>
      <c r="D40" s="6" t="s">
        <v>19</v>
      </c>
      <c r="E40" s="190" t="s">
        <v>28</v>
      </c>
      <c r="F40" s="191"/>
    </row>
    <row r="41" spans="1:9" x14ac:dyDescent="0.25">
      <c r="A41" s="5" t="s">
        <v>139</v>
      </c>
      <c r="B41" s="190" t="s">
        <v>338</v>
      </c>
      <c r="C41" s="191"/>
      <c r="D41" s="6" t="s">
        <v>19</v>
      </c>
      <c r="E41" s="190" t="s">
        <v>28</v>
      </c>
      <c r="F41" s="191"/>
    </row>
    <row r="42" spans="1:9" x14ac:dyDescent="0.25">
      <c r="A42" s="7" t="s">
        <v>113</v>
      </c>
      <c r="B42" s="190" t="s">
        <v>337</v>
      </c>
      <c r="C42" s="191"/>
      <c r="D42" s="6">
        <v>3400</v>
      </c>
      <c r="E42" s="167" t="s">
        <v>114</v>
      </c>
      <c r="F42" s="168"/>
    </row>
    <row r="43" spans="1:9" ht="25.5" x14ac:dyDescent="0.25">
      <c r="A43" s="10" t="s">
        <v>237</v>
      </c>
      <c r="B43" s="184" t="s">
        <v>191</v>
      </c>
      <c r="C43" s="184"/>
      <c r="D43" s="25" t="s">
        <v>0</v>
      </c>
      <c r="E43" s="185" t="s">
        <v>237</v>
      </c>
      <c r="F43" s="186"/>
    </row>
    <row r="44" spans="1:9" ht="25.5" x14ac:dyDescent="0.25">
      <c r="A44" s="10" t="s">
        <v>262</v>
      </c>
      <c r="B44" s="184" t="s">
        <v>263</v>
      </c>
      <c r="C44" s="184"/>
      <c r="D44" s="25" t="s">
        <v>0</v>
      </c>
      <c r="E44" s="185" t="s">
        <v>262</v>
      </c>
      <c r="F44" s="186"/>
    </row>
    <row r="45" spans="1:9" ht="25.5" x14ac:dyDescent="0.25">
      <c r="A45" s="10" t="s">
        <v>339</v>
      </c>
      <c r="B45" s="184" t="s">
        <v>239</v>
      </c>
      <c r="C45" s="184"/>
      <c r="D45" s="25" t="s">
        <v>0</v>
      </c>
      <c r="E45" s="185" t="s">
        <v>339</v>
      </c>
      <c r="F45" s="186"/>
    </row>
    <row r="46" spans="1:9" ht="25.5" x14ac:dyDescent="0.25">
      <c r="A46" s="10" t="s">
        <v>238</v>
      </c>
      <c r="B46" s="184" t="s">
        <v>144</v>
      </c>
      <c r="C46" s="184"/>
      <c r="D46" s="25" t="s">
        <v>0</v>
      </c>
      <c r="E46" s="185" t="s">
        <v>238</v>
      </c>
      <c r="F46" s="186"/>
    </row>
    <row r="47" spans="1:9" ht="30" customHeight="1" x14ac:dyDescent="0.25">
      <c r="A47" s="10" t="s">
        <v>264</v>
      </c>
      <c r="B47" s="184" t="s">
        <v>250</v>
      </c>
      <c r="C47" s="184"/>
      <c r="D47" s="25" t="s">
        <v>0</v>
      </c>
      <c r="E47" s="185" t="s">
        <v>264</v>
      </c>
      <c r="F47" s="186"/>
    </row>
  </sheetData>
  <mergeCells count="77">
    <mergeCell ref="B25:C25"/>
    <mergeCell ref="E25:F25"/>
    <mergeCell ref="B26:C26"/>
    <mergeCell ref="E26:F26"/>
    <mergeCell ref="B27:C27"/>
    <mergeCell ref="E27:F27"/>
    <mergeCell ref="C36:D36"/>
    <mergeCell ref="E36:F36"/>
    <mergeCell ref="A38:F38"/>
    <mergeCell ref="B39:C39"/>
    <mergeCell ref="E39:F39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B32:C32"/>
    <mergeCell ref="E32:F32"/>
    <mergeCell ref="B29:C29"/>
    <mergeCell ref="E29:F29"/>
    <mergeCell ref="B30:C30"/>
    <mergeCell ref="E30:F30"/>
    <mergeCell ref="B31:C31"/>
    <mergeCell ref="E31:F31"/>
    <mergeCell ref="C1:D1"/>
    <mergeCell ref="B4:C4"/>
    <mergeCell ref="E1:F1"/>
    <mergeCell ref="A3:F3"/>
    <mergeCell ref="B5:C5"/>
    <mergeCell ref="E5:F5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B21:C21"/>
    <mergeCell ref="E21:F21"/>
    <mergeCell ref="E23:F23"/>
    <mergeCell ref="B24:C24"/>
    <mergeCell ref="E24:F24"/>
    <mergeCell ref="E22:F22"/>
    <mergeCell ref="B23:C23"/>
    <mergeCell ref="B22:C22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32" t="s">
        <v>26</v>
      </c>
      <c r="D1" s="233"/>
      <c r="E1" s="223">
        <v>0.16666666666666666</v>
      </c>
      <c r="F1" s="216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13" t="s">
        <v>13</v>
      </c>
      <c r="B3" s="213"/>
      <c r="C3" s="213"/>
      <c r="D3" s="213"/>
      <c r="E3" s="213"/>
      <c r="F3" s="213"/>
    </row>
    <row r="4" spans="1:6" x14ac:dyDescent="0.25">
      <c r="A4" s="213" t="s">
        <v>6</v>
      </c>
      <c r="B4" s="213"/>
      <c r="C4" s="213" t="s">
        <v>7</v>
      </c>
      <c r="D4" s="213"/>
      <c r="E4" s="18" t="s">
        <v>14</v>
      </c>
      <c r="F4" s="18" t="s">
        <v>9</v>
      </c>
    </row>
    <row r="5" spans="1:6" x14ac:dyDescent="0.25">
      <c r="A5" s="228" t="s">
        <v>18</v>
      </c>
      <c r="B5" s="229"/>
      <c r="C5" s="207" t="s">
        <v>304</v>
      </c>
      <c r="D5" s="208"/>
      <c r="E5" s="2">
        <v>11000</v>
      </c>
      <c r="F5" s="4" t="s">
        <v>10</v>
      </c>
    </row>
    <row r="6" spans="1:6" x14ac:dyDescent="0.25">
      <c r="A6" s="228" t="s">
        <v>18</v>
      </c>
      <c r="B6" s="229"/>
      <c r="C6" s="209" t="s">
        <v>305</v>
      </c>
      <c r="D6" s="209"/>
      <c r="E6" s="2">
        <v>6300</v>
      </c>
      <c r="F6" s="4" t="s">
        <v>10</v>
      </c>
    </row>
    <row r="7" spans="1:6" x14ac:dyDescent="0.25">
      <c r="A7" s="228" t="s">
        <v>18</v>
      </c>
      <c r="B7" s="229"/>
      <c r="C7" s="207" t="s">
        <v>280</v>
      </c>
      <c r="D7" s="208"/>
      <c r="E7" s="2">
        <v>7000</v>
      </c>
      <c r="F7" s="4" t="s">
        <v>10</v>
      </c>
    </row>
    <row r="8" spans="1:6" ht="15.75" customHeight="1" x14ac:dyDescent="0.25">
      <c r="A8" s="228" t="s">
        <v>18</v>
      </c>
      <c r="B8" s="229"/>
      <c r="C8" s="207" t="s">
        <v>306</v>
      </c>
      <c r="D8" s="208"/>
      <c r="E8" s="6">
        <v>6300</v>
      </c>
      <c r="F8" s="4" t="s">
        <v>10</v>
      </c>
    </row>
    <row r="9" spans="1:6" ht="25.5" customHeight="1" x14ac:dyDescent="0.25">
      <c r="A9" s="190" t="s">
        <v>143</v>
      </c>
      <c r="B9" s="191"/>
      <c r="C9" s="216" t="s">
        <v>307</v>
      </c>
      <c r="D9" s="216"/>
      <c r="E9" s="15">
        <v>6000</v>
      </c>
      <c r="F9" s="60" t="s">
        <v>204</v>
      </c>
    </row>
    <row r="10" spans="1:6" ht="26.25" customHeight="1" x14ac:dyDescent="0.25">
      <c r="A10" s="158" t="s">
        <v>228</v>
      </c>
      <c r="B10" s="160"/>
      <c r="C10" s="185" t="s">
        <v>205</v>
      </c>
      <c r="D10" s="186"/>
      <c r="E10" s="61" t="s">
        <v>0</v>
      </c>
      <c r="F10" s="25" t="s">
        <v>228</v>
      </c>
    </row>
    <row r="11" spans="1:6" ht="30" customHeight="1" x14ac:dyDescent="0.25">
      <c r="A11" s="158" t="s">
        <v>226</v>
      </c>
      <c r="B11" s="160"/>
      <c r="C11" s="185" t="s">
        <v>144</v>
      </c>
      <c r="D11" s="186"/>
      <c r="E11" s="61" t="s">
        <v>0</v>
      </c>
      <c r="F11" s="25" t="s">
        <v>226</v>
      </c>
    </row>
    <row r="12" spans="1:6" ht="30" customHeight="1" x14ac:dyDescent="0.25">
      <c r="A12" s="190" t="s">
        <v>25</v>
      </c>
      <c r="B12" s="191"/>
      <c r="C12" s="190" t="s">
        <v>253</v>
      </c>
      <c r="D12" s="191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28" t="s">
        <v>18</v>
      </c>
      <c r="B15" s="229"/>
      <c r="C15" s="190" t="s">
        <v>294</v>
      </c>
      <c r="D15" s="191"/>
      <c r="E15" s="2">
        <v>2600</v>
      </c>
      <c r="F15" s="4" t="s">
        <v>10</v>
      </c>
    </row>
    <row r="16" spans="1:6" x14ac:dyDescent="0.25">
      <c r="A16" s="228" t="s">
        <v>18</v>
      </c>
      <c r="B16" s="229"/>
      <c r="C16" s="190" t="s">
        <v>141</v>
      </c>
      <c r="D16" s="191"/>
      <c r="E16" s="2">
        <v>2600</v>
      </c>
      <c r="F16" s="4" t="s">
        <v>10</v>
      </c>
    </row>
    <row r="17" spans="1:6" x14ac:dyDescent="0.25">
      <c r="A17" s="228" t="s">
        <v>18</v>
      </c>
      <c r="B17" s="229"/>
      <c r="C17" s="207" t="s">
        <v>140</v>
      </c>
      <c r="D17" s="208"/>
      <c r="E17" s="2">
        <v>6300</v>
      </c>
      <c r="F17" s="4" t="s">
        <v>10</v>
      </c>
    </row>
    <row r="18" spans="1:6" x14ac:dyDescent="0.25">
      <c r="A18" s="190" t="s">
        <v>25</v>
      </c>
      <c r="B18" s="191"/>
      <c r="C18" s="190" t="s">
        <v>111</v>
      </c>
      <c r="D18" s="191"/>
      <c r="E18" s="6" t="s">
        <v>19</v>
      </c>
      <c r="F18" s="6" t="s">
        <v>10</v>
      </c>
    </row>
    <row r="19" spans="1:6" x14ac:dyDescent="0.25">
      <c r="A19" s="190" t="s">
        <v>110</v>
      </c>
      <c r="B19" s="191"/>
      <c r="C19" s="190" t="s">
        <v>112</v>
      </c>
      <c r="D19" s="191"/>
      <c r="E19" s="6">
        <v>2300</v>
      </c>
      <c r="F19" s="13" t="s">
        <v>100</v>
      </c>
    </row>
    <row r="20" spans="1:6" x14ac:dyDescent="0.25">
      <c r="A20" s="190" t="s">
        <v>17</v>
      </c>
      <c r="B20" s="191"/>
      <c r="C20" s="209" t="s">
        <v>135</v>
      </c>
      <c r="D20" s="209"/>
      <c r="E20" s="15">
        <v>2300</v>
      </c>
      <c r="F20" s="60" t="s">
        <v>34</v>
      </c>
    </row>
    <row r="21" spans="1:6" x14ac:dyDescent="0.25">
      <c r="A21" s="190" t="s">
        <v>143</v>
      </c>
      <c r="B21" s="191"/>
      <c r="C21" s="216" t="s">
        <v>98</v>
      </c>
      <c r="D21" s="216"/>
      <c r="E21" s="230" t="s">
        <v>192</v>
      </c>
      <c r="F21" s="231"/>
    </row>
    <row r="22" spans="1:6" ht="25.5" customHeight="1" x14ac:dyDescent="0.25">
      <c r="A22" s="187" t="s">
        <v>203</v>
      </c>
      <c r="B22" s="188"/>
      <c r="C22" s="216" t="s">
        <v>259</v>
      </c>
      <c r="D22" s="216"/>
      <c r="E22" s="15">
        <v>6000</v>
      </c>
      <c r="F22" s="60" t="s">
        <v>204</v>
      </c>
    </row>
    <row r="23" spans="1:6" ht="30" customHeight="1" x14ac:dyDescent="0.25">
      <c r="A23" s="158" t="s">
        <v>297</v>
      </c>
      <c r="B23" s="160"/>
      <c r="C23" s="185" t="s">
        <v>300</v>
      </c>
      <c r="D23" s="186"/>
      <c r="E23" s="61">
        <v>6300</v>
      </c>
      <c r="F23" s="25" t="s">
        <v>298</v>
      </c>
    </row>
    <row r="24" spans="1:6" ht="30" customHeight="1" x14ac:dyDescent="0.25">
      <c r="A24" s="158" t="s">
        <v>297</v>
      </c>
      <c r="B24" s="160"/>
      <c r="C24" s="185" t="s">
        <v>299</v>
      </c>
      <c r="D24" s="186"/>
      <c r="E24" s="61">
        <v>6300</v>
      </c>
      <c r="F24" s="25" t="s">
        <v>298</v>
      </c>
    </row>
  </sheetData>
  <mergeCells count="42"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  <mergeCell ref="E1:F1"/>
    <mergeCell ref="A4:B4"/>
    <mergeCell ref="C4:D4"/>
    <mergeCell ref="A3:F3"/>
    <mergeCell ref="A5:B5"/>
    <mergeCell ref="C5:D5"/>
    <mergeCell ref="C1:D1"/>
    <mergeCell ref="E21:F21"/>
    <mergeCell ref="A19:B19"/>
    <mergeCell ref="C19:D19"/>
    <mergeCell ref="A21:B21"/>
    <mergeCell ref="C21:D21"/>
    <mergeCell ref="C20:D20"/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</mergeCells>
  <pageMargins left="0.7" right="0.7" top="0.75" bottom="0.75" header="0.3" footer="0.3"/>
  <pageSetup paperSize="9" orientation="portrait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40" t="s">
        <v>2</v>
      </c>
      <c r="D2" s="240"/>
      <c r="E2" s="227">
        <v>0.29166666666666669</v>
      </c>
      <c r="F2" s="227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13" t="s">
        <v>5</v>
      </c>
      <c r="B4" s="213"/>
      <c r="C4" s="213"/>
      <c r="D4" s="213"/>
      <c r="E4" s="213"/>
      <c r="F4" s="213"/>
    </row>
    <row r="5" spans="1:6" x14ac:dyDescent="0.25">
      <c r="A5" s="18" t="s">
        <v>6</v>
      </c>
      <c r="B5" s="213" t="s">
        <v>7</v>
      </c>
      <c r="C5" s="213"/>
      <c r="D5" s="18" t="s">
        <v>14</v>
      </c>
      <c r="E5" s="213" t="s">
        <v>9</v>
      </c>
      <c r="F5" s="213"/>
    </row>
    <row r="6" spans="1:6" x14ac:dyDescent="0.25">
      <c r="A6" s="7" t="s">
        <v>260</v>
      </c>
      <c r="B6" s="216" t="s">
        <v>317</v>
      </c>
      <c r="C6" s="216"/>
      <c r="D6" s="15" t="s">
        <v>0</v>
      </c>
      <c r="E6" s="200" t="s">
        <v>0</v>
      </c>
      <c r="F6" s="200"/>
    </row>
    <row r="7" spans="1:6" x14ac:dyDescent="0.25">
      <c r="A7" s="7" t="s">
        <v>200</v>
      </c>
      <c r="B7" s="184" t="s">
        <v>303</v>
      </c>
      <c r="C7" s="184"/>
      <c r="D7" s="25">
        <v>6500</v>
      </c>
      <c r="E7" s="185" t="s">
        <v>10</v>
      </c>
      <c r="F7" s="186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206" t="s">
        <v>2</v>
      </c>
      <c r="D11" s="206"/>
      <c r="E11" s="194" t="s">
        <v>292</v>
      </c>
      <c r="F11" s="194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205" t="s">
        <v>5</v>
      </c>
      <c r="B13" s="205"/>
      <c r="C13" s="205"/>
      <c r="D13" s="205"/>
      <c r="E13" s="205"/>
      <c r="F13" s="205"/>
    </row>
    <row r="14" spans="1:6" x14ac:dyDescent="0.25">
      <c r="A14" s="56" t="s">
        <v>6</v>
      </c>
      <c r="B14" s="238" t="s">
        <v>7</v>
      </c>
      <c r="C14" s="239"/>
      <c r="D14" s="56" t="s">
        <v>8</v>
      </c>
      <c r="E14" s="205" t="s">
        <v>9</v>
      </c>
      <c r="F14" s="205"/>
    </row>
    <row r="15" spans="1:6" ht="25.5" x14ac:dyDescent="0.25">
      <c r="A15" s="7" t="s">
        <v>255</v>
      </c>
      <c r="B15" s="192" t="s">
        <v>288</v>
      </c>
      <c r="C15" s="193"/>
      <c r="D15" s="25">
        <v>2200</v>
      </c>
      <c r="E15" s="185" t="s">
        <v>10</v>
      </c>
      <c r="F15" s="186"/>
    </row>
    <row r="16" spans="1:6" ht="25.5" x14ac:dyDescent="0.25">
      <c r="A16" s="7" t="s">
        <v>255</v>
      </c>
      <c r="B16" s="192" t="s">
        <v>290</v>
      </c>
      <c r="C16" s="193"/>
      <c r="D16" s="25">
        <v>7700</v>
      </c>
      <c r="E16" s="185" t="s">
        <v>10</v>
      </c>
      <c r="F16" s="186"/>
    </row>
    <row r="17" spans="1:6" ht="25.5" x14ac:dyDescent="0.25">
      <c r="A17" s="7" t="s">
        <v>255</v>
      </c>
      <c r="B17" s="192" t="s">
        <v>272</v>
      </c>
      <c r="C17" s="193"/>
      <c r="D17" s="25">
        <v>6200</v>
      </c>
      <c r="E17" s="185" t="s">
        <v>10</v>
      </c>
      <c r="F17" s="186"/>
    </row>
    <row r="18" spans="1:6" ht="25.5" x14ac:dyDescent="0.25">
      <c r="A18" s="7" t="s">
        <v>255</v>
      </c>
      <c r="B18" s="241" t="s">
        <v>271</v>
      </c>
      <c r="C18" s="241"/>
      <c r="D18" s="25">
        <v>3700</v>
      </c>
      <c r="E18" s="185" t="s">
        <v>10</v>
      </c>
      <c r="F18" s="186"/>
    </row>
    <row r="19" spans="1:6" ht="25.5" x14ac:dyDescent="0.25">
      <c r="A19" s="7" t="s">
        <v>255</v>
      </c>
      <c r="B19" s="241" t="s">
        <v>289</v>
      </c>
      <c r="C19" s="241"/>
      <c r="D19" s="25">
        <v>7900</v>
      </c>
      <c r="E19" s="185" t="s">
        <v>10</v>
      </c>
      <c r="F19" s="186"/>
    </row>
    <row r="20" spans="1:6" x14ac:dyDescent="0.25">
      <c r="A20" s="7" t="s">
        <v>260</v>
      </c>
      <c r="B20" s="156" t="s">
        <v>301</v>
      </c>
      <c r="C20" s="157"/>
      <c r="D20" s="25">
        <v>6300</v>
      </c>
      <c r="E20" s="185" t="s">
        <v>10</v>
      </c>
      <c r="F20" s="186"/>
    </row>
    <row r="21" spans="1:6" x14ac:dyDescent="0.25">
      <c r="A21" s="7" t="s">
        <v>260</v>
      </c>
      <c r="B21" s="242" t="s">
        <v>302</v>
      </c>
      <c r="C21" s="243"/>
      <c r="D21" s="13">
        <v>13000</v>
      </c>
      <c r="E21" s="167" t="s">
        <v>10</v>
      </c>
      <c r="F21" s="168"/>
    </row>
    <row r="22" spans="1:6" ht="25.5" x14ac:dyDescent="0.25">
      <c r="A22" s="10" t="s">
        <v>293</v>
      </c>
      <c r="B22" s="192" t="s">
        <v>291</v>
      </c>
      <c r="C22" s="193"/>
      <c r="D22" s="25" t="s">
        <v>0</v>
      </c>
      <c r="E22" s="185" t="s">
        <v>0</v>
      </c>
      <c r="F22" s="186"/>
    </row>
    <row r="23" spans="1:6" x14ac:dyDescent="0.25">
      <c r="A23" s="26"/>
      <c r="B23" s="244"/>
      <c r="C23" s="245"/>
      <c r="D23" s="26"/>
      <c r="E23" s="244"/>
      <c r="F23" s="245"/>
    </row>
    <row r="28" spans="1:6" x14ac:dyDescent="0.25">
      <c r="A28" s="42" t="s">
        <v>1</v>
      </c>
      <c r="B28" s="20"/>
      <c r="C28" s="234" t="s">
        <v>2</v>
      </c>
      <c r="D28" s="235"/>
      <c r="E28" s="236"/>
      <c r="F28" s="237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205" t="s">
        <v>5</v>
      </c>
      <c r="B30" s="205"/>
      <c r="C30" s="205"/>
      <c r="D30" s="205"/>
      <c r="E30" s="205"/>
      <c r="F30" s="205"/>
    </row>
    <row r="31" spans="1:6" x14ac:dyDescent="0.25">
      <c r="A31" s="56" t="s">
        <v>6</v>
      </c>
      <c r="B31" s="238" t="s">
        <v>7</v>
      </c>
      <c r="C31" s="239"/>
      <c r="D31" s="56" t="s">
        <v>8</v>
      </c>
      <c r="E31" s="205" t="s">
        <v>9</v>
      </c>
      <c r="F31" s="205"/>
    </row>
    <row r="32" spans="1:6" ht="25.5" x14ac:dyDescent="0.25">
      <c r="A32" s="7" t="s">
        <v>243</v>
      </c>
      <c r="B32" s="184" t="s">
        <v>267</v>
      </c>
      <c r="C32" s="184"/>
      <c r="D32" s="25">
        <v>9000</v>
      </c>
      <c r="E32" s="185" t="s">
        <v>269</v>
      </c>
      <c r="F32" s="186"/>
    </row>
    <row r="36" spans="1:6" x14ac:dyDescent="0.25">
      <c r="A36" s="42" t="s">
        <v>1</v>
      </c>
      <c r="B36" s="20">
        <v>45867</v>
      </c>
      <c r="C36" s="234" t="s">
        <v>2</v>
      </c>
      <c r="D36" s="235"/>
      <c r="E36" s="236">
        <v>0.58333333333333337</v>
      </c>
      <c r="F36" s="237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205" t="s">
        <v>5</v>
      </c>
      <c r="B38" s="205"/>
      <c r="C38" s="205"/>
      <c r="D38" s="205"/>
      <c r="E38" s="205"/>
      <c r="F38" s="205"/>
    </row>
    <row r="39" spans="1:6" x14ac:dyDescent="0.25">
      <c r="A39" s="56" t="s">
        <v>6</v>
      </c>
      <c r="B39" s="238" t="s">
        <v>7</v>
      </c>
      <c r="C39" s="239"/>
      <c r="D39" s="56" t="s">
        <v>8</v>
      </c>
      <c r="E39" s="205" t="s">
        <v>9</v>
      </c>
      <c r="F39" s="205"/>
    </row>
    <row r="40" spans="1:6" x14ac:dyDescent="0.25">
      <c r="A40" s="7" t="s">
        <v>200</v>
      </c>
      <c r="B40" s="184" t="s">
        <v>303</v>
      </c>
      <c r="C40" s="184"/>
      <c r="D40" s="25">
        <v>6500</v>
      </c>
      <c r="E40" s="185" t="s">
        <v>10</v>
      </c>
      <c r="F40" s="186"/>
    </row>
    <row r="41" spans="1:6" ht="25.5" x14ac:dyDescent="0.25">
      <c r="A41" s="7" t="s">
        <v>243</v>
      </c>
      <c r="B41" s="184" t="s">
        <v>267</v>
      </c>
      <c r="C41" s="184"/>
      <c r="D41" s="25">
        <v>9000</v>
      </c>
      <c r="E41" s="185" t="s">
        <v>269</v>
      </c>
      <c r="F41" s="186"/>
    </row>
    <row r="42" spans="1:6" x14ac:dyDescent="0.25">
      <c r="A42" s="7" t="s">
        <v>260</v>
      </c>
      <c r="B42" s="156" t="s">
        <v>318</v>
      </c>
      <c r="C42" s="157"/>
      <c r="D42" s="25" t="s">
        <v>0</v>
      </c>
      <c r="E42" s="185" t="s">
        <v>0</v>
      </c>
      <c r="F42" s="186"/>
    </row>
    <row r="45" spans="1:6" x14ac:dyDescent="0.25">
      <c r="A45" s="42" t="s">
        <v>1</v>
      </c>
      <c r="B45" s="20">
        <v>45883</v>
      </c>
      <c r="C45" s="234" t="s">
        <v>2</v>
      </c>
      <c r="D45" s="235"/>
      <c r="E45" s="236">
        <v>0.29166666666666669</v>
      </c>
      <c r="F45" s="237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205" t="s">
        <v>5</v>
      </c>
      <c r="B47" s="205"/>
      <c r="C47" s="205"/>
      <c r="D47" s="205"/>
      <c r="E47" s="205"/>
      <c r="F47" s="205"/>
    </row>
    <row r="48" spans="1:6" ht="38.25" customHeight="1" x14ac:dyDescent="0.25">
      <c r="A48" s="7" t="s">
        <v>200</v>
      </c>
      <c r="B48" s="184" t="s">
        <v>303</v>
      </c>
      <c r="C48" s="184"/>
      <c r="D48" s="25">
        <v>6500</v>
      </c>
      <c r="E48" s="185" t="s">
        <v>10</v>
      </c>
      <c r="F48" s="186"/>
    </row>
    <row r="51" spans="1:6" x14ac:dyDescent="0.25">
      <c r="A51" s="42" t="s">
        <v>1</v>
      </c>
      <c r="B51" s="20">
        <v>45864</v>
      </c>
      <c r="C51" s="234" t="s">
        <v>2</v>
      </c>
      <c r="D51" s="235"/>
      <c r="E51" s="236">
        <v>0.35416666666666669</v>
      </c>
      <c r="F51" s="237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205" t="s">
        <v>5</v>
      </c>
      <c r="B53" s="205"/>
      <c r="C53" s="205"/>
      <c r="D53" s="205"/>
      <c r="E53" s="205"/>
      <c r="F53" s="205"/>
    </row>
    <row r="54" spans="1:6" x14ac:dyDescent="0.25">
      <c r="A54" s="29" t="s">
        <v>6</v>
      </c>
      <c r="B54" s="238" t="s">
        <v>7</v>
      </c>
      <c r="C54" s="239"/>
      <c r="D54" s="56" t="s">
        <v>8</v>
      </c>
      <c r="E54" s="205" t="s">
        <v>9</v>
      </c>
      <c r="F54" s="205"/>
    </row>
    <row r="55" spans="1:6" ht="15" customHeight="1" x14ac:dyDescent="0.25">
      <c r="A55" s="13" t="s">
        <v>329</v>
      </c>
      <c r="B55" s="189" t="s">
        <v>330</v>
      </c>
      <c r="C55" s="189"/>
      <c r="D55" s="25">
        <v>6000</v>
      </c>
      <c r="E55" s="185" t="s">
        <v>332</v>
      </c>
      <c r="F55" s="186"/>
    </row>
    <row r="56" spans="1:6" x14ac:dyDescent="0.25">
      <c r="A56" s="13" t="s">
        <v>329</v>
      </c>
      <c r="B56" s="189" t="s">
        <v>331</v>
      </c>
      <c r="C56" s="189"/>
      <c r="D56" s="25">
        <v>2000</v>
      </c>
      <c r="E56" s="185" t="s">
        <v>332</v>
      </c>
      <c r="F56" s="186"/>
    </row>
    <row r="57" spans="1:6" ht="51" x14ac:dyDescent="0.25">
      <c r="A57" s="7" t="s">
        <v>320</v>
      </c>
      <c r="B57" s="184" t="s">
        <v>280</v>
      </c>
      <c r="C57" s="184"/>
      <c r="D57" s="25" t="s">
        <v>0</v>
      </c>
      <c r="E57" s="185" t="s">
        <v>0</v>
      </c>
      <c r="F57" s="186"/>
    </row>
  </sheetData>
  <mergeCells count="66">
    <mergeCell ref="A47:F47"/>
    <mergeCell ref="B41:C41"/>
    <mergeCell ref="E41:F41"/>
    <mergeCell ref="B42:C42"/>
    <mergeCell ref="E42:F42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15:C15"/>
    <mergeCell ref="E15:F15"/>
    <mergeCell ref="B16:C16"/>
    <mergeCell ref="E16:F16"/>
    <mergeCell ref="B17:C17"/>
    <mergeCell ref="E17:F17"/>
    <mergeCell ref="C11:D11"/>
    <mergeCell ref="E11:F11"/>
    <mergeCell ref="A13:F13"/>
    <mergeCell ref="B14:C14"/>
    <mergeCell ref="E14:F1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51:D51"/>
    <mergeCell ref="E51:F51"/>
    <mergeCell ref="A53:F53"/>
    <mergeCell ref="B54:C54"/>
    <mergeCell ref="E54:F54"/>
    <mergeCell ref="B55:C55"/>
    <mergeCell ref="E55:F55"/>
    <mergeCell ref="B56:C56"/>
    <mergeCell ref="E56:F56"/>
    <mergeCell ref="B57:C57"/>
    <mergeCell ref="E57:F57"/>
  </mergeCells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BASE_DATOS</vt:lpstr>
      <vt:lpstr>CODIGO DOMICILIARIOS</vt:lpstr>
      <vt:lpstr>SUPERMERCADOS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2026-02-28T00:46:32Z</dcterms:modified>
</cp:coreProperties>
</file>